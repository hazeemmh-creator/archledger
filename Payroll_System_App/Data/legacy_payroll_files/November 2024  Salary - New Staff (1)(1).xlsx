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690" tabRatio="597"/>
  </bookViews>
  <sheets>
    <sheet name="NOV 2024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2024'!$A$1:$E$59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MEMO!$A$1:$H$62</definedName>
    <definedName name="_xlnm.Print_Area" localSheetId="39">'NEW ENROLMENT IN NOVEMBER (2)'!$A$1:$X$14</definedName>
    <definedName name="_xlnm.Print_Area" localSheetId="3">'NEW STAFF BONUS'!$A$1:$T$59</definedName>
    <definedName name="_xlnm.Print_Area" localSheetId="0">'NOV 2024 NEW'!$A$1:$T$59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0">'NOV 2024 NEW'!$4:$5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C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3" i="164"/>
  <c r="M13" i="164"/>
  <c r="L13" i="164"/>
  <c r="K13" i="164"/>
  <c r="J13" i="164"/>
  <c r="I13" i="164"/>
  <c r="H13" i="164"/>
  <c r="G13" i="164"/>
  <c r="F13" i="164"/>
  <c r="E13" i="164"/>
  <c r="N12" i="164"/>
  <c r="M12" i="164"/>
  <c r="L12" i="164"/>
  <c r="H12" i="164"/>
  <c r="F12" i="164"/>
  <c r="E12" i="164"/>
  <c r="N11" i="164"/>
  <c r="M11" i="164"/>
  <c r="L11" i="164"/>
  <c r="H11" i="164"/>
  <c r="F11" i="164"/>
  <c r="E11" i="164"/>
  <c r="N10" i="164"/>
  <c r="M10" i="164"/>
  <c r="L10" i="164"/>
  <c r="H10" i="164"/>
  <c r="F10" i="164"/>
  <c r="N9" i="164"/>
  <c r="M9" i="164"/>
  <c r="L9" i="164"/>
  <c r="H9" i="164"/>
  <c r="F9" i="164"/>
  <c r="E9" i="164"/>
  <c r="N8" i="164"/>
  <c r="M8" i="164"/>
  <c r="L8" i="164"/>
  <c r="H8" i="164"/>
  <c r="F8" i="164"/>
  <c r="N7" i="164"/>
  <c r="M7" i="164"/>
  <c r="L7" i="164"/>
  <c r="H7" i="164"/>
  <c r="F7" i="164"/>
  <c r="E7" i="164"/>
  <c r="N6" i="164"/>
  <c r="M6" i="164"/>
  <c r="L6" i="164"/>
  <c r="H6" i="164"/>
  <c r="F6" i="164"/>
  <c r="E6" i="164"/>
  <c r="N5" i="164"/>
  <c r="M5" i="164"/>
  <c r="L5" i="164"/>
  <c r="I5" i="164"/>
  <c r="H5" i="164"/>
  <c r="E5" i="16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Q5" i="171"/>
  <c r="J5" i="171"/>
  <c r="G5" i="171"/>
  <c r="E5" i="171"/>
  <c r="Z37" i="172"/>
  <c r="Y37" i="172"/>
  <c r="X37" i="172"/>
  <c r="Z35" i="172"/>
  <c r="X35" i="172"/>
  <c r="V35" i="172"/>
  <c r="T35" i="172"/>
  <c r="S35" i="172"/>
  <c r="R35" i="172"/>
  <c r="Q35" i="172"/>
  <c r="P35" i="172"/>
  <c r="O35" i="172"/>
  <c r="N35" i="172"/>
  <c r="M35" i="172"/>
  <c r="L35" i="172"/>
  <c r="I35" i="172"/>
  <c r="E35" i="172"/>
  <c r="Z34" i="172"/>
  <c r="X34" i="172"/>
  <c r="V34" i="172"/>
  <c r="T34" i="172"/>
  <c r="S34" i="172"/>
  <c r="R34" i="172"/>
  <c r="Q34" i="172"/>
  <c r="P34" i="172"/>
  <c r="O34" i="172"/>
  <c r="N34" i="172"/>
  <c r="M34" i="172"/>
  <c r="L34" i="172"/>
  <c r="I34" i="172"/>
  <c r="E34" i="172"/>
  <c r="Z33" i="172"/>
  <c r="X33" i="172"/>
  <c r="V33" i="172"/>
  <c r="T33" i="172"/>
  <c r="S33" i="172"/>
  <c r="R33" i="172"/>
  <c r="Q33" i="172"/>
  <c r="P33" i="172"/>
  <c r="O33" i="172"/>
  <c r="N33" i="172"/>
  <c r="M33" i="172"/>
  <c r="L33" i="172"/>
  <c r="I33" i="172"/>
  <c r="E33" i="172"/>
  <c r="Z31" i="172"/>
  <c r="X31" i="172"/>
  <c r="V31" i="172"/>
  <c r="T31" i="172"/>
  <c r="S31" i="172"/>
  <c r="R31" i="172"/>
  <c r="Q31" i="172"/>
  <c r="P31" i="172"/>
  <c r="O31" i="172"/>
  <c r="N31" i="172"/>
  <c r="M31" i="172"/>
  <c r="L31" i="172"/>
  <c r="I31" i="172"/>
  <c r="E31" i="172"/>
  <c r="Z29" i="172"/>
  <c r="X29" i="172"/>
  <c r="V29" i="172"/>
  <c r="T29" i="172"/>
  <c r="S29" i="172"/>
  <c r="R29" i="172"/>
  <c r="Q29" i="172"/>
  <c r="P29" i="172"/>
  <c r="O29" i="172"/>
  <c r="N29" i="172"/>
  <c r="M29" i="172"/>
  <c r="L29" i="172"/>
  <c r="I29" i="172"/>
  <c r="E29" i="172"/>
  <c r="Z28" i="172"/>
  <c r="X28" i="172"/>
  <c r="V28" i="172"/>
  <c r="T28" i="172"/>
  <c r="S28" i="172"/>
  <c r="R28" i="172"/>
  <c r="Q28" i="172"/>
  <c r="P28" i="172"/>
  <c r="O28" i="172"/>
  <c r="N28" i="172"/>
  <c r="M28" i="172"/>
  <c r="L28" i="172"/>
  <c r="I28" i="172"/>
  <c r="E28" i="172"/>
  <c r="Z27" i="172"/>
  <c r="X27" i="172"/>
  <c r="V27" i="172"/>
  <c r="T27" i="172"/>
  <c r="S27" i="172"/>
  <c r="R27" i="172"/>
  <c r="Q27" i="172"/>
  <c r="P27" i="172"/>
  <c r="O27" i="172"/>
  <c r="N27" i="172"/>
  <c r="M27" i="172"/>
  <c r="L27" i="172"/>
  <c r="I27" i="172"/>
  <c r="E27" i="172"/>
  <c r="Z25" i="172"/>
  <c r="X25" i="172"/>
  <c r="V25" i="172"/>
  <c r="T25" i="172"/>
  <c r="S25" i="172"/>
  <c r="R25" i="172"/>
  <c r="Q25" i="172"/>
  <c r="P25" i="172"/>
  <c r="O25" i="172"/>
  <c r="N25" i="172"/>
  <c r="M25" i="172"/>
  <c r="L25" i="172"/>
  <c r="I25" i="172"/>
  <c r="E25" i="172"/>
  <c r="Z23" i="172"/>
  <c r="X23" i="172"/>
  <c r="V23" i="172"/>
  <c r="T23" i="172"/>
  <c r="S23" i="172"/>
  <c r="R23" i="172"/>
  <c r="Q23" i="172"/>
  <c r="P23" i="172"/>
  <c r="O23" i="172"/>
  <c r="N23" i="172"/>
  <c r="M23" i="172"/>
  <c r="L23" i="172"/>
  <c r="I23" i="172"/>
  <c r="E23" i="172"/>
  <c r="Z21" i="172"/>
  <c r="X21" i="172"/>
  <c r="V21" i="172"/>
  <c r="T21" i="172"/>
  <c r="S21" i="172"/>
  <c r="R21" i="172"/>
  <c r="Q21" i="172"/>
  <c r="P21" i="172"/>
  <c r="O21" i="172"/>
  <c r="N21" i="172"/>
  <c r="M21" i="172"/>
  <c r="L21" i="172"/>
  <c r="I21" i="172"/>
  <c r="E21" i="172"/>
  <c r="Z20" i="172"/>
  <c r="X20" i="172"/>
  <c r="V20" i="172"/>
  <c r="U20" i="172"/>
  <c r="T20" i="172"/>
  <c r="S20" i="172"/>
  <c r="R20" i="172"/>
  <c r="Q20" i="172"/>
  <c r="P20" i="172"/>
  <c r="O20" i="172"/>
  <c r="N20" i="172"/>
  <c r="M20" i="172"/>
  <c r="L20" i="172"/>
  <c r="I20" i="172"/>
  <c r="E20" i="172"/>
  <c r="Z18" i="172"/>
  <c r="X18" i="172"/>
  <c r="V18" i="172"/>
  <c r="T18" i="172"/>
  <c r="S18" i="172"/>
  <c r="R18" i="172"/>
  <c r="Q18" i="172"/>
  <c r="P18" i="172"/>
  <c r="O18" i="172"/>
  <c r="N18" i="172"/>
  <c r="M18" i="172"/>
  <c r="L18" i="172"/>
  <c r="I18" i="172"/>
  <c r="E18" i="172"/>
  <c r="Z16" i="172"/>
  <c r="X16" i="172"/>
  <c r="V16" i="172"/>
  <c r="T16" i="172"/>
  <c r="S16" i="172"/>
  <c r="R16" i="172"/>
  <c r="Q16" i="172"/>
  <c r="P16" i="172"/>
  <c r="O16" i="172"/>
  <c r="N16" i="172"/>
  <c r="M16" i="172"/>
  <c r="L16" i="172"/>
  <c r="I16" i="172"/>
  <c r="E16" i="172"/>
  <c r="Z15" i="172"/>
  <c r="X15" i="172"/>
  <c r="V15" i="172"/>
  <c r="T15" i="172"/>
  <c r="S15" i="172"/>
  <c r="R15" i="172"/>
  <c r="Q15" i="172"/>
  <c r="P15" i="172"/>
  <c r="O15" i="172"/>
  <c r="N15" i="172"/>
  <c r="M15" i="172"/>
  <c r="L15" i="172"/>
  <c r="I15" i="172"/>
  <c r="E15" i="172"/>
  <c r="Z13" i="172"/>
  <c r="X13" i="172"/>
  <c r="V13" i="172"/>
  <c r="T13" i="172"/>
  <c r="S13" i="172"/>
  <c r="R13" i="172"/>
  <c r="Q13" i="172"/>
  <c r="P13" i="172"/>
  <c r="O13" i="172"/>
  <c r="N13" i="172"/>
  <c r="M13" i="172"/>
  <c r="L13" i="172"/>
  <c r="I13" i="172"/>
  <c r="E13" i="172"/>
  <c r="Z11" i="172"/>
  <c r="X11" i="172"/>
  <c r="V11" i="172"/>
  <c r="T11" i="172"/>
  <c r="S11" i="172"/>
  <c r="R11" i="172"/>
  <c r="Q11" i="172"/>
  <c r="P11" i="172"/>
  <c r="O11" i="172"/>
  <c r="N11" i="172"/>
  <c r="M11" i="172"/>
  <c r="L11" i="172"/>
  <c r="I11" i="172"/>
  <c r="E11" i="172"/>
  <c r="Z10" i="172"/>
  <c r="X10" i="172"/>
  <c r="V10" i="172"/>
  <c r="T10" i="172"/>
  <c r="S10" i="172"/>
  <c r="R10" i="172"/>
  <c r="Q10" i="172"/>
  <c r="P10" i="172"/>
  <c r="O10" i="172"/>
  <c r="N10" i="172"/>
  <c r="M10" i="172"/>
  <c r="L10" i="172"/>
  <c r="I10" i="172"/>
  <c r="E10" i="172"/>
  <c r="Z9" i="172"/>
  <c r="X9" i="172"/>
  <c r="V9" i="172"/>
  <c r="T9" i="172"/>
  <c r="S9" i="172"/>
  <c r="R9" i="172"/>
  <c r="Q9" i="172"/>
  <c r="P9" i="172"/>
  <c r="O9" i="172"/>
  <c r="N9" i="172"/>
  <c r="M9" i="172"/>
  <c r="L9" i="172"/>
  <c r="I9" i="172"/>
  <c r="E9" i="172"/>
  <c r="Z8" i="172"/>
  <c r="X8" i="172"/>
  <c r="V8" i="172"/>
  <c r="T8" i="172"/>
  <c r="S8" i="172"/>
  <c r="R8" i="172"/>
  <c r="Q8" i="172"/>
  <c r="P8" i="172"/>
  <c r="O8" i="172"/>
  <c r="N8" i="172"/>
  <c r="M8" i="172"/>
  <c r="L8" i="172"/>
  <c r="I8" i="172"/>
  <c r="E8" i="172"/>
  <c r="Z7" i="172"/>
  <c r="X7" i="172"/>
  <c r="V7" i="172"/>
  <c r="T7" i="172"/>
  <c r="S7" i="172"/>
  <c r="R7" i="172"/>
  <c r="Q7" i="172"/>
  <c r="P7" i="172"/>
  <c r="O7" i="172"/>
  <c r="N7" i="172"/>
  <c r="M7" i="172"/>
  <c r="L7" i="172"/>
  <c r="I7" i="172"/>
  <c r="E7" i="172"/>
  <c r="Z6" i="172"/>
  <c r="X6" i="172"/>
  <c r="V6" i="172"/>
  <c r="T6" i="172"/>
  <c r="S6" i="172"/>
  <c r="R6" i="172"/>
  <c r="Q6" i="172"/>
  <c r="P6" i="172"/>
  <c r="O6" i="172"/>
  <c r="N6" i="172"/>
  <c r="M6" i="172"/>
  <c r="L6" i="172"/>
  <c r="I6" i="172"/>
  <c r="E6" i="172"/>
  <c r="M9" i="173"/>
  <c r="K9" i="173"/>
  <c r="J9" i="173"/>
  <c r="I9" i="173"/>
  <c r="H9" i="173"/>
  <c r="G9" i="173"/>
  <c r="F9" i="173"/>
  <c r="E9" i="173"/>
  <c r="J8" i="173"/>
  <c r="H8" i="173"/>
  <c r="E8" i="173"/>
  <c r="J7" i="173"/>
  <c r="H7" i="173"/>
  <c r="E7" i="173"/>
  <c r="G3" i="173"/>
  <c r="E3" i="173"/>
  <c r="G1" i="173"/>
  <c r="O58" i="178"/>
  <c r="T57" i="178"/>
  <c r="S57" i="178"/>
  <c r="R57" i="178"/>
  <c r="Q57" i="178"/>
  <c r="P57" i="178"/>
  <c r="O57" i="178"/>
  <c r="N57" i="178"/>
  <c r="M57" i="178"/>
  <c r="L57" i="178"/>
  <c r="K57" i="178"/>
  <c r="J57" i="178"/>
  <c r="I57" i="178"/>
  <c r="H57" i="178"/>
  <c r="G57" i="178"/>
  <c r="F57" i="178"/>
  <c r="E57" i="178"/>
  <c r="C57" i="178"/>
  <c r="T56" i="178"/>
  <c r="R56" i="178"/>
  <c r="P56" i="178"/>
  <c r="O56" i="178"/>
  <c r="N56" i="178"/>
  <c r="M56" i="178"/>
  <c r="L56" i="178"/>
  <c r="K56" i="178"/>
  <c r="J56" i="178"/>
  <c r="I56" i="178"/>
  <c r="H56" i="178"/>
  <c r="G56" i="178"/>
  <c r="F56" i="178"/>
  <c r="E56" i="178"/>
  <c r="T55" i="178"/>
  <c r="R55" i="178"/>
  <c r="J55" i="178"/>
  <c r="T54" i="178"/>
  <c r="R54" i="178"/>
  <c r="J54" i="178"/>
  <c r="T53" i="178"/>
  <c r="R53" i="178"/>
  <c r="J53" i="178"/>
  <c r="H53" i="178"/>
  <c r="T52" i="178"/>
  <c r="R52" i="178"/>
  <c r="J52" i="178"/>
  <c r="H52" i="178"/>
  <c r="T49" i="178"/>
  <c r="R49" i="178"/>
  <c r="P49" i="178"/>
  <c r="O49" i="178"/>
  <c r="N49" i="178"/>
  <c r="M49" i="178"/>
  <c r="L49" i="178"/>
  <c r="K49" i="178"/>
  <c r="J49" i="178"/>
  <c r="I49" i="178"/>
  <c r="H49" i="178"/>
  <c r="G49" i="178"/>
  <c r="F49" i="178"/>
  <c r="T48" i="178"/>
  <c r="R48" i="178"/>
  <c r="J48" i="178"/>
  <c r="T45" i="178"/>
  <c r="R45" i="178"/>
  <c r="P45" i="178"/>
  <c r="O45" i="178"/>
  <c r="N45" i="178"/>
  <c r="M45" i="178"/>
  <c r="L45" i="178"/>
  <c r="K45" i="178"/>
  <c r="J45" i="178"/>
  <c r="I45" i="178"/>
  <c r="H45" i="178"/>
  <c r="G45" i="178"/>
  <c r="F45" i="178"/>
  <c r="T44" i="178"/>
  <c r="R44" i="178"/>
  <c r="J44" i="178"/>
  <c r="G44" i="178"/>
  <c r="T43" i="178"/>
  <c r="R43" i="178"/>
  <c r="J43" i="178"/>
  <c r="G43" i="178"/>
  <c r="T42" i="178"/>
  <c r="R42" i="178"/>
  <c r="J42" i="178"/>
  <c r="G42" i="178"/>
  <c r="T39" i="178"/>
  <c r="R39" i="178"/>
  <c r="P39" i="178"/>
  <c r="O39" i="178"/>
  <c r="N39" i="178"/>
  <c r="M39" i="178"/>
  <c r="L39" i="178"/>
  <c r="K39" i="178"/>
  <c r="J39" i="178"/>
  <c r="I39" i="178"/>
  <c r="H39" i="178"/>
  <c r="G39" i="178"/>
  <c r="F39" i="178"/>
  <c r="T38" i="178"/>
  <c r="R38" i="178"/>
  <c r="P38" i="178"/>
  <c r="O38" i="178"/>
  <c r="J38" i="178"/>
  <c r="H38" i="178"/>
  <c r="T35" i="178"/>
  <c r="R35" i="178"/>
  <c r="P35" i="178"/>
  <c r="O35" i="178"/>
  <c r="N35" i="178"/>
  <c r="M35" i="178"/>
  <c r="L35" i="178"/>
  <c r="K35" i="178"/>
  <c r="J35" i="178"/>
  <c r="I35" i="178"/>
  <c r="H35" i="178"/>
  <c r="G35" i="178"/>
  <c r="F35" i="178"/>
  <c r="T34" i="178"/>
  <c r="R34" i="178"/>
  <c r="J34" i="178"/>
  <c r="G34" i="178"/>
  <c r="T31" i="178"/>
  <c r="R31" i="178"/>
  <c r="P31" i="178"/>
  <c r="O31" i="178"/>
  <c r="M31" i="178"/>
  <c r="L31" i="178"/>
  <c r="K31" i="178"/>
  <c r="J31" i="178"/>
  <c r="I31" i="178"/>
  <c r="H31" i="178"/>
  <c r="G31" i="178"/>
  <c r="F31" i="178"/>
  <c r="T30" i="178"/>
  <c r="R30" i="178"/>
  <c r="J30" i="178"/>
  <c r="G30" i="178"/>
  <c r="T29" i="178"/>
  <c r="R29" i="178"/>
  <c r="J29" i="178"/>
  <c r="G29" i="178"/>
  <c r="T26" i="178"/>
  <c r="R26" i="178"/>
  <c r="P26" i="178"/>
  <c r="O26" i="178"/>
  <c r="N26" i="178"/>
  <c r="M26" i="178"/>
  <c r="L26" i="178"/>
  <c r="K26" i="178"/>
  <c r="J26" i="178"/>
  <c r="I26" i="178"/>
  <c r="H26" i="178"/>
  <c r="G26" i="178"/>
  <c r="F26" i="178"/>
  <c r="T25" i="178"/>
  <c r="R25" i="178"/>
  <c r="J25" i="178"/>
  <c r="T24" i="178"/>
  <c r="R24" i="178"/>
  <c r="J24" i="178"/>
  <c r="G24" i="178"/>
  <c r="T21" i="178"/>
  <c r="S21" i="178"/>
  <c r="R21" i="178"/>
  <c r="P21" i="178"/>
  <c r="O21" i="178"/>
  <c r="N21" i="178"/>
  <c r="M21" i="178"/>
  <c r="L21" i="178"/>
  <c r="K21" i="178"/>
  <c r="J21" i="178"/>
  <c r="I21" i="178"/>
  <c r="H21" i="178"/>
  <c r="G21" i="178"/>
  <c r="T20" i="178"/>
  <c r="R20" i="178"/>
  <c r="J20" i="178"/>
  <c r="G20" i="178"/>
  <c r="T19" i="178"/>
  <c r="S19" i="178"/>
  <c r="R19" i="178"/>
  <c r="J19" i="178"/>
  <c r="G19" i="178"/>
  <c r="T16" i="178"/>
  <c r="R16" i="178"/>
  <c r="P16" i="178"/>
  <c r="O16" i="178"/>
  <c r="N16" i="178"/>
  <c r="M16" i="178"/>
  <c r="L16" i="178"/>
  <c r="K16" i="178"/>
  <c r="J16" i="178"/>
  <c r="I16" i="178"/>
  <c r="H16" i="178"/>
  <c r="G16" i="178"/>
  <c r="F16" i="178"/>
  <c r="T15" i="178"/>
  <c r="R15" i="178"/>
  <c r="J15" i="178"/>
  <c r="T12" i="178"/>
  <c r="R12" i="178"/>
  <c r="P12" i="178"/>
  <c r="O12" i="178"/>
  <c r="N12" i="178"/>
  <c r="M12" i="178"/>
  <c r="L12" i="178"/>
  <c r="K12" i="178"/>
  <c r="J12" i="178"/>
  <c r="I12" i="178"/>
  <c r="H12" i="178"/>
  <c r="G12" i="178"/>
  <c r="F12" i="178"/>
  <c r="T11" i="178"/>
  <c r="R11" i="178"/>
  <c r="J11" i="178"/>
  <c r="H11" i="178"/>
  <c r="T10" i="178"/>
  <c r="R10" i="178"/>
  <c r="J10" i="178"/>
  <c r="H10" i="178"/>
  <c r="T9" i="178"/>
  <c r="R9" i="178"/>
  <c r="J9" i="178"/>
  <c r="H9" i="178"/>
  <c r="T8" i="178"/>
  <c r="R8" i="178"/>
  <c r="J8" i="178"/>
  <c r="H8" i="178"/>
  <c r="T7" i="178"/>
  <c r="R7" i="178"/>
  <c r="J7" i="178"/>
  <c r="H7" i="178"/>
  <c r="E57" i="176"/>
  <c r="C57" i="176"/>
  <c r="E56" i="176"/>
  <c r="E49" i="176"/>
  <c r="E45" i="176"/>
  <c r="E39" i="176"/>
  <c r="E35" i="176"/>
  <c r="E31" i="176"/>
  <c r="E26" i="176"/>
  <c r="E21" i="176"/>
  <c r="E16" i="176"/>
  <c r="E12" i="176"/>
  <c r="C166" i="68"/>
  <c r="H56" i="68"/>
  <c r="F56" i="68"/>
  <c r="E56" i="68"/>
  <c r="H55" i="68"/>
  <c r="G55" i="68"/>
  <c r="F55" i="68"/>
  <c r="H54" i="68"/>
  <c r="G54" i="68"/>
  <c r="F54" i="68"/>
  <c r="H53" i="68"/>
  <c r="G53" i="68"/>
  <c r="F53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6" i="68"/>
  <c r="G46" i="68"/>
  <c r="F46" i="68"/>
  <c r="H45" i="68"/>
  <c r="G45" i="68"/>
  <c r="F45" i="68"/>
  <c r="H44" i="68"/>
  <c r="G44" i="68"/>
  <c r="F44" i="68"/>
  <c r="H38" i="68"/>
  <c r="H37" i="68"/>
  <c r="H35" i="68"/>
  <c r="H31" i="68"/>
  <c r="H30" i="68"/>
  <c r="H29" i="68"/>
  <c r="H28" i="68"/>
  <c r="G27" i="68"/>
  <c r="G26" i="68"/>
  <c r="G25" i="68"/>
  <c r="G24" i="68"/>
  <c r="G23" i="68"/>
  <c r="H20" i="68"/>
  <c r="O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C57" i="1"/>
  <c r="T56" i="1"/>
  <c r="R56" i="1"/>
  <c r="P56" i="1"/>
  <c r="O56" i="1"/>
  <c r="N56" i="1"/>
  <c r="M56" i="1"/>
  <c r="L56" i="1"/>
  <c r="K56" i="1"/>
  <c r="J56" i="1"/>
  <c r="I56" i="1"/>
  <c r="H56" i="1"/>
  <c r="G56" i="1"/>
  <c r="F56" i="1"/>
  <c r="E56" i="1"/>
  <c r="T55" i="1"/>
  <c r="R55" i="1"/>
  <c r="J55" i="1"/>
  <c r="T54" i="1"/>
  <c r="R54" i="1"/>
  <c r="J54" i="1"/>
  <c r="T53" i="1"/>
  <c r="R53" i="1"/>
  <c r="J53" i="1"/>
  <c r="H53" i="1"/>
  <c r="E53" i="1"/>
  <c r="T52" i="1"/>
  <c r="R52" i="1"/>
  <c r="J52" i="1"/>
  <c r="H52" i="1"/>
  <c r="T49" i="1"/>
  <c r="R49" i="1"/>
  <c r="P49" i="1"/>
  <c r="O49" i="1"/>
  <c r="N49" i="1"/>
  <c r="M49" i="1"/>
  <c r="L49" i="1"/>
  <c r="K49" i="1"/>
  <c r="J49" i="1"/>
  <c r="I49" i="1"/>
  <c r="H49" i="1"/>
  <c r="G49" i="1"/>
  <c r="F49" i="1"/>
  <c r="E49" i="1"/>
  <c r="T48" i="1"/>
  <c r="R48" i="1"/>
  <c r="J48" i="1"/>
  <c r="T45" i="1"/>
  <c r="R45" i="1"/>
  <c r="P45" i="1"/>
  <c r="O45" i="1"/>
  <c r="N45" i="1"/>
  <c r="M45" i="1"/>
  <c r="L45" i="1"/>
  <c r="K45" i="1"/>
  <c r="J45" i="1"/>
  <c r="I45" i="1"/>
  <c r="H45" i="1"/>
  <c r="G45" i="1"/>
  <c r="F45" i="1"/>
  <c r="E45" i="1"/>
  <c r="T44" i="1"/>
  <c r="R44" i="1"/>
  <c r="J44" i="1"/>
  <c r="G44" i="1"/>
  <c r="E44" i="1"/>
  <c r="T43" i="1"/>
  <c r="R43" i="1"/>
  <c r="J43" i="1"/>
  <c r="G43" i="1"/>
  <c r="E43" i="1"/>
  <c r="T42" i="1"/>
  <c r="R42" i="1"/>
  <c r="J42" i="1"/>
  <c r="G42" i="1"/>
  <c r="E42" i="1"/>
  <c r="T39" i="1"/>
  <c r="R39" i="1"/>
  <c r="P39" i="1"/>
  <c r="O39" i="1"/>
  <c r="N39" i="1"/>
  <c r="M39" i="1"/>
  <c r="L39" i="1"/>
  <c r="K39" i="1"/>
  <c r="J39" i="1"/>
  <c r="I39" i="1"/>
  <c r="H39" i="1"/>
  <c r="G39" i="1"/>
  <c r="F39" i="1"/>
  <c r="E39" i="1"/>
  <c r="T38" i="1"/>
  <c r="R38" i="1"/>
  <c r="P38" i="1"/>
  <c r="O38" i="1"/>
  <c r="J38" i="1"/>
  <c r="H38" i="1"/>
  <c r="E38" i="1"/>
  <c r="T35" i="1"/>
  <c r="R35" i="1"/>
  <c r="P35" i="1"/>
  <c r="O35" i="1"/>
  <c r="N35" i="1"/>
  <c r="M35" i="1"/>
  <c r="L35" i="1"/>
  <c r="K35" i="1"/>
  <c r="J35" i="1"/>
  <c r="I35" i="1"/>
  <c r="H35" i="1"/>
  <c r="G35" i="1"/>
  <c r="F35" i="1"/>
  <c r="E35" i="1"/>
  <c r="T34" i="1"/>
  <c r="R34" i="1"/>
  <c r="J34" i="1"/>
  <c r="G34" i="1"/>
  <c r="E34" i="1"/>
  <c r="T31" i="1"/>
  <c r="R31" i="1"/>
  <c r="P31" i="1"/>
  <c r="O31" i="1"/>
  <c r="M31" i="1"/>
  <c r="L31" i="1"/>
  <c r="K31" i="1"/>
  <c r="J31" i="1"/>
  <c r="I31" i="1"/>
  <c r="H31" i="1"/>
  <c r="G31" i="1"/>
  <c r="F31" i="1"/>
  <c r="E31" i="1"/>
  <c r="T30" i="1"/>
  <c r="R30" i="1"/>
  <c r="J30" i="1"/>
  <c r="G30" i="1"/>
  <c r="E30" i="1"/>
  <c r="T29" i="1"/>
  <c r="R29" i="1"/>
  <c r="J29" i="1"/>
  <c r="G29" i="1"/>
  <c r="E29" i="1"/>
  <c r="T26" i="1"/>
  <c r="R26" i="1"/>
  <c r="P26" i="1"/>
  <c r="O26" i="1"/>
  <c r="N26" i="1"/>
  <c r="M26" i="1"/>
  <c r="L26" i="1"/>
  <c r="K26" i="1"/>
  <c r="J26" i="1"/>
  <c r="I26" i="1"/>
  <c r="H26" i="1"/>
  <c r="G26" i="1"/>
  <c r="F26" i="1"/>
  <c r="E26" i="1"/>
  <c r="T25" i="1"/>
  <c r="R25" i="1"/>
  <c r="J25" i="1"/>
  <c r="E25" i="1"/>
  <c r="T24" i="1"/>
  <c r="R24" i="1"/>
  <c r="J24" i="1"/>
  <c r="G24" i="1"/>
  <c r="E24" i="1"/>
  <c r="T21" i="1"/>
  <c r="S21" i="1"/>
  <c r="R21" i="1"/>
  <c r="P21" i="1"/>
  <c r="O21" i="1"/>
  <c r="N21" i="1"/>
  <c r="M21" i="1"/>
  <c r="L21" i="1"/>
  <c r="K21" i="1"/>
  <c r="J21" i="1"/>
  <c r="I21" i="1"/>
  <c r="H21" i="1"/>
  <c r="G21" i="1"/>
  <c r="E21" i="1"/>
  <c r="T20" i="1"/>
  <c r="R20" i="1"/>
  <c r="J20" i="1"/>
  <c r="G20" i="1"/>
  <c r="E20" i="1"/>
  <c r="T19" i="1"/>
  <c r="S19" i="1"/>
  <c r="R19" i="1"/>
  <c r="J19" i="1"/>
  <c r="G19" i="1"/>
  <c r="E19" i="1"/>
  <c r="T16" i="1"/>
  <c r="R16" i="1"/>
  <c r="P16" i="1"/>
  <c r="O16" i="1"/>
  <c r="N16" i="1"/>
  <c r="M16" i="1"/>
  <c r="L16" i="1"/>
  <c r="K16" i="1"/>
  <c r="J16" i="1"/>
  <c r="I16" i="1"/>
  <c r="H16" i="1"/>
  <c r="G16" i="1"/>
  <c r="F16" i="1"/>
  <c r="E16" i="1"/>
  <c r="T15" i="1"/>
  <c r="R15" i="1"/>
  <c r="J15" i="1"/>
  <c r="T12" i="1"/>
  <c r="R12" i="1"/>
  <c r="P12" i="1"/>
  <c r="O12" i="1"/>
  <c r="N12" i="1"/>
  <c r="M12" i="1"/>
  <c r="L12" i="1"/>
  <c r="K12" i="1"/>
  <c r="J12" i="1"/>
  <c r="I12" i="1"/>
  <c r="H12" i="1"/>
  <c r="G12" i="1"/>
  <c r="F12" i="1"/>
  <c r="E12" i="1"/>
  <c r="T11" i="1"/>
  <c r="R11" i="1"/>
  <c r="J11" i="1"/>
  <c r="H11" i="1"/>
  <c r="E11" i="1"/>
  <c r="T10" i="1"/>
  <c r="R10" i="1"/>
  <c r="J10" i="1"/>
  <c r="H10" i="1"/>
  <c r="E10" i="1"/>
  <c r="T9" i="1"/>
  <c r="R9" i="1"/>
  <c r="J9" i="1"/>
  <c r="H9" i="1"/>
  <c r="T8" i="1"/>
  <c r="R8" i="1"/>
  <c r="J8" i="1"/>
  <c r="H8" i="1"/>
  <c r="E8" i="1"/>
  <c r="T7" i="1"/>
  <c r="R7" i="1"/>
  <c r="J7" i="1"/>
  <c r="H7" i="1"/>
  <c r="E7" i="1"/>
  <c r="E3" i="1"/>
  <c r="Q12" i="131"/>
  <c r="Q27" i="131"/>
  <c r="Q7" i="131"/>
  <c r="Q18" i="131"/>
  <c r="Q11" i="131"/>
  <c r="Q13" i="131"/>
</calcChain>
</file>

<file path=xl/sharedStrings.xml><?xml version="1.0" encoding="utf-8"?>
<sst xmlns="http://schemas.openxmlformats.org/spreadsheetml/2006/main" count="12840" uniqueCount="1273">
  <si>
    <t>NATIONAL INSTITUTE FOR LEGISLATIVE AND DEMOCRATIC STUDIES</t>
  </si>
  <si>
    <t>STAFF PAYROLL FOR THE MONTH OF NOVEMBER, 2024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</si>
  <si>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</si>
  <si>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</si>
  <si>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</si>
  <si>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</si>
  <si>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</si>
  <si>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</si>
  <si>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</si>
  <si>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</si>
  <si>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</si>
  <si>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</si>
  <si>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</si>
  <si>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</si>
  <si>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</si>
  <si>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</si>
  <si>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PAYE &amp; PENSIONS OF OCTOBER</t>
  </si>
  <si>
    <t>TOTAL DEDUCTION</t>
  </si>
  <si>
    <t>OCTOBER, 2024</t>
  </si>
  <si>
    <t>NOVEMBER, 2024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</si>
  <si>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</si>
  <si>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</si>
  <si>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</si>
  <si>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</si>
  <si>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</si>
  <si>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</si>
  <si>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</si>
  <si>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</si>
  <si>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</si>
  <si>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</si>
  <si>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</si>
  <si>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</si>
  <si>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</si>
  <si>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</si>
  <si>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</si>
  <si>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</si>
  <si>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</si>
  <si>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</si>
  <si>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</si>
  <si>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</si>
  <si>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</si>
  <si>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</si>
  <si>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</si>
  <si>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</si>
  <si>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</si>
  <si>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</si>
  <si>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</si>
  <si>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</si>
  <si>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</si>
  <si>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</si>
  <si>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</si>
  <si>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</si>
  <si>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</si>
  <si>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</si>
  <si>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</si>
  <si>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</si>
  <si>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</si>
  <si>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</si>
  <si>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</si>
  <si>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</si>
  <si>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</si>
  <si>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</si>
  <si>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</si>
  <si>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</si>
  <si>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</si>
  <si>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</si>
  <si>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</si>
  <si>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</si>
  <si>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</si>
  <si>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</si>
  <si>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</si>
  <si>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</si>
  <si>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</si>
  <si>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</si>
  <si>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</si>
  <si>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</si>
  <si>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</si>
  <si>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</si>
  <si>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</si>
  <si>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</si>
  <si>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</si>
  <si>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</si>
  <si>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</si>
  <si>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</si>
  <si>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</si>
  <si>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</si>
  <si>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</si>
  <si>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</si>
  <si>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</si>
  <si>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</si>
  <si>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</si>
  <si>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</si>
  <si>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</si>
  <si>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</si>
  <si>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</si>
  <si>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</si>
  <si>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30TH NOVEMBER, 2024</t>
  </si>
  <si>
    <t>SUBJECT: PAYROLL FOR THE MONTH OF NOVEMBER 2024</t>
  </si>
  <si>
    <t>Find below the details of NILDS Staff Payroll for the Month of  November, 2024:</t>
  </si>
  <si>
    <t>NGN</t>
  </si>
  <si>
    <t>GROSS SALARY FOR  NOVEMBER,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</si>
  <si>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</si>
  <si>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</si>
  <si>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</si>
  <si>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</si>
  <si>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</si>
  <si>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</si>
  <si>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NOVEMBER 2024</t>
  </si>
  <si>
    <t>NET PAY AS PER  NOVEMBER 2024 PAYROLL</t>
  </si>
  <si>
    <t>NET PAY AS PER  OCTOBER, 2024 PAYROLL</t>
  </si>
  <si>
    <t>NET INCREASE/ (DECREASE)  IN PAY FOR  NOVEMBER, 2024</t>
  </si>
  <si>
    <t>ANALYSED AS FOLLOWS:</t>
  </si>
  <si>
    <t>Effect of Cooperative Adjustment for November, 2024</t>
  </si>
  <si>
    <t>Effect of Deduction of PAYE &amp; Pensions for October 2024</t>
  </si>
  <si>
    <t xml:space="preserve">Effect of Upgrade of Hassan Abdulhadi </t>
  </si>
  <si>
    <t>Effect of removal of PAYE over charged Thomas Sunday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</si>
  <si>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</si>
  <si>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</si>
  <si>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</si>
  <si>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</si>
  <si>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</si>
  <si>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</si>
  <si>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</si>
  <si>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</si>
  <si>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</si>
  <si>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</si>
  <si>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</si>
  <si>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</si>
  <si>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</si>
  <si>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4,970,027.86 </t>
    </r>
    <r>
      <rPr>
        <sz val="14"/>
        <rFont val="Times New Roman"/>
        <charset val="134"/>
      </rPr>
      <t xml:space="preserve">to Guaranty Trust Bank  being November, 2024 Salary for New Staff, 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1,968,006.78  </t>
    </r>
    <r>
      <rPr>
        <sz val="14"/>
        <rFont val="Times New Roman"/>
        <charset val="134"/>
      </rPr>
      <t xml:space="preserve">being PAYE Tax Deductions from New Staff Salary for the month  of November 2024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</si>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</sst>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93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/>
      <sz val="16"/>
      <name val="Times New Roman"/>
      <charset val="134"/>
    </font>
    <font>
      <sz val="16"/>
      <name val="Times New Roman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b/>
      <strike/>
      <sz val="14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sz val="10"/>
      <name val="Arial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92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92" fillId="0" borderId="0" applyFont="0" applyFill="0" applyBorder="0" applyAlignment="0" applyProtection="0"/>
    <xf numFmtId="165" fontId="92" fillId="0" borderId="0" applyFont="0" applyFill="0" applyBorder="0" applyAlignment="0" applyProtection="0"/>
    <xf numFmtId="0" fontId="92" fillId="0" borderId="0"/>
  </cellStyleXfs>
  <cellXfs count="855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center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0" fontId="1" fillId="0" borderId="0" xfId="0" applyFont="1" applyFill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49" fontId="1" fillId="0" borderId="8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65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 applyBorder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Fill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42" fillId="0" borderId="0" xfId="0" applyFont="1" applyBorder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Fill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0" borderId="0" xfId="0" applyNumberFormat="1" applyFont="1"/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0" fontId="24" fillId="0" borderId="0" xfId="0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65" fontId="31" fillId="14" borderId="1" xfId="4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65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80" fillId="2" borderId="0" xfId="0" applyFont="1" applyFill="1" applyBorder="1" applyAlignment="1"/>
    <xf numFmtId="0" fontId="80" fillId="2" borderId="0" xfId="0" applyFont="1" applyFill="1" applyAlignment="1"/>
    <xf numFmtId="0" fontId="81" fillId="2" borderId="0" xfId="0" applyFont="1" applyFill="1" applyAlignment="1"/>
    <xf numFmtId="0" fontId="82" fillId="2" borderId="0" xfId="0" applyFont="1" applyFill="1" applyBorder="1"/>
    <xf numFmtId="0" fontId="82" fillId="2" borderId="0" xfId="0" applyFont="1" applyFill="1"/>
    <xf numFmtId="0" fontId="82" fillId="2" borderId="1" xfId="0" applyFont="1" applyFill="1" applyBorder="1"/>
    <xf numFmtId="0" fontId="83" fillId="2" borderId="1" xfId="0" applyFont="1" applyFill="1" applyBorder="1" applyAlignment="1">
      <alignment horizontal="left"/>
    </xf>
    <xf numFmtId="0" fontId="84" fillId="2" borderId="1" xfId="0" applyFont="1" applyFill="1" applyBorder="1" applyAlignment="1">
      <alignment horizontal="left"/>
    </xf>
    <xf numFmtId="0" fontId="84" fillId="2" borderId="1" xfId="0" applyFont="1" applyFill="1" applyBorder="1" applyAlignment="1">
      <alignment horizontal="center" wrapText="1"/>
    </xf>
    <xf numFmtId="0" fontId="84" fillId="18" borderId="1" xfId="0" applyFont="1" applyFill="1" applyBorder="1" applyAlignment="1">
      <alignment horizontal="center" wrapText="1"/>
    </xf>
    <xf numFmtId="0" fontId="84" fillId="19" borderId="1" xfId="0" applyFont="1" applyFill="1" applyBorder="1" applyAlignment="1">
      <alignment horizontal="center" wrapText="1"/>
    </xf>
    <xf numFmtId="49" fontId="85" fillId="2" borderId="1" xfId="0" applyNumberFormat="1" applyFont="1" applyFill="1" applyBorder="1" applyAlignment="1">
      <alignment horizontal="left"/>
    </xf>
    <xf numFmtId="0" fontId="86" fillId="18" borderId="1" xfId="0" applyFont="1" applyFill="1" applyBorder="1" applyAlignment="1">
      <alignment horizontal="center"/>
    </xf>
    <xf numFmtId="0" fontId="86" fillId="19" borderId="1" xfId="0" applyFont="1" applyFill="1" applyBorder="1" applyAlignment="1">
      <alignment horizontal="center"/>
    </xf>
    <xf numFmtId="43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2" borderId="0" xfId="0" applyFont="1" applyFill="1" applyAlignment="1"/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 wrapText="1"/>
    </xf>
    <xf numFmtId="0" fontId="3" fillId="18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7" fillId="0" borderId="0" xfId="0" applyFont="1"/>
    <xf numFmtId="0" fontId="71" fillId="0" borderId="0" xfId="0" applyFont="1"/>
    <xf numFmtId="0" fontId="89" fillId="0" borderId="0" xfId="0" applyFont="1"/>
    <xf numFmtId="0" fontId="90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0" fontId="3" fillId="0" borderId="0" xfId="0" applyFont="1" applyAlignment="1"/>
    <xf numFmtId="4" fontId="91" fillId="0" borderId="0" xfId="0" applyNumberFormat="1" applyFont="1" applyBorder="1" applyAlignment="1"/>
    <xf numFmtId="43" fontId="21" fillId="0" borderId="0" xfId="1" applyFont="1" applyBorder="1" applyAlignment="1"/>
    <xf numFmtId="43" fontId="3" fillId="0" borderId="0" xfId="1" applyFont="1" applyBorder="1" applyAlignment="1"/>
    <xf numFmtId="0" fontId="1" fillId="0" borderId="0" xfId="0" applyFont="1" applyAlignment="1"/>
    <xf numFmtId="43" fontId="1" fillId="0" borderId="0" xfId="1" applyFont="1" applyFill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0" fontId="18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3" fillId="0" borderId="0" xfId="0" applyNumberFormat="1" applyFont="1" applyBorder="1"/>
    <xf numFmtId="43" fontId="1" fillId="0" borderId="0" xfId="1" applyFont="1" applyFill="1" applyBorder="1" applyAlignment="1">
      <alignment horizontal="right"/>
    </xf>
    <xf numFmtId="43" fontId="1" fillId="0" borderId="0" xfId="0" applyNumberFormat="1" applyFont="1" applyAlignment="1"/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 applyFill="1" applyBorder="1"/>
    <xf numFmtId="0" fontId="39" fillId="0" borderId="0" xfId="0" quotePrefix="1" applyFont="1" applyBorder="1"/>
    <xf numFmtId="0" fontId="39" fillId="0" borderId="2" xfId="0" quotePrefix="1" applyFont="1" applyFill="1" applyBorder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 applyBorder="1"/>
    <xf numFmtId="0" fontId="87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57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3" fillId="0" borderId="12" xfId="0" applyFont="1" applyBorder="1"/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25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61" fillId="2" borderId="0" xfId="0" applyFont="1" applyFill="1" applyBorder="1"/>
    <xf numFmtId="0" fontId="57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25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left"/>
    </xf>
    <xf numFmtId="4" fontId="7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0" xfId="0" applyFont="1" applyFill="1" applyBorder="1"/>
  </cellXfs>
  <cellStyles count="6">
    <cellStyle name="Comma" xfId="1" builtinId="3"/>
    <cellStyle name="Comma 12" xfId="2"/>
    <cellStyle name="Comma 2" xfId="3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3.xml"/><Relationship Id="rId79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80" Type="http://schemas.openxmlformats.org/officeDocument/2006/relationships/externalLink" Target="externalLinks/externalLink9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4.xml"/><Relationship Id="rId83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2.xml"/><Relationship Id="rId78" Type="http://schemas.openxmlformats.org/officeDocument/2006/relationships/externalLink" Target="externalLinks/externalLink7.xml"/><Relationship Id="rId81" Type="http://schemas.openxmlformats.org/officeDocument/2006/relationships/externalLink" Target="externalLinks/externalLink10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abSelected="1" zoomScaleSheetLayoutView="50" workbookViewId="0">
      <pane xSplit="3" ySplit="6" topLeftCell="T7" activePane="bottomRight" state="frozen"/>
      <selection pane="topRight"/>
      <selection pane="bottomLeft"/>
      <selection pane="bottomRight" activeCell="Q42" sqref="Q42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5" width="19.81640625" style="1" customWidth="1"/>
    <col min="16" max="17" width="18.1796875" style="1" customWidth="1"/>
    <col min="18" max="18" width="19.26953125" style="1" customWidth="1"/>
    <col min="19" max="19" width="17.36328125" style="1" customWidth="1"/>
    <col min="20" max="20" width="19.54296875" style="1" customWidth="1"/>
    <col min="21" max="16384" width="9.1796875" style="1"/>
  </cols>
  <sheetData>
    <row r="1" spans="1:20" ht="27" customHeight="1">
      <c r="A1" s="764" t="s">
        <v>0</v>
      </c>
      <c r="B1" s="764"/>
      <c r="C1" s="764"/>
      <c r="D1" s="764"/>
      <c r="E1" s="764"/>
      <c r="F1" s="764"/>
      <c r="G1" s="198"/>
      <c r="H1" s="198"/>
      <c r="I1" s="198"/>
    </row>
    <row r="2" spans="1:20" ht="33.75" customHeight="1">
      <c r="A2" s="62" t="s">
        <v>1</v>
      </c>
      <c r="B2" s="63"/>
      <c r="C2" s="62"/>
      <c r="D2" s="62"/>
      <c r="E2" s="197"/>
      <c r="F2" s="197"/>
      <c r="G2" s="277"/>
      <c r="H2" s="277"/>
      <c r="I2" s="277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20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</row>
    <row r="4" spans="1:20" ht="49.5" customHeight="1">
      <c r="A4" s="3"/>
      <c r="B4" s="4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199" t="s">
        <v>7</v>
      </c>
      <c r="H4" s="199" t="s">
        <v>7</v>
      </c>
      <c r="I4" s="199" t="s">
        <v>8</v>
      </c>
      <c r="J4" s="485" t="s">
        <v>9</v>
      </c>
      <c r="K4" s="199" t="s">
        <v>10</v>
      </c>
      <c r="L4" s="199" t="s">
        <v>11</v>
      </c>
      <c r="M4" s="199" t="s">
        <v>12</v>
      </c>
      <c r="N4" s="199" t="s">
        <v>13</v>
      </c>
      <c r="O4" s="23" t="s">
        <v>14</v>
      </c>
      <c r="P4" s="199" t="s">
        <v>15</v>
      </c>
      <c r="Q4" s="199" t="s">
        <v>16</v>
      </c>
      <c r="R4" s="485" t="s">
        <v>17</v>
      </c>
      <c r="S4" s="66" t="s">
        <v>18</v>
      </c>
      <c r="T4" s="716" t="s">
        <v>19</v>
      </c>
    </row>
    <row r="5" spans="1:20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487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68" t="s">
        <v>20</v>
      </c>
      <c r="R5" s="487" t="s">
        <v>20</v>
      </c>
      <c r="S5" s="68" t="s">
        <v>20</v>
      </c>
      <c r="T5" s="487" t="s">
        <v>20</v>
      </c>
    </row>
    <row r="6" spans="1:20" ht="20.149999999999999" customHeight="1">
      <c r="A6" s="8" t="s">
        <v>21</v>
      </c>
      <c r="B6" s="7" t="s">
        <v>22</v>
      </c>
      <c r="C6" s="7"/>
      <c r="D6" s="7"/>
      <c r="E6" s="68"/>
      <c r="F6" s="20"/>
      <c r="G6" s="68"/>
      <c r="H6" s="68"/>
      <c r="I6" s="68"/>
      <c r="J6" s="487"/>
      <c r="K6" s="68"/>
      <c r="L6" s="68"/>
      <c r="M6" s="68"/>
      <c r="N6" s="68"/>
      <c r="O6" s="68"/>
      <c r="P6" s="68"/>
      <c r="Q6" s="68"/>
      <c r="R6" s="487"/>
      <c r="S6" s="68"/>
      <c r="T6" s="487"/>
    </row>
    <row r="7" spans="1:20" ht="18.75" customHeight="1">
      <c r="A7" s="9">
        <v>1</v>
      </c>
      <c r="B7" s="17" t="s">
        <v>23</v>
      </c>
      <c r="C7" s="3" t="s">
        <v>24</v>
      </c>
      <c r="D7" s="9" t="s">
        <v>25</v>
      </c>
      <c r="E7" s="71">
        <f>255849</f>
        <v>255849</v>
      </c>
      <c r="F7" s="71"/>
      <c r="G7" s="201"/>
      <c r="H7" s="201">
        <f>60000</f>
        <v>60000</v>
      </c>
      <c r="I7" s="71"/>
      <c r="J7" s="489">
        <f t="shared" ref="J7" si="0">E7+F7+G7+H7+I7</f>
        <v>315849</v>
      </c>
      <c r="K7" s="71"/>
      <c r="L7" s="71"/>
      <c r="M7" s="71"/>
      <c r="N7" s="71"/>
      <c r="O7" s="71">
        <v>36790.688106666697</v>
      </c>
      <c r="P7" s="71">
        <v>20467.919999999998</v>
      </c>
      <c r="Q7" s="71">
        <v>57258.608106666703</v>
      </c>
      <c r="R7" s="489">
        <f>O7+N7+M7+L7+K7+P7+Q7</f>
        <v>114517.216213333</v>
      </c>
      <c r="S7" s="71">
        <v>258590.391893333</v>
      </c>
      <c r="T7" s="489">
        <f t="shared" ref="T7:T11" si="1">J7-R7</f>
        <v>201331.78378666699</v>
      </c>
    </row>
    <row r="8" spans="1:20" ht="18.75" customHeight="1">
      <c r="A8" s="9">
        <v>2</v>
      </c>
      <c r="B8" s="17" t="s">
        <v>26</v>
      </c>
      <c r="C8" s="3" t="s">
        <v>24</v>
      </c>
      <c r="D8" s="9" t="s">
        <v>25</v>
      </c>
      <c r="E8" s="71">
        <f>255849</f>
        <v>255849</v>
      </c>
      <c r="F8" s="71"/>
      <c r="G8" s="201"/>
      <c r="H8" s="201">
        <f>60000</f>
        <v>60000</v>
      </c>
      <c r="I8" s="71"/>
      <c r="J8" s="489">
        <f t="shared" ref="J8" si="2">E8+F8+G8+H8+I8</f>
        <v>315849</v>
      </c>
      <c r="K8" s="71"/>
      <c r="L8" s="71"/>
      <c r="M8" s="71"/>
      <c r="N8" s="71"/>
      <c r="O8" s="71">
        <v>36790.688106666697</v>
      </c>
      <c r="P8" s="71">
        <v>20467.919999999998</v>
      </c>
      <c r="Q8" s="71">
        <v>57258.608106666703</v>
      </c>
      <c r="R8" s="489">
        <f>O8+N8+M8+L8+K8+P8+Q8</f>
        <v>114517.216213333</v>
      </c>
      <c r="S8" s="71">
        <v>258590.391893333</v>
      </c>
      <c r="T8" s="489">
        <f t="shared" si="1"/>
        <v>201331.78378666699</v>
      </c>
    </row>
    <row r="9" spans="1:20" ht="18.75" customHeight="1">
      <c r="A9" s="9">
        <v>3</v>
      </c>
      <c r="B9" s="17" t="s">
        <v>27</v>
      </c>
      <c r="C9" s="3" t="s">
        <v>28</v>
      </c>
      <c r="D9" s="9" t="s">
        <v>25</v>
      </c>
      <c r="E9" s="71">
        <v>255849</v>
      </c>
      <c r="F9" s="71"/>
      <c r="G9" s="201"/>
      <c r="H9" s="201">
        <f>60000</f>
        <v>60000</v>
      </c>
      <c r="I9" s="71"/>
      <c r="J9" s="489">
        <f t="shared" ref="J9" si="3">E9+F9+G9+H9+I9</f>
        <v>315849</v>
      </c>
      <c r="K9" s="71"/>
      <c r="L9" s="71"/>
      <c r="M9" s="71"/>
      <c r="N9" s="71"/>
      <c r="O9" s="71">
        <v>36790.688106666697</v>
      </c>
      <c r="P9" s="71">
        <v>20467.919999999998</v>
      </c>
      <c r="Q9" s="71">
        <v>57258.608106666703</v>
      </c>
      <c r="R9" s="489">
        <f>O9+N9+M9+L9+K9+P9+Q9</f>
        <v>114517.216213333</v>
      </c>
      <c r="S9" s="71">
        <v>258590.391893333</v>
      </c>
      <c r="T9" s="489">
        <f t="shared" si="1"/>
        <v>201331.78378666699</v>
      </c>
    </row>
    <row r="10" spans="1:20" ht="20.149999999999999" customHeight="1">
      <c r="A10" s="9">
        <v>4</v>
      </c>
      <c r="B10" s="17" t="s">
        <v>29</v>
      </c>
      <c r="C10" s="11" t="s">
        <v>30</v>
      </c>
      <c r="D10" s="14" t="s">
        <v>31</v>
      </c>
      <c r="E10" s="71">
        <f>218287.583333333</f>
        <v>218287.58333333299</v>
      </c>
      <c r="F10" s="71"/>
      <c r="G10" s="201"/>
      <c r="H10" s="201">
        <f>50000</f>
        <v>50000</v>
      </c>
      <c r="I10" s="71"/>
      <c r="J10" s="489">
        <f t="shared" ref="J10" si="4">SUM(E10:I10)</f>
        <v>268287.58333333302</v>
      </c>
      <c r="K10" s="71"/>
      <c r="L10" s="656"/>
      <c r="M10" s="656"/>
      <c r="N10" s="3"/>
      <c r="O10" s="656">
        <v>29305.1955466666</v>
      </c>
      <c r="P10" s="656">
        <v>17463.006666666599</v>
      </c>
      <c r="Q10" s="656">
        <v>46768.202213333199</v>
      </c>
      <c r="R10" s="489">
        <f>O10+N10+M10+L10+K10+P10+Q10</f>
        <v>93536.404426666501</v>
      </c>
      <c r="S10" s="71">
        <v>221519.38112000001</v>
      </c>
      <c r="T10" s="489">
        <f t="shared" si="1"/>
        <v>174751.17890666699</v>
      </c>
    </row>
    <row r="11" spans="1:20" ht="20.149999999999999" customHeight="1">
      <c r="A11" s="9">
        <v>5</v>
      </c>
      <c r="B11" s="17" t="s">
        <v>32</v>
      </c>
      <c r="C11" s="11" t="s">
        <v>33</v>
      </c>
      <c r="D11" s="14" t="s">
        <v>31</v>
      </c>
      <c r="E11" s="71">
        <f>218287.583333333</f>
        <v>218287.58333333299</v>
      </c>
      <c r="F11" s="71"/>
      <c r="G11" s="201"/>
      <c r="H11" s="201">
        <f>50000</f>
        <v>50000</v>
      </c>
      <c r="I11" s="71"/>
      <c r="J11" s="489">
        <f t="shared" ref="J11" si="5">SUM(E11:I11)</f>
        <v>268287.58333333302</v>
      </c>
      <c r="K11" s="71"/>
      <c r="L11" s="656"/>
      <c r="M11" s="656"/>
      <c r="N11" s="3"/>
      <c r="O11" s="656">
        <v>29305.1955466666</v>
      </c>
      <c r="P11" s="656">
        <v>17463.006666666599</v>
      </c>
      <c r="Q11" s="656">
        <v>46768.202213333199</v>
      </c>
      <c r="R11" s="489">
        <f>O11+N11+M11+L11+K11+P11+Q11</f>
        <v>93536.404426666501</v>
      </c>
      <c r="S11" s="71">
        <v>221519.38112000001</v>
      </c>
      <c r="T11" s="489">
        <f t="shared" si="1"/>
        <v>174751.17890666699</v>
      </c>
    </row>
    <row r="12" spans="1:20" ht="26.25" customHeight="1">
      <c r="A12" s="9"/>
      <c r="B12" s="19" t="s">
        <v>34</v>
      </c>
      <c r="C12" s="20">
        <v>5</v>
      </c>
      <c r="D12" s="14"/>
      <c r="E12" s="202">
        <f t="shared" ref="E12:P12" si="6">SUM(E7:E11)</f>
        <v>1204122.16666667</v>
      </c>
      <c r="F12" s="202">
        <f t="shared" si="6"/>
        <v>0</v>
      </c>
      <c r="G12" s="202">
        <f t="shared" si="6"/>
        <v>0</v>
      </c>
      <c r="H12" s="202">
        <f t="shared" si="6"/>
        <v>280000</v>
      </c>
      <c r="I12" s="202">
        <f t="shared" si="6"/>
        <v>0</v>
      </c>
      <c r="J12" s="494">
        <f t="shared" si="6"/>
        <v>1484122.16666667</v>
      </c>
      <c r="K12" s="202">
        <f t="shared" si="6"/>
        <v>0</v>
      </c>
      <c r="L12" s="202">
        <f t="shared" si="6"/>
        <v>0</v>
      </c>
      <c r="M12" s="202">
        <f t="shared" si="6"/>
        <v>0</v>
      </c>
      <c r="N12" s="202">
        <f t="shared" si="6"/>
        <v>0</v>
      </c>
      <c r="O12" s="202">
        <f t="shared" si="6"/>
        <v>168982.45541333299</v>
      </c>
      <c r="P12" s="202">
        <f t="shared" si="6"/>
        <v>96329.773333333302</v>
      </c>
      <c r="Q12" s="202">
        <v>265312.22874666599</v>
      </c>
      <c r="R12" s="494">
        <f>SUM(R7:R11)</f>
        <v>530624.45749333303</v>
      </c>
      <c r="S12" s="202">
        <v>1218809.9379199999</v>
      </c>
      <c r="T12" s="494">
        <f>SUM(T7:T11)</f>
        <v>953497.70917333302</v>
      </c>
    </row>
    <row r="13" spans="1:20" ht="18.75" customHeight="1">
      <c r="A13" s="9"/>
      <c r="B13" s="21"/>
      <c r="C13" s="3"/>
      <c r="D13" s="14"/>
      <c r="E13" s="202"/>
      <c r="F13" s="202"/>
      <c r="G13" s="201"/>
      <c r="H13" s="201"/>
      <c r="I13" s="202"/>
      <c r="J13" s="494"/>
      <c r="K13" s="202"/>
      <c r="L13" s="202"/>
      <c r="M13" s="202"/>
      <c r="N13" s="202"/>
      <c r="O13" s="202"/>
      <c r="P13" s="202"/>
      <c r="Q13" s="202"/>
      <c r="R13" s="494"/>
      <c r="S13" s="202"/>
      <c r="T13" s="494"/>
    </row>
    <row r="14" spans="1:20" ht="18.75" customHeight="1">
      <c r="A14" s="9"/>
      <c r="B14" s="19" t="s">
        <v>35</v>
      </c>
      <c r="C14" s="3"/>
      <c r="D14" s="14"/>
      <c r="E14" s="71"/>
      <c r="F14" s="71"/>
      <c r="G14" s="201"/>
      <c r="H14" s="201"/>
      <c r="I14" s="71"/>
      <c r="J14" s="489"/>
      <c r="K14" s="71"/>
      <c r="L14" s="71"/>
      <c r="M14" s="71"/>
      <c r="N14" s="71"/>
      <c r="O14" s="71"/>
      <c r="P14" s="71"/>
      <c r="Q14" s="71"/>
      <c r="R14" s="489"/>
      <c r="S14" s="71"/>
      <c r="T14" s="489"/>
    </row>
    <row r="15" spans="1:20" ht="20.149999999999999" customHeight="1">
      <c r="A15" s="3">
        <v>1</v>
      </c>
      <c r="B15" s="17" t="s">
        <v>36</v>
      </c>
      <c r="C15" s="11" t="s">
        <v>37</v>
      </c>
      <c r="D15" s="14" t="s">
        <v>38</v>
      </c>
      <c r="E15" s="71">
        <v>293029.66666666698</v>
      </c>
      <c r="F15" s="71"/>
      <c r="G15" s="201"/>
      <c r="H15" s="201">
        <v>60000</v>
      </c>
      <c r="I15" s="71"/>
      <c r="J15" s="489">
        <f t="shared" ref="J15" si="7">SUM(E15:I15)</f>
        <v>353029.66666666698</v>
      </c>
      <c r="K15" s="71"/>
      <c r="L15" s="656"/>
      <c r="M15" s="656"/>
      <c r="O15" s="656">
        <v>43541.87</v>
      </c>
      <c r="P15" s="657">
        <v>23442.3733333333</v>
      </c>
      <c r="Q15" s="657">
        <v>66984.243333333303</v>
      </c>
      <c r="R15" s="489">
        <f>O15+N15+M15+L15+K15+P15+Q15</f>
        <v>133968.48666666701</v>
      </c>
      <c r="S15" s="71">
        <v>262458.00731182803</v>
      </c>
      <c r="T15" s="489">
        <f t="shared" ref="T15" si="8">J15-R15</f>
        <v>219061.18</v>
      </c>
    </row>
    <row r="16" spans="1:20" ht="19.5" customHeight="1">
      <c r="A16" s="9"/>
      <c r="B16" s="13"/>
      <c r="C16" s="20">
        <v>1</v>
      </c>
      <c r="D16" s="9"/>
      <c r="E16" s="202">
        <f t="shared" ref="E16:P16" si="9">SUM(E15:E15)</f>
        <v>293029.66666666698</v>
      </c>
      <c r="F16" s="202">
        <f t="shared" si="9"/>
        <v>0</v>
      </c>
      <c r="G16" s="202">
        <f t="shared" si="9"/>
        <v>0</v>
      </c>
      <c r="H16" s="202">
        <f t="shared" si="9"/>
        <v>60000</v>
      </c>
      <c r="I16" s="202">
        <f t="shared" si="9"/>
        <v>0</v>
      </c>
      <c r="J16" s="494">
        <f t="shared" si="9"/>
        <v>353029.66666666698</v>
      </c>
      <c r="K16" s="202">
        <f t="shared" si="9"/>
        <v>0</v>
      </c>
      <c r="L16" s="202">
        <f t="shared" si="9"/>
        <v>0</v>
      </c>
      <c r="M16" s="202">
        <f t="shared" si="9"/>
        <v>0</v>
      </c>
      <c r="N16" s="202">
        <f t="shared" si="9"/>
        <v>0</v>
      </c>
      <c r="O16" s="202">
        <f t="shared" si="9"/>
        <v>43541.87</v>
      </c>
      <c r="P16" s="202">
        <f t="shared" si="9"/>
        <v>23442.3733333333</v>
      </c>
      <c r="Q16" s="202">
        <v>66984.243333333303</v>
      </c>
      <c r="R16" s="494">
        <f>SUM(R15:R15)</f>
        <v>133968.48666666701</v>
      </c>
      <c r="S16" s="202">
        <v>262458.00731182803</v>
      </c>
      <c r="T16" s="494">
        <f>SUM(T15:T15)</f>
        <v>219061.18</v>
      </c>
    </row>
    <row r="17" spans="1:20" ht="20.149999999999999" customHeight="1">
      <c r="A17" s="9"/>
      <c r="B17" s="13"/>
      <c r="C17" s="3"/>
      <c r="D17" s="9"/>
      <c r="E17" s="202"/>
      <c r="F17" s="202"/>
      <c r="G17" s="201"/>
      <c r="H17" s="201"/>
      <c r="I17" s="202"/>
      <c r="J17" s="494"/>
      <c r="K17" s="202"/>
      <c r="L17" s="202"/>
      <c r="M17" s="202"/>
      <c r="N17" s="202"/>
      <c r="O17" s="202"/>
      <c r="P17" s="202"/>
      <c r="Q17" s="202"/>
      <c r="R17" s="489"/>
      <c r="S17" s="71"/>
      <c r="T17" s="489"/>
    </row>
    <row r="18" spans="1:20" ht="20.149999999999999" customHeight="1">
      <c r="A18" s="9"/>
      <c r="B18" s="22" t="s">
        <v>39</v>
      </c>
      <c r="C18" s="4"/>
      <c r="D18" s="23"/>
      <c r="E18" s="202"/>
      <c r="F18" s="202"/>
      <c r="G18" s="201"/>
      <c r="H18" s="201"/>
      <c r="I18" s="71"/>
      <c r="J18" s="489"/>
      <c r="K18" s="71"/>
      <c r="L18" s="71"/>
      <c r="M18" s="71"/>
      <c r="N18" s="71"/>
      <c r="O18" s="71"/>
      <c r="P18" s="71"/>
      <c r="Q18" s="71"/>
      <c r="R18" s="489"/>
      <c r="S18" s="71"/>
      <c r="T18" s="489"/>
    </row>
    <row r="19" spans="1:20" ht="20.149999999999999" customHeight="1">
      <c r="A19" s="26">
        <v>1</v>
      </c>
      <c r="B19" s="17" t="s">
        <v>40</v>
      </c>
      <c r="C19" s="3" t="s">
        <v>41</v>
      </c>
      <c r="D19" s="14" t="s">
        <v>42</v>
      </c>
      <c r="E19" s="201">
        <f>353512.5</f>
        <v>353512.5</v>
      </c>
      <c r="F19" s="71"/>
      <c r="G19" s="201">
        <f>110000</f>
        <v>110000</v>
      </c>
      <c r="H19" s="201"/>
      <c r="I19" s="71"/>
      <c r="J19" s="489">
        <f t="shared" ref="J19:J20" si="10">SUM(E19:I19)</f>
        <v>463512.5</v>
      </c>
      <c r="K19" s="71"/>
      <c r="L19" s="71"/>
      <c r="M19" s="71"/>
      <c r="N19" s="71"/>
      <c r="O19" s="71">
        <v>62231.114666666697</v>
      </c>
      <c r="P19" s="71">
        <v>28281</v>
      </c>
      <c r="Q19" s="71">
        <v>90512.114666666705</v>
      </c>
      <c r="R19" s="489">
        <f>O19+N19+M19+L19+K19+P19+Q19</f>
        <v>181024.229333333</v>
      </c>
      <c r="S19" s="71">
        <f>110681.915333333+231098.56</f>
        <v>341780.47533333302</v>
      </c>
      <c r="T19" s="489">
        <f>J19-R19</f>
        <v>282488.27066666703</v>
      </c>
    </row>
    <row r="20" spans="1:20" ht="20.149999999999999" customHeight="1">
      <c r="A20" s="26">
        <v>2</v>
      </c>
      <c r="B20" s="10" t="s">
        <v>43</v>
      </c>
      <c r="C20" s="3" t="s">
        <v>44</v>
      </c>
      <c r="D20" s="9" t="s">
        <v>38</v>
      </c>
      <c r="E20" s="71">
        <f>293029.666666667</f>
        <v>293029.66666666698</v>
      </c>
      <c r="F20" s="71"/>
      <c r="G20" s="201">
        <f>100000</f>
        <v>100000</v>
      </c>
      <c r="H20" s="201"/>
      <c r="I20" s="71"/>
      <c r="J20" s="489">
        <f t="shared" si="10"/>
        <v>393029.66666666698</v>
      </c>
      <c r="K20" s="71"/>
      <c r="L20" s="71"/>
      <c r="M20" s="71"/>
      <c r="N20" s="71"/>
      <c r="O20" s="71">
        <v>50775.47</v>
      </c>
      <c r="P20" s="71">
        <v>23442.3733333333</v>
      </c>
      <c r="Q20" s="71">
        <v>74217.843333333294</v>
      </c>
      <c r="R20" s="489">
        <f>O20+N20+M20+L20+K20+P20+Q20</f>
        <v>148435.686666667</v>
      </c>
      <c r="S20" s="71">
        <v>318811.823333334</v>
      </c>
      <c r="T20" s="489">
        <f t="shared" ref="T20" si="11">J20-R20</f>
        <v>244593.98</v>
      </c>
    </row>
    <row r="21" spans="1:20" ht="25.5" customHeight="1">
      <c r="A21" s="9"/>
      <c r="B21" s="19" t="s">
        <v>34</v>
      </c>
      <c r="C21" s="20">
        <v>2</v>
      </c>
      <c r="D21" s="20"/>
      <c r="E21" s="79">
        <f>SUM(E19:E20)</f>
        <v>646542.16666666698</v>
      </c>
      <c r="F21" s="79"/>
      <c r="G21" s="79">
        <f t="shared" ref="G21:P21" si="12">SUM(G19:G20)</f>
        <v>210000</v>
      </c>
      <c r="H21" s="79">
        <f t="shared" si="12"/>
        <v>0</v>
      </c>
      <c r="I21" s="79">
        <f t="shared" si="12"/>
        <v>0</v>
      </c>
      <c r="J21" s="715">
        <f t="shared" si="12"/>
        <v>856542.16666666698</v>
      </c>
      <c r="K21" s="79">
        <f t="shared" si="12"/>
        <v>0</v>
      </c>
      <c r="L21" s="79">
        <f t="shared" si="12"/>
        <v>0</v>
      </c>
      <c r="M21" s="79">
        <f t="shared" si="12"/>
        <v>0</v>
      </c>
      <c r="N21" s="79">
        <f t="shared" si="12"/>
        <v>0</v>
      </c>
      <c r="O21" s="79">
        <f t="shared" si="12"/>
        <v>113006.584666667</v>
      </c>
      <c r="P21" s="79">
        <f t="shared" si="12"/>
        <v>51723.3733333333</v>
      </c>
      <c r="Q21" s="79">
        <v>164729.95800000001</v>
      </c>
      <c r="R21" s="715">
        <f>SUM(R19:R20)</f>
        <v>329459.91600000003</v>
      </c>
      <c r="S21" s="79">
        <f>SUM(S19:S20)</f>
        <v>660592.29866666696</v>
      </c>
      <c r="T21" s="715">
        <f>SUM(T19:T20)</f>
        <v>527082.25066666701</v>
      </c>
    </row>
    <row r="22" spans="1:20" ht="20.149999999999999" customHeight="1">
      <c r="A22" s="9"/>
      <c r="B22" s="21"/>
      <c r="C22" s="20"/>
      <c r="D22" s="20"/>
      <c r="E22" s="133"/>
      <c r="F22" s="133"/>
      <c r="G22" s="201"/>
      <c r="H22" s="201"/>
      <c r="I22" s="133"/>
      <c r="J22" s="496"/>
      <c r="K22" s="133"/>
      <c r="L22" s="133"/>
      <c r="M22" s="133"/>
      <c r="N22" s="133"/>
      <c r="O22" s="133"/>
      <c r="P22" s="133"/>
      <c r="Q22" s="133"/>
      <c r="R22" s="496"/>
      <c r="S22" s="133"/>
      <c r="T22" s="496"/>
    </row>
    <row r="23" spans="1:20" ht="20.149999999999999" customHeight="1">
      <c r="A23" s="9"/>
      <c r="B23" s="19" t="s">
        <v>45</v>
      </c>
      <c r="C23" s="20"/>
      <c r="D23" s="20"/>
      <c r="E23" s="133"/>
      <c r="F23" s="133"/>
      <c r="G23" s="201"/>
      <c r="H23" s="201"/>
      <c r="I23" s="133"/>
      <c r="J23" s="496"/>
      <c r="K23" s="133"/>
      <c r="L23" s="133"/>
      <c r="M23" s="133"/>
      <c r="N23" s="133"/>
      <c r="O23" s="133"/>
      <c r="P23" s="133"/>
      <c r="Q23" s="133"/>
      <c r="R23" s="496"/>
      <c r="S23" s="133"/>
      <c r="T23" s="496"/>
    </row>
    <row r="24" spans="1:20" ht="20.149999999999999" customHeight="1">
      <c r="A24" s="9">
        <v>1</v>
      </c>
      <c r="B24" s="17" t="s">
        <v>46</v>
      </c>
      <c r="C24" s="16" t="s">
        <v>47</v>
      </c>
      <c r="D24" s="14" t="s">
        <v>48</v>
      </c>
      <c r="E24" s="71">
        <f>390248.916666667</f>
        <v>390248.91666666698</v>
      </c>
      <c r="F24" s="71"/>
      <c r="G24" s="201">
        <f>120000</f>
        <v>120000</v>
      </c>
      <c r="H24" s="201"/>
      <c r="I24" s="71">
        <v>0</v>
      </c>
      <c r="J24" s="489">
        <f t="shared" ref="J24" si="13">SUM(E24:I24)</f>
        <v>510248.91666666698</v>
      </c>
      <c r="K24" s="71"/>
      <c r="L24" s="71">
        <v>0</v>
      </c>
      <c r="M24" s="71"/>
      <c r="N24" s="71"/>
      <c r="O24" s="71">
        <v>70640.235306666698</v>
      </c>
      <c r="P24" s="71">
        <v>31219.913333333399</v>
      </c>
      <c r="Q24" s="71">
        <v>101860.14864</v>
      </c>
      <c r="R24" s="489">
        <f>O24+N24+M24+L24+K24+P24+Q24</f>
        <v>203720.29728</v>
      </c>
      <c r="S24" s="71">
        <v>408388.76802666701</v>
      </c>
      <c r="T24" s="489">
        <f>J24-R24</f>
        <v>306528.61938666698</v>
      </c>
    </row>
    <row r="25" spans="1:20" ht="20.149999999999999" customHeight="1">
      <c r="A25" s="9">
        <v>2</v>
      </c>
      <c r="B25" s="13" t="s">
        <v>49</v>
      </c>
      <c r="C25" s="16" t="s">
        <v>50</v>
      </c>
      <c r="D25" s="9" t="s">
        <v>42</v>
      </c>
      <c r="E25" s="71">
        <f>353512.5</f>
        <v>353512.5</v>
      </c>
      <c r="F25" s="71"/>
      <c r="G25" s="201">
        <v>110000</v>
      </c>
      <c r="H25" s="201"/>
      <c r="I25" s="71"/>
      <c r="J25" s="489">
        <f>E25+F25+G25+H25+I25</f>
        <v>463512.5</v>
      </c>
      <c r="K25" s="71"/>
      <c r="L25" s="71"/>
      <c r="M25" s="71"/>
      <c r="N25" s="71"/>
      <c r="O25" s="71">
        <v>62231.114666666697</v>
      </c>
      <c r="P25" s="71">
        <v>28281</v>
      </c>
      <c r="Q25" s="71">
        <v>90512.114666666705</v>
      </c>
      <c r="R25" s="489">
        <f>O25+N25+M25+L25+K25+P25+Q25</f>
        <v>181024.229333333</v>
      </c>
      <c r="S25" s="71">
        <v>373000.38533333299</v>
      </c>
      <c r="T25" s="489">
        <f>J25-R25</f>
        <v>282488.27066666703</v>
      </c>
    </row>
    <row r="26" spans="1:20" ht="27" customHeight="1">
      <c r="A26" s="9"/>
      <c r="B26" s="19" t="s">
        <v>34</v>
      </c>
      <c r="C26" s="20">
        <v>2</v>
      </c>
      <c r="D26" s="20"/>
      <c r="E26" s="79">
        <f>SUM(E24:E25)</f>
        <v>743761.41666666698</v>
      </c>
      <c r="F26" s="79">
        <f t="shared" ref="F26:P26" si="14">SUM(F24:F25)</f>
        <v>0</v>
      </c>
      <c r="G26" s="79">
        <f t="shared" si="14"/>
        <v>230000</v>
      </c>
      <c r="H26" s="79">
        <f t="shared" si="14"/>
        <v>0</v>
      </c>
      <c r="I26" s="79">
        <f t="shared" si="14"/>
        <v>0</v>
      </c>
      <c r="J26" s="79">
        <f t="shared" si="14"/>
        <v>973761.41666666698</v>
      </c>
      <c r="K26" s="79">
        <f t="shared" si="14"/>
        <v>0</v>
      </c>
      <c r="L26" s="79">
        <f t="shared" si="14"/>
        <v>0</v>
      </c>
      <c r="M26" s="79">
        <f t="shared" si="14"/>
        <v>0</v>
      </c>
      <c r="N26" s="79">
        <f t="shared" si="14"/>
        <v>0</v>
      </c>
      <c r="O26" s="79">
        <f t="shared" si="14"/>
        <v>132871.34997333301</v>
      </c>
      <c r="P26" s="79">
        <f t="shared" si="14"/>
        <v>59500.913333333403</v>
      </c>
      <c r="Q26" s="79">
        <v>192372.26330666701</v>
      </c>
      <c r="R26" s="79">
        <f>SUM(R24:R25)</f>
        <v>384744.52661333297</v>
      </c>
      <c r="S26" s="79">
        <v>781389.15336</v>
      </c>
      <c r="T26" s="79">
        <f>SUM(T24:T25)</f>
        <v>589016.89005333302</v>
      </c>
    </row>
    <row r="27" spans="1:20" ht="20.149999999999999" customHeight="1">
      <c r="A27" s="9"/>
      <c r="B27" s="21"/>
      <c r="C27" s="20"/>
      <c r="D27" s="20"/>
      <c r="E27" s="133"/>
      <c r="F27" s="133"/>
      <c r="G27" s="201"/>
      <c r="H27" s="201"/>
      <c r="I27" s="133"/>
      <c r="J27" s="496"/>
      <c r="K27" s="133"/>
      <c r="L27" s="133"/>
      <c r="M27" s="133"/>
      <c r="N27" s="133"/>
      <c r="O27" s="133"/>
      <c r="P27" s="133"/>
      <c r="Q27" s="133"/>
      <c r="R27" s="496"/>
      <c r="S27" s="133"/>
      <c r="T27" s="496"/>
    </row>
    <row r="28" spans="1:20" ht="20.149999999999999" customHeight="1">
      <c r="A28" s="9"/>
      <c r="B28" s="19" t="s">
        <v>51</v>
      </c>
      <c r="C28" s="20"/>
      <c r="D28" s="20"/>
      <c r="E28" s="133"/>
      <c r="F28" s="133"/>
      <c r="G28" s="201"/>
      <c r="H28" s="201"/>
      <c r="I28" s="133"/>
      <c r="J28" s="496"/>
      <c r="K28" s="133"/>
      <c r="L28" s="133"/>
      <c r="M28" s="133"/>
      <c r="N28" s="133"/>
      <c r="O28" s="133"/>
      <c r="P28" s="133"/>
      <c r="Q28" s="133"/>
      <c r="R28" s="496"/>
      <c r="S28" s="133"/>
      <c r="T28" s="496"/>
    </row>
    <row r="29" spans="1:20" ht="20.149999999999999" customHeight="1">
      <c r="A29" s="9">
        <v>1</v>
      </c>
      <c r="B29" s="10" t="s">
        <v>52</v>
      </c>
      <c r="C29" s="3" t="s">
        <v>53</v>
      </c>
      <c r="D29" s="14" t="s">
        <v>48</v>
      </c>
      <c r="E29" s="71">
        <f>390248.916666667</f>
        <v>390248.91666666698</v>
      </c>
      <c r="F29" s="71"/>
      <c r="G29" s="201">
        <f>120000</f>
        <v>120000</v>
      </c>
      <c r="H29" s="201"/>
      <c r="I29" s="71">
        <v>0</v>
      </c>
      <c r="J29" s="489">
        <f t="shared" ref="J29:J30" si="15">SUM(E29:I29)</f>
        <v>510248.91666666698</v>
      </c>
      <c r="K29" s="71"/>
      <c r="L29" s="71">
        <v>0</v>
      </c>
      <c r="M29" s="71"/>
      <c r="N29" s="71"/>
      <c r="O29" s="71">
        <v>70640.235306666698</v>
      </c>
      <c r="P29" s="71">
        <v>31219.913333333399</v>
      </c>
      <c r="Q29" s="71">
        <v>101860.14864</v>
      </c>
      <c r="R29" s="489">
        <f>O29+N29+M29+L29+K29+P29+Q29</f>
        <v>203720.29728</v>
      </c>
      <c r="S29" s="71">
        <v>408388.76802666701</v>
      </c>
      <c r="T29" s="489">
        <f>J29-R29</f>
        <v>306528.61938666698</v>
      </c>
    </row>
    <row r="30" spans="1:20" ht="20.149999999999999" customHeight="1">
      <c r="A30" s="9">
        <v>2</v>
      </c>
      <c r="B30" s="17" t="s">
        <v>54</v>
      </c>
      <c r="C30" s="11" t="s">
        <v>55</v>
      </c>
      <c r="D30" s="14" t="s">
        <v>31</v>
      </c>
      <c r="E30" s="71">
        <f>218287.583333333</f>
        <v>218287.58333333299</v>
      </c>
      <c r="F30" s="71"/>
      <c r="G30" s="201">
        <f>100000</f>
        <v>100000</v>
      </c>
      <c r="H30" s="201"/>
      <c r="I30" s="71"/>
      <c r="J30" s="489">
        <f t="shared" si="15"/>
        <v>318287.58333333302</v>
      </c>
      <c r="K30" s="71"/>
      <c r="L30" s="656"/>
      <c r="M30" s="656"/>
      <c r="O30" s="656">
        <v>37705.19</v>
      </c>
      <c r="P30" s="657">
        <v>17463.006666666599</v>
      </c>
      <c r="Q30" s="657">
        <v>55168.196666666598</v>
      </c>
      <c r="R30" s="489">
        <f>O30+N30+M30+L30+K30+P30+Q30</f>
        <v>110336.39333333301</v>
      </c>
      <c r="S30" s="71">
        <v>263119.38666666602</v>
      </c>
      <c r="T30" s="489">
        <f>J30-R30</f>
        <v>207951.19</v>
      </c>
    </row>
    <row r="31" spans="1:20" ht="20.149999999999999" customHeight="1">
      <c r="A31" s="9"/>
      <c r="B31" s="19" t="s">
        <v>34</v>
      </c>
      <c r="C31" s="20">
        <v>2</v>
      </c>
      <c r="D31" s="20"/>
      <c r="E31" s="79">
        <f>SUM(E29:E30)</f>
        <v>608536.5</v>
      </c>
      <c r="F31" s="79">
        <f t="shared" ref="F31:P31" si="16">SUM(F29:F30)</f>
        <v>0</v>
      </c>
      <c r="G31" s="79">
        <f t="shared" si="16"/>
        <v>220000</v>
      </c>
      <c r="H31" s="79">
        <f t="shared" si="16"/>
        <v>0</v>
      </c>
      <c r="I31" s="79">
        <f t="shared" si="16"/>
        <v>0</v>
      </c>
      <c r="J31" s="715">
        <f t="shared" si="16"/>
        <v>828536.5</v>
      </c>
      <c r="K31" s="79">
        <f t="shared" si="16"/>
        <v>0</v>
      </c>
      <c r="L31" s="79">
        <f t="shared" si="16"/>
        <v>0</v>
      </c>
      <c r="M31" s="79">
        <f t="shared" si="16"/>
        <v>0</v>
      </c>
      <c r="N31" s="79"/>
      <c r="O31" s="79">
        <f t="shared" si="16"/>
        <v>108345.42530666701</v>
      </c>
      <c r="P31" s="79">
        <f t="shared" si="16"/>
        <v>48682.92</v>
      </c>
      <c r="Q31" s="79">
        <v>157028.345306667</v>
      </c>
      <c r="R31" s="715">
        <f>SUM(R29:R30)</f>
        <v>314056.69061333302</v>
      </c>
      <c r="S31" s="79">
        <v>671508.15469333297</v>
      </c>
      <c r="T31" s="715">
        <f>SUM(T29:T30)</f>
        <v>514479.80938666698</v>
      </c>
    </row>
    <row r="32" spans="1:20" ht="20.149999999999999" customHeight="1">
      <c r="A32" s="9"/>
      <c r="B32" s="19"/>
      <c r="C32" s="20"/>
      <c r="D32" s="20"/>
      <c r="E32" s="133"/>
      <c r="F32" s="133"/>
      <c r="G32" s="201"/>
      <c r="H32" s="201"/>
      <c r="I32" s="133"/>
      <c r="J32" s="496"/>
      <c r="K32" s="133"/>
      <c r="L32" s="133"/>
      <c r="M32" s="133"/>
      <c r="N32" s="133"/>
      <c r="O32" s="133"/>
      <c r="P32" s="133"/>
      <c r="Q32" s="133"/>
      <c r="R32" s="489"/>
      <c r="S32" s="71"/>
      <c r="T32" s="489"/>
    </row>
    <row r="33" spans="1:20" ht="20.149999999999999" customHeight="1">
      <c r="A33" s="9"/>
      <c r="B33" s="19" t="s">
        <v>56</v>
      </c>
      <c r="C33" s="24"/>
      <c r="D33" s="20"/>
      <c r="E33" s="133"/>
      <c r="F33" s="133"/>
      <c r="G33" s="201"/>
      <c r="H33" s="201"/>
      <c r="I33" s="133"/>
      <c r="J33" s="496"/>
      <c r="K33" s="133"/>
      <c r="L33" s="133"/>
      <c r="M33" s="133"/>
      <c r="N33" s="133"/>
      <c r="O33" s="133"/>
      <c r="P33" s="133"/>
      <c r="Q33" s="133"/>
      <c r="R33" s="489"/>
      <c r="S33" s="71"/>
      <c r="T33" s="489"/>
    </row>
    <row r="34" spans="1:20" ht="20.149999999999999" customHeight="1">
      <c r="A34" s="26">
        <v>1</v>
      </c>
      <c r="B34" s="17" t="s">
        <v>57</v>
      </c>
      <c r="C34" s="3" t="s">
        <v>41</v>
      </c>
      <c r="D34" s="14" t="s">
        <v>42</v>
      </c>
      <c r="E34" s="201">
        <f>353512.5</f>
        <v>353512.5</v>
      </c>
      <c r="F34" s="71"/>
      <c r="G34" s="201">
        <f>110000</f>
        <v>110000</v>
      </c>
      <c r="H34" s="201"/>
      <c r="I34" s="71"/>
      <c r="J34" s="489">
        <f t="shared" ref="J34" si="17">SUM(E34:I34)</f>
        <v>463512.5</v>
      </c>
      <c r="K34" s="71"/>
      <c r="L34" s="71"/>
      <c r="M34" s="71"/>
      <c r="N34" s="71"/>
      <c r="O34" s="71">
        <v>62231.114666666697</v>
      </c>
      <c r="P34" s="71">
        <v>28281</v>
      </c>
      <c r="Q34" s="71">
        <v>90512.114666666705</v>
      </c>
      <c r="R34" s="489">
        <f>O34+N34+M34+L34+K34+P34+Q34</f>
        <v>181024.229333333</v>
      </c>
      <c r="S34" s="71">
        <v>373000.38533333299</v>
      </c>
      <c r="T34" s="489">
        <f t="shared" ref="T34" si="18">J34-R34</f>
        <v>282488.27066666703</v>
      </c>
    </row>
    <row r="35" spans="1:20" ht="20.149999999999999" customHeight="1">
      <c r="A35" s="9"/>
      <c r="B35" s="19" t="s">
        <v>34</v>
      </c>
      <c r="C35" s="20">
        <v>1</v>
      </c>
      <c r="D35" s="20"/>
      <c r="E35" s="79">
        <f>SUM(E34)</f>
        <v>353512.5</v>
      </c>
      <c r="F35" s="79">
        <f t="shared" ref="F35:P35" si="19">SUM(F34)</f>
        <v>0</v>
      </c>
      <c r="G35" s="79">
        <f t="shared" si="19"/>
        <v>110000</v>
      </c>
      <c r="H35" s="79">
        <f t="shared" si="19"/>
        <v>0</v>
      </c>
      <c r="I35" s="79">
        <f t="shared" si="19"/>
        <v>0</v>
      </c>
      <c r="J35" s="715">
        <f t="shared" si="19"/>
        <v>463512.5</v>
      </c>
      <c r="K35" s="79">
        <f t="shared" si="19"/>
        <v>0</v>
      </c>
      <c r="L35" s="79">
        <f t="shared" si="19"/>
        <v>0</v>
      </c>
      <c r="M35" s="79">
        <f t="shared" si="19"/>
        <v>0</v>
      </c>
      <c r="N35" s="79">
        <f t="shared" si="19"/>
        <v>0</v>
      </c>
      <c r="O35" s="79">
        <f t="shared" si="19"/>
        <v>62231.114666666697</v>
      </c>
      <c r="P35" s="79">
        <f t="shared" si="19"/>
        <v>28281</v>
      </c>
      <c r="Q35" s="79">
        <v>90512.114666666705</v>
      </c>
      <c r="R35" s="715">
        <f>SUM(R34)</f>
        <v>181024.229333333</v>
      </c>
      <c r="S35" s="79">
        <v>373000.38533333299</v>
      </c>
      <c r="T35" s="715">
        <f>SUM(T34)</f>
        <v>282488.27066666703</v>
      </c>
    </row>
    <row r="36" spans="1:20" ht="20.149999999999999" customHeight="1">
      <c r="A36" s="9"/>
      <c r="B36" s="21"/>
      <c r="C36" s="20"/>
      <c r="D36" s="20"/>
      <c r="E36" s="133"/>
      <c r="F36" s="133"/>
      <c r="G36" s="201"/>
      <c r="H36" s="201"/>
      <c r="I36" s="133"/>
      <c r="J36" s="496"/>
      <c r="K36" s="133"/>
      <c r="L36" s="133"/>
      <c r="M36" s="133"/>
      <c r="N36" s="133"/>
      <c r="O36" s="133"/>
      <c r="P36" s="133"/>
      <c r="Q36" s="133"/>
      <c r="R36" s="496"/>
      <c r="S36" s="133"/>
      <c r="T36" s="496"/>
    </row>
    <row r="37" spans="1:20" ht="20.149999999999999" customHeight="1">
      <c r="A37" s="9"/>
      <c r="B37" s="19" t="s">
        <v>58</v>
      </c>
      <c r="C37" s="20"/>
      <c r="D37" s="20"/>
      <c r="E37" s="133"/>
      <c r="F37" s="133"/>
      <c r="G37" s="201"/>
      <c r="H37" s="201"/>
      <c r="I37" s="133"/>
      <c r="J37" s="496"/>
      <c r="K37" s="133"/>
      <c r="L37" s="133"/>
      <c r="M37" s="133"/>
      <c r="N37" s="133"/>
      <c r="O37" s="133"/>
      <c r="P37" s="133"/>
      <c r="Q37" s="133"/>
      <c r="R37" s="496"/>
      <c r="S37" s="133"/>
      <c r="T37" s="496"/>
    </row>
    <row r="38" spans="1:20" ht="20.149999999999999" customHeight="1">
      <c r="A38" s="9">
        <v>1</v>
      </c>
      <c r="B38" s="10" t="s">
        <v>59</v>
      </c>
      <c r="C38" s="3" t="s">
        <v>60</v>
      </c>
      <c r="D38" s="14" t="s">
        <v>48</v>
      </c>
      <c r="E38" s="71">
        <f>390248.916666667</f>
        <v>390248.91666666698</v>
      </c>
      <c r="F38" s="71"/>
      <c r="G38" s="201"/>
      <c r="H38" s="201">
        <f>70000</f>
        <v>70000</v>
      </c>
      <c r="I38" s="71">
        <v>0</v>
      </c>
      <c r="J38" s="489">
        <f t="shared" ref="J38" si="20">SUM(E38:I38)</f>
        <v>460248.91666666698</v>
      </c>
      <c r="K38" s="71"/>
      <c r="L38" s="71">
        <v>0</v>
      </c>
      <c r="M38" s="71"/>
      <c r="N38" s="71"/>
      <c r="O38" s="656">
        <f>61040.2353066666</f>
        <v>61040.235306666596</v>
      </c>
      <c r="P38" s="71">
        <f>390248.916666667*0.08</f>
        <v>31219.913333333399</v>
      </c>
      <c r="Q38" s="71">
        <v>92260.148639999999</v>
      </c>
      <c r="R38" s="489">
        <f>O38+N38+M38+L38+K38+P38+Q38</f>
        <v>184520.29728</v>
      </c>
      <c r="S38" s="71">
        <v>399208.68135999999</v>
      </c>
      <c r="T38" s="489">
        <f>J38-R38</f>
        <v>275728.61938666698</v>
      </c>
    </row>
    <row r="39" spans="1:20" ht="20.149999999999999" customHeight="1">
      <c r="A39" s="3"/>
      <c r="B39" s="19" t="s">
        <v>34</v>
      </c>
      <c r="C39" s="20">
        <v>1</v>
      </c>
      <c r="D39" s="25"/>
      <c r="E39" s="79">
        <f>SUM(E38:E38)</f>
        <v>390248.91666666698</v>
      </c>
      <c r="F39" s="79">
        <f t="shared" ref="F39:P39" si="21">SUM(F38:F38)</f>
        <v>0</v>
      </c>
      <c r="G39" s="79">
        <f t="shared" si="21"/>
        <v>0</v>
      </c>
      <c r="H39" s="79">
        <f t="shared" si="21"/>
        <v>70000</v>
      </c>
      <c r="I39" s="79">
        <f t="shared" si="21"/>
        <v>0</v>
      </c>
      <c r="J39" s="715">
        <f t="shared" si="21"/>
        <v>460248.91666666698</v>
      </c>
      <c r="K39" s="79">
        <f t="shared" si="21"/>
        <v>0</v>
      </c>
      <c r="L39" s="79">
        <f t="shared" si="21"/>
        <v>0</v>
      </c>
      <c r="M39" s="79">
        <f t="shared" si="21"/>
        <v>0</v>
      </c>
      <c r="N39" s="79">
        <f t="shared" si="21"/>
        <v>0</v>
      </c>
      <c r="O39" s="79">
        <f t="shared" si="21"/>
        <v>61040.235306666596</v>
      </c>
      <c r="P39" s="79">
        <f t="shared" si="21"/>
        <v>31219.913333333399</v>
      </c>
      <c r="Q39" s="79">
        <v>92260.148639999999</v>
      </c>
      <c r="R39" s="715">
        <f>SUM(R38:R38)</f>
        <v>184520.29728</v>
      </c>
      <c r="S39" s="79">
        <v>399208.68135999999</v>
      </c>
      <c r="T39" s="715">
        <f>SUM(T38:T38)</f>
        <v>275728.61938666698</v>
      </c>
    </row>
    <row r="40" spans="1:20" ht="20.149999999999999" customHeight="1">
      <c r="A40" s="3"/>
      <c r="B40" s="19"/>
      <c r="C40" s="20"/>
      <c r="D40" s="3"/>
      <c r="E40" s="204"/>
      <c r="F40" s="204"/>
      <c r="G40" s="497"/>
      <c r="H40" s="497"/>
      <c r="I40" s="204"/>
      <c r="J40" s="502"/>
      <c r="K40" s="204"/>
      <c r="L40" s="204"/>
      <c r="M40" s="204"/>
      <c r="N40" s="204"/>
      <c r="O40" s="204"/>
      <c r="P40" s="204"/>
      <c r="Q40" s="204"/>
      <c r="R40" s="502"/>
      <c r="S40" s="204"/>
      <c r="T40" s="502"/>
    </row>
    <row r="41" spans="1:20" ht="20.149999999999999" customHeight="1">
      <c r="A41" s="9"/>
      <c r="B41" s="19" t="s">
        <v>61</v>
      </c>
      <c r="C41" s="20"/>
      <c r="D41" s="20"/>
      <c r="E41" s="133"/>
      <c r="F41" s="133"/>
      <c r="G41" s="201"/>
      <c r="H41" s="201"/>
      <c r="I41" s="133"/>
      <c r="J41" s="496"/>
      <c r="K41" s="133"/>
      <c r="L41" s="133"/>
      <c r="M41" s="133"/>
      <c r="N41" s="133"/>
      <c r="O41" s="133"/>
      <c r="P41" s="133"/>
      <c r="Q41" s="133"/>
      <c r="R41" s="496"/>
      <c r="S41" s="133"/>
      <c r="T41" s="496"/>
    </row>
    <row r="42" spans="1:20" ht="18.75" customHeight="1">
      <c r="A42" s="9">
        <v>1</v>
      </c>
      <c r="B42" s="17" t="s">
        <v>62</v>
      </c>
      <c r="C42" s="3" t="s">
        <v>63</v>
      </c>
      <c r="D42" s="9" t="s">
        <v>25</v>
      </c>
      <c r="E42" s="71">
        <f>255849</f>
        <v>255849</v>
      </c>
      <c r="F42" s="71"/>
      <c r="G42" s="201">
        <f>100000</f>
        <v>100000</v>
      </c>
      <c r="H42" s="201"/>
      <c r="I42" s="71"/>
      <c r="J42" s="489">
        <f t="shared" ref="J42" si="22">E42+F42+G42+H42+I42</f>
        <v>355849</v>
      </c>
      <c r="K42" s="71"/>
      <c r="L42" s="71"/>
      <c r="M42" s="71"/>
      <c r="N42" s="71"/>
      <c r="O42" s="71">
        <v>44015.51</v>
      </c>
      <c r="P42" s="71">
        <v>20467.919999999998</v>
      </c>
      <c r="Q42" s="71">
        <v>64483.43</v>
      </c>
      <c r="R42" s="489">
        <f>O42+N42+M42+L42+K42+P42+Q42</f>
        <v>128966.86</v>
      </c>
      <c r="S42" s="71">
        <v>291365.57</v>
      </c>
      <c r="T42" s="489">
        <f t="shared" ref="T42:T44" si="23">J42-R42</f>
        <v>226882.14</v>
      </c>
    </row>
    <row r="43" spans="1:20" ht="18.75" customHeight="1">
      <c r="A43" s="9">
        <v>2</v>
      </c>
      <c r="B43" s="17" t="s">
        <v>64</v>
      </c>
      <c r="C43" s="3" t="s">
        <v>63</v>
      </c>
      <c r="D43" s="9" t="s">
        <v>25</v>
      </c>
      <c r="E43" s="71">
        <f>255849</f>
        <v>255849</v>
      </c>
      <c r="F43" s="71"/>
      <c r="G43" s="201">
        <f>100000</f>
        <v>100000</v>
      </c>
      <c r="H43" s="201"/>
      <c r="I43" s="71"/>
      <c r="J43" s="489">
        <f t="shared" ref="J43" si="24">E43+F43+G43+H43+I43</f>
        <v>355849</v>
      </c>
      <c r="K43" s="71"/>
      <c r="L43" s="71"/>
      <c r="M43" s="71"/>
      <c r="N43" s="71"/>
      <c r="O43" s="71">
        <v>44015.51</v>
      </c>
      <c r="P43" s="71">
        <v>20467.919999999998</v>
      </c>
      <c r="Q43" s="71">
        <v>64483.43</v>
      </c>
      <c r="R43" s="489">
        <f>O43+N43+M43+L43+K43+P43+Q43</f>
        <v>128966.86</v>
      </c>
      <c r="S43" s="71">
        <v>293676.73</v>
      </c>
      <c r="T43" s="489">
        <f t="shared" si="23"/>
        <v>226882.14</v>
      </c>
    </row>
    <row r="44" spans="1:20" ht="20.149999999999999" customHeight="1">
      <c r="A44" s="9">
        <v>3</v>
      </c>
      <c r="B44" s="17" t="s">
        <v>65</v>
      </c>
      <c r="C44" s="11" t="s">
        <v>66</v>
      </c>
      <c r="D44" s="14" t="s">
        <v>31</v>
      </c>
      <c r="E44" s="71">
        <f>218287.583333333</f>
        <v>218287.58333333299</v>
      </c>
      <c r="F44" s="71"/>
      <c r="G44" s="201">
        <f>100000</f>
        <v>100000</v>
      </c>
      <c r="H44" s="201"/>
      <c r="I44" s="71"/>
      <c r="J44" s="489">
        <f t="shared" ref="J44" si="25">SUM(E44:I44)</f>
        <v>318287.58333333302</v>
      </c>
      <c r="K44" s="71"/>
      <c r="L44" s="656"/>
      <c r="M44" s="656"/>
      <c r="O44" s="656">
        <v>37705.19</v>
      </c>
      <c r="P44" s="657">
        <v>17463.006666666599</v>
      </c>
      <c r="Q44" s="657">
        <v>55168.196666666598</v>
      </c>
      <c r="R44" s="489">
        <f>O44+N44+M44+L44+K44+P44+Q44</f>
        <v>110336.39333333301</v>
      </c>
      <c r="S44" s="71">
        <v>263119.38666666602</v>
      </c>
      <c r="T44" s="489">
        <f t="shared" si="23"/>
        <v>207951.19</v>
      </c>
    </row>
    <row r="45" spans="1:20" ht="24.75" customHeight="1">
      <c r="A45" s="3"/>
      <c r="B45" s="19" t="s">
        <v>34</v>
      </c>
      <c r="C45" s="20">
        <v>3</v>
      </c>
      <c r="D45" s="25"/>
      <c r="E45" s="79">
        <f>SUM(E42:E44)</f>
        <v>729985.58333333302</v>
      </c>
      <c r="F45" s="79">
        <f t="shared" ref="F45:P45" si="26">SUM(F42:F44)</f>
        <v>0</v>
      </c>
      <c r="G45" s="79">
        <f t="shared" si="26"/>
        <v>300000</v>
      </c>
      <c r="H45" s="79">
        <f t="shared" si="26"/>
        <v>0</v>
      </c>
      <c r="I45" s="79">
        <f t="shared" si="26"/>
        <v>0</v>
      </c>
      <c r="J45" s="715">
        <f t="shared" si="26"/>
        <v>1029985.58333333</v>
      </c>
      <c r="K45" s="79">
        <f t="shared" si="26"/>
        <v>0</v>
      </c>
      <c r="L45" s="79">
        <f t="shared" si="26"/>
        <v>0</v>
      </c>
      <c r="M45" s="79">
        <f t="shared" si="26"/>
        <v>0</v>
      </c>
      <c r="N45" s="79">
        <f t="shared" si="26"/>
        <v>0</v>
      </c>
      <c r="O45" s="79">
        <f t="shared" si="26"/>
        <v>125736.21</v>
      </c>
      <c r="P45" s="79">
        <f t="shared" si="26"/>
        <v>58398.846666666599</v>
      </c>
      <c r="Q45" s="79">
        <v>184135.05666666699</v>
      </c>
      <c r="R45" s="715">
        <f>SUM(R42:R44)</f>
        <v>368270.11333333299</v>
      </c>
      <c r="S45" s="79">
        <v>848161.68666666595</v>
      </c>
      <c r="T45" s="715">
        <f>SUM(T42:T44)</f>
        <v>661715.47</v>
      </c>
    </row>
    <row r="46" spans="1:20" ht="20.149999999999999" customHeight="1">
      <c r="A46" s="3"/>
      <c r="B46" s="21"/>
      <c r="C46" s="9"/>
      <c r="D46" s="3"/>
      <c r="E46" s="205"/>
      <c r="F46" s="8"/>
      <c r="G46" s="201"/>
      <c r="H46" s="201"/>
      <c r="I46" s="205"/>
      <c r="J46" s="504"/>
      <c r="K46" s="205"/>
      <c r="L46" s="205"/>
      <c r="M46" s="205"/>
      <c r="N46" s="205"/>
      <c r="O46" s="205"/>
      <c r="P46" s="205"/>
      <c r="Q46" s="205"/>
      <c r="R46" s="504"/>
      <c r="S46" s="205"/>
      <c r="T46" s="504"/>
    </row>
    <row r="47" spans="1:20" ht="20.149999999999999" customHeight="1">
      <c r="A47" s="3"/>
      <c r="B47" s="19" t="s">
        <v>67</v>
      </c>
      <c r="C47" s="20"/>
      <c r="D47" s="20"/>
      <c r="E47" s="133"/>
      <c r="F47" s="133"/>
      <c r="G47" s="201"/>
      <c r="H47" s="201"/>
      <c r="I47" s="133"/>
      <c r="J47" s="496"/>
      <c r="K47" s="133"/>
      <c r="L47" s="133"/>
      <c r="M47" s="133"/>
      <c r="N47" s="133"/>
      <c r="O47" s="133"/>
      <c r="P47" s="133"/>
      <c r="Q47" s="133"/>
      <c r="R47" s="489"/>
      <c r="S47" s="71"/>
      <c r="T47" s="489"/>
    </row>
    <row r="48" spans="1:20" ht="20.149999999999999" customHeight="1">
      <c r="A48" s="3">
        <v>1</v>
      </c>
      <c r="B48" s="17" t="s">
        <v>68</v>
      </c>
      <c r="C48" s="11" t="s">
        <v>69</v>
      </c>
      <c r="D48" s="14" t="s">
        <v>38</v>
      </c>
      <c r="E48" s="71">
        <v>293029.66666666698</v>
      </c>
      <c r="F48" s="71"/>
      <c r="G48" s="201"/>
      <c r="H48" s="201">
        <v>60000</v>
      </c>
      <c r="I48" s="71"/>
      <c r="J48" s="489">
        <f t="shared" ref="J48" si="27">SUM(E48:I48)</f>
        <v>353029.66666666698</v>
      </c>
      <c r="K48" s="71"/>
      <c r="L48" s="656"/>
      <c r="M48" s="656"/>
      <c r="O48" s="656">
        <v>43541.87</v>
      </c>
      <c r="P48" s="657">
        <v>23442.3733333333</v>
      </c>
      <c r="Q48" s="657">
        <v>66984.243333333303</v>
      </c>
      <c r="R48" s="489">
        <f>O48+N48+M48+L48+K48+P48+Q48</f>
        <v>133968.48666666701</v>
      </c>
      <c r="S48" s="71">
        <v>286045.42333333398</v>
      </c>
      <c r="T48" s="489">
        <f t="shared" ref="T48" si="28">J48-R48</f>
        <v>219061.18</v>
      </c>
    </row>
    <row r="49" spans="1:20" ht="28.5" customHeight="1">
      <c r="A49" s="3"/>
      <c r="B49" s="19" t="s">
        <v>34</v>
      </c>
      <c r="C49" s="25" t="s">
        <v>70</v>
      </c>
      <c r="D49" s="14"/>
      <c r="E49" s="79">
        <f>SUM(E48:E48)</f>
        <v>293029.66666666698</v>
      </c>
      <c r="F49" s="79">
        <f t="shared" ref="F49:P49" si="29">SUM(F48:F48)</f>
        <v>0</v>
      </c>
      <c r="G49" s="79">
        <f t="shared" si="29"/>
        <v>0</v>
      </c>
      <c r="H49" s="79">
        <f t="shared" si="29"/>
        <v>60000</v>
      </c>
      <c r="I49" s="79">
        <f t="shared" si="29"/>
        <v>0</v>
      </c>
      <c r="J49" s="715">
        <f t="shared" si="29"/>
        <v>353029.66666666698</v>
      </c>
      <c r="K49" s="79">
        <f t="shared" si="29"/>
        <v>0</v>
      </c>
      <c r="L49" s="79">
        <f t="shared" si="29"/>
        <v>0</v>
      </c>
      <c r="M49" s="79">
        <f t="shared" si="29"/>
        <v>0</v>
      </c>
      <c r="N49" s="79">
        <f t="shared" si="29"/>
        <v>0</v>
      </c>
      <c r="O49" s="79">
        <f t="shared" si="29"/>
        <v>43541.87</v>
      </c>
      <c r="P49" s="79">
        <f t="shared" si="29"/>
        <v>23442.3733333333</v>
      </c>
      <c r="Q49" s="79">
        <v>66984.243333333303</v>
      </c>
      <c r="R49" s="715">
        <f>SUM(R48:R48)</f>
        <v>133968.48666666701</v>
      </c>
      <c r="S49" s="79">
        <v>286045.42333333398</v>
      </c>
      <c r="T49" s="715">
        <f>SUM(T48:T48)</f>
        <v>219061.18</v>
      </c>
    </row>
    <row r="50" spans="1:20" ht="20.149999999999999" customHeight="1">
      <c r="A50" s="3"/>
      <c r="B50" s="21"/>
      <c r="C50" s="25"/>
      <c r="D50" s="14"/>
      <c r="E50" s="133"/>
      <c r="F50" s="133"/>
      <c r="G50" s="201"/>
      <c r="H50" s="201"/>
      <c r="I50" s="133"/>
      <c r="J50" s="496"/>
      <c r="K50" s="133"/>
      <c r="L50" s="133"/>
      <c r="M50" s="133"/>
      <c r="N50" s="133"/>
      <c r="O50" s="133"/>
      <c r="P50" s="133"/>
      <c r="Q50" s="133"/>
      <c r="R50" s="496"/>
      <c r="S50" s="133"/>
      <c r="T50" s="496"/>
    </row>
    <row r="51" spans="1:20" ht="20.149999999999999" customHeight="1">
      <c r="A51" s="3"/>
      <c r="B51" s="19" t="s">
        <v>71</v>
      </c>
      <c r="C51" s="11"/>
      <c r="D51" s="14"/>
      <c r="E51" s="71"/>
      <c r="F51" s="71"/>
      <c r="G51" s="201"/>
      <c r="H51" s="201"/>
      <c r="I51" s="71"/>
      <c r="J51" s="489"/>
      <c r="K51" s="71"/>
      <c r="L51" s="71"/>
      <c r="M51" s="71"/>
      <c r="N51" s="71"/>
      <c r="O51" s="71"/>
      <c r="P51" s="71"/>
      <c r="Q51" s="71"/>
      <c r="R51" s="489"/>
      <c r="S51" s="71"/>
      <c r="T51" s="489"/>
    </row>
    <row r="52" spans="1:20" ht="18.75" customHeight="1">
      <c r="A52" s="9">
        <v>1</v>
      </c>
      <c r="B52" s="17" t="s">
        <v>72</v>
      </c>
      <c r="C52" s="3" t="s">
        <v>73</v>
      </c>
      <c r="D52" s="9" t="s">
        <v>25</v>
      </c>
      <c r="E52" s="71">
        <v>255849</v>
      </c>
      <c r="F52" s="71"/>
      <c r="G52" s="201"/>
      <c r="H52" s="201">
        <f>60000</f>
        <v>60000</v>
      </c>
      <c r="I52" s="71"/>
      <c r="J52" s="489">
        <f t="shared" ref="J52" si="30">E52+F52+G52+H52+I52</f>
        <v>315849</v>
      </c>
      <c r="K52" s="71"/>
      <c r="L52" s="71"/>
      <c r="M52" s="71"/>
      <c r="N52" s="71"/>
      <c r="O52" s="71">
        <v>36790.688106666697</v>
      </c>
      <c r="P52" s="71">
        <v>20467.919999999998</v>
      </c>
      <c r="Q52" s="71">
        <v>57258.608106666703</v>
      </c>
      <c r="R52" s="489">
        <f>O52+N52+M52+L52+K52+P52+Q52</f>
        <v>114517.216213333</v>
      </c>
      <c r="S52" s="71">
        <v>258590.391893333</v>
      </c>
      <c r="T52" s="489">
        <f t="shared" ref="T52:T54" si="31">J52-R52</f>
        <v>201331.78378666699</v>
      </c>
    </row>
    <row r="53" spans="1:20" ht="20.149999999999999" customHeight="1">
      <c r="A53" s="9">
        <v>2</v>
      </c>
      <c r="B53" s="17" t="s">
        <v>74</v>
      </c>
      <c r="C53" s="11" t="s">
        <v>75</v>
      </c>
      <c r="D53" s="14" t="s">
        <v>31</v>
      </c>
      <c r="E53" s="71">
        <f>218287.583333333</f>
        <v>218287.58333333299</v>
      </c>
      <c r="F53" s="71"/>
      <c r="G53" s="201"/>
      <c r="H53" s="201">
        <f>50000</f>
        <v>50000</v>
      </c>
      <c r="I53" s="71"/>
      <c r="J53" s="489">
        <f t="shared" ref="J53" si="32">SUM(E53:I53)</f>
        <v>268287.58333333302</v>
      </c>
      <c r="K53" s="71"/>
      <c r="L53" s="656"/>
      <c r="M53" s="656"/>
      <c r="O53" s="656">
        <v>29305.1955466666</v>
      </c>
      <c r="P53" s="657">
        <v>17463.006666666599</v>
      </c>
      <c r="Q53" s="657">
        <v>46768.202213333199</v>
      </c>
      <c r="R53" s="489">
        <f>O53+N53+M53+L53+K53+P53+Q53</f>
        <v>93536.404426666501</v>
      </c>
      <c r="S53" s="71">
        <v>221519.38112000001</v>
      </c>
      <c r="T53" s="489">
        <f t="shared" si="31"/>
        <v>174751.17890666699</v>
      </c>
    </row>
    <row r="54" spans="1:20" ht="20.149999999999999" customHeight="1">
      <c r="A54" s="9">
        <v>3</v>
      </c>
      <c r="B54" s="17" t="s">
        <v>76</v>
      </c>
      <c r="C54" s="11" t="s">
        <v>77</v>
      </c>
      <c r="D54" s="14" t="s">
        <v>31</v>
      </c>
      <c r="E54" s="71">
        <v>218287.58333333299</v>
      </c>
      <c r="F54" s="71"/>
      <c r="G54" s="201"/>
      <c r="H54" s="201">
        <v>50000</v>
      </c>
      <c r="I54" s="71"/>
      <c r="J54" s="489">
        <f t="shared" ref="J54" si="33">SUM(E54:I54)</f>
        <v>268287.58333333302</v>
      </c>
      <c r="K54" s="71"/>
      <c r="L54" s="656"/>
      <c r="M54" s="656"/>
      <c r="O54" s="656">
        <v>29305.1955466666</v>
      </c>
      <c r="P54" s="657">
        <v>17463.006666666599</v>
      </c>
      <c r="Q54" s="657">
        <v>46768.202213333199</v>
      </c>
      <c r="R54" s="489">
        <f>O54+N54+M54+L54+K54+P54+Q54</f>
        <v>93536.404426666501</v>
      </c>
      <c r="S54" s="71">
        <v>221519.38112000001</v>
      </c>
      <c r="T54" s="489">
        <f t="shared" si="31"/>
        <v>174751.17890666699</v>
      </c>
    </row>
    <row r="55" spans="1:20" ht="20.149999999999999" customHeight="1">
      <c r="A55" s="9">
        <v>3</v>
      </c>
      <c r="B55" s="17" t="s">
        <v>78</v>
      </c>
      <c r="C55" s="11" t="s">
        <v>77</v>
      </c>
      <c r="D55" s="14" t="s">
        <v>31</v>
      </c>
      <c r="E55" s="71">
        <v>218287.58333333299</v>
      </c>
      <c r="F55" s="71"/>
      <c r="G55" s="201"/>
      <c r="H55" s="201">
        <v>50000</v>
      </c>
      <c r="I55" s="71"/>
      <c r="J55" s="489">
        <f t="shared" ref="J55" si="34">SUM(E55:I55)</f>
        <v>268287.58333333302</v>
      </c>
      <c r="K55" s="71"/>
      <c r="L55" s="656"/>
      <c r="M55" s="656"/>
      <c r="O55" s="656">
        <v>29305.1955466666</v>
      </c>
      <c r="P55" s="657">
        <v>17463.006666666599</v>
      </c>
      <c r="Q55" s="657">
        <v>46768.202213333199</v>
      </c>
      <c r="R55" s="489">
        <f>O55+N55+M55+L55+K55+P55+Q55</f>
        <v>93536.404426666501</v>
      </c>
      <c r="S55" s="71">
        <v>221519.38112000001</v>
      </c>
      <c r="T55" s="489">
        <f t="shared" ref="T55" si="35">J55-R55</f>
        <v>174751.17890666699</v>
      </c>
    </row>
    <row r="56" spans="1:20" ht="30.75" customHeight="1">
      <c r="A56" s="26"/>
      <c r="B56" s="7" t="s">
        <v>34</v>
      </c>
      <c r="C56" s="27" t="s">
        <v>79</v>
      </c>
      <c r="D56" s="28"/>
      <c r="E56" s="79">
        <f>SUM(E52:E55)</f>
        <v>910711.75</v>
      </c>
      <c r="F56" s="79">
        <f t="shared" ref="F56:P56" si="36">SUM(F52:F55)</f>
        <v>0</v>
      </c>
      <c r="G56" s="79">
        <f t="shared" si="36"/>
        <v>0</v>
      </c>
      <c r="H56" s="79">
        <f t="shared" si="36"/>
        <v>210000</v>
      </c>
      <c r="I56" s="79">
        <f t="shared" si="36"/>
        <v>0</v>
      </c>
      <c r="J56" s="79">
        <f t="shared" si="36"/>
        <v>1120711.75</v>
      </c>
      <c r="K56" s="79">
        <f t="shared" si="36"/>
        <v>0</v>
      </c>
      <c r="L56" s="79">
        <f t="shared" si="36"/>
        <v>0</v>
      </c>
      <c r="M56" s="79">
        <f t="shared" si="36"/>
        <v>0</v>
      </c>
      <c r="N56" s="79">
        <f t="shared" si="36"/>
        <v>0</v>
      </c>
      <c r="O56" s="79">
        <f t="shared" si="36"/>
        <v>124706.27474666599</v>
      </c>
      <c r="P56" s="79">
        <f t="shared" si="36"/>
        <v>72856.9399999999</v>
      </c>
      <c r="Q56" s="79">
        <v>197563.214746666</v>
      </c>
      <c r="R56" s="79">
        <f>SUM(R52:R55)</f>
        <v>395126.42949333298</v>
      </c>
      <c r="S56" s="79">
        <v>923148.53525333398</v>
      </c>
      <c r="T56" s="79">
        <f>SUM(T52:T55)</f>
        <v>725585.32050666702</v>
      </c>
    </row>
    <row r="57" spans="1:20" ht="35.25" customHeight="1">
      <c r="A57" s="3"/>
      <c r="B57" s="29" t="s">
        <v>80</v>
      </c>
      <c r="C57" s="30">
        <f>C56+C49+C45+C39+C35+C31+C26+C21+C16+C12</f>
        <v>21</v>
      </c>
      <c r="D57" s="31"/>
      <c r="E57" s="208">
        <f t="shared" ref="E57:T57" si="37">E56+E49+E45+E39+E35+E31+E26+E21+E16+E12</f>
        <v>6173480.3333333302</v>
      </c>
      <c r="F57" s="208">
        <f t="shared" si="37"/>
        <v>0</v>
      </c>
      <c r="G57" s="208">
        <f t="shared" si="37"/>
        <v>1070000</v>
      </c>
      <c r="H57" s="208">
        <f t="shared" si="37"/>
        <v>680000</v>
      </c>
      <c r="I57" s="208">
        <f t="shared" si="37"/>
        <v>0</v>
      </c>
      <c r="J57" s="208">
        <f t="shared" si="37"/>
        <v>7923480.3333333395</v>
      </c>
      <c r="K57" s="208">
        <f t="shared" si="37"/>
        <v>0</v>
      </c>
      <c r="L57" s="208">
        <f t="shared" si="37"/>
        <v>0</v>
      </c>
      <c r="M57" s="208">
        <f t="shared" si="37"/>
        <v>0</v>
      </c>
      <c r="N57" s="208">
        <f t="shared" si="37"/>
        <v>0</v>
      </c>
      <c r="O57" s="208">
        <f t="shared" si="37"/>
        <v>984003.39007999899</v>
      </c>
      <c r="P57" s="208">
        <f t="shared" si="37"/>
        <v>493878.426666666</v>
      </c>
      <c r="Q57" s="208">
        <f t="shared" si="37"/>
        <v>1477881.8167466701</v>
      </c>
      <c r="R57" s="208">
        <f t="shared" si="37"/>
        <v>2955763.6334933299</v>
      </c>
      <c r="S57" s="208">
        <f t="shared" si="37"/>
        <v>6424322.2638985002</v>
      </c>
      <c r="T57" s="208">
        <f t="shared" si="37"/>
        <v>4967716.6998399999</v>
      </c>
    </row>
    <row r="58" spans="1:20" ht="38.25" customHeight="1">
      <c r="A58" s="2"/>
      <c r="B58" s="32"/>
      <c r="C58" s="2"/>
      <c r="D58" s="33"/>
      <c r="E58" s="33"/>
      <c r="F58" s="33"/>
      <c r="G58" s="209"/>
      <c r="H58" s="209"/>
      <c r="I58" s="209"/>
      <c r="J58" s="209"/>
      <c r="K58" s="209"/>
      <c r="L58" s="209"/>
      <c r="M58" s="209"/>
      <c r="N58" s="209"/>
      <c r="O58" s="210">
        <f>O57*2</f>
        <v>1968006.7801600001</v>
      </c>
      <c r="P58" s="210"/>
      <c r="Q58" s="210"/>
      <c r="R58" s="210"/>
      <c r="S58" s="210"/>
      <c r="T58" s="210"/>
    </row>
    <row r="59" spans="1:20" ht="36.75" customHeight="1">
      <c r="A59" s="2"/>
      <c r="B59" s="32"/>
      <c r="C59" s="33"/>
      <c r="D59" s="33"/>
      <c r="E59" s="33"/>
      <c r="F59" s="33"/>
      <c r="G59" s="209"/>
      <c r="H59" s="209"/>
      <c r="J59" s="209" t="s">
        <v>81</v>
      </c>
      <c r="K59" s="209"/>
      <c r="L59" s="209"/>
      <c r="M59" s="209"/>
      <c r="N59" s="209"/>
      <c r="O59" s="210"/>
      <c r="P59" s="210"/>
      <c r="Q59" s="210"/>
      <c r="R59" s="210"/>
      <c r="S59" s="210"/>
      <c r="T59" s="34"/>
    </row>
    <row r="60" spans="1:20" ht="20.149999999999999" customHeight="1">
      <c r="R60" s="34"/>
      <c r="T60" s="313"/>
    </row>
    <row r="61" spans="1:20" ht="20.149999999999999" customHeight="1">
      <c r="T61" s="34"/>
    </row>
    <row r="62" spans="1:20" ht="20.149999999999999" customHeight="1">
      <c r="J6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6"/>
  <sheetViews>
    <sheetView topLeftCell="A28" zoomScale="91" zoomScaleNormal="91" workbookViewId="0">
      <selection activeCell="F36" sqref="F36"/>
    </sheetView>
  </sheetViews>
  <sheetFormatPr defaultColWidth="9"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customWidth="1"/>
    <col min="12" max="12" width="13.81640625" customWidth="1"/>
    <col min="13" max="13" width="1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726"/>
      <c r="C1" s="726"/>
      <c r="D1" s="726"/>
      <c r="E1" s="726"/>
      <c r="F1" s="726"/>
      <c r="G1" s="726"/>
      <c r="H1" s="726"/>
    </row>
    <row r="2" spans="1:8" ht="29.25" customHeight="1">
      <c r="A2" s="765" t="s">
        <v>0</v>
      </c>
      <c r="B2" s="765"/>
      <c r="C2" s="765"/>
      <c r="D2" s="765"/>
      <c r="E2" s="765"/>
      <c r="F2" s="765"/>
      <c r="G2" s="765"/>
      <c r="H2" s="765"/>
    </row>
    <row r="3" spans="1:8" ht="27" customHeight="1">
      <c r="A3" s="765" t="s">
        <v>82</v>
      </c>
      <c r="B3" s="765"/>
      <c r="C3" s="765"/>
      <c r="D3" s="765"/>
      <c r="E3" s="765"/>
      <c r="F3" s="765"/>
      <c r="G3" s="765"/>
      <c r="H3" s="765"/>
    </row>
    <row r="4" spans="1:8" ht="15.65" hidden="1" customHeight="1">
      <c r="A4" s="727" t="s">
        <v>83</v>
      </c>
      <c r="B4" s="727"/>
      <c r="C4" s="727"/>
      <c r="D4" s="727"/>
      <c r="E4" s="727"/>
      <c r="F4" s="727"/>
      <c r="G4" s="728"/>
      <c r="H4" s="728"/>
    </row>
    <row r="5" spans="1:8" ht="9.65" hidden="1" customHeight="1">
      <c r="A5" s="766" t="s">
        <v>84</v>
      </c>
      <c r="B5" s="766"/>
      <c r="C5" s="766"/>
      <c r="D5" s="766"/>
      <c r="E5" s="766"/>
      <c r="F5" s="766"/>
      <c r="G5" s="728"/>
      <c r="H5" s="728"/>
    </row>
    <row r="6" spans="1:8" ht="29.25" hidden="1" customHeight="1">
      <c r="A6" s="766" t="s">
        <v>85</v>
      </c>
      <c r="B6" s="766"/>
      <c r="C6" s="766"/>
      <c r="D6" s="766"/>
      <c r="E6" s="766"/>
      <c r="F6" s="766"/>
      <c r="G6" s="728"/>
      <c r="H6" s="728"/>
    </row>
    <row r="7" spans="1:8" ht="25.15" hidden="1" customHeight="1">
      <c r="A7" s="766" t="s">
        <v>86</v>
      </c>
      <c r="B7" s="766"/>
      <c r="C7" s="766"/>
      <c r="D7" s="766"/>
      <c r="E7" s="766"/>
      <c r="F7" s="728"/>
      <c r="G7" s="728"/>
      <c r="H7" s="728"/>
    </row>
    <row r="8" spans="1:8" ht="24.75" hidden="1" customHeight="1">
      <c r="A8" s="728"/>
      <c r="B8" s="728"/>
      <c r="C8" s="728"/>
      <c r="D8" s="728"/>
      <c r="E8" s="728"/>
      <c r="F8" s="728"/>
      <c r="G8" s="728"/>
      <c r="H8" s="728"/>
    </row>
    <row r="9" spans="1:8" ht="24" hidden="1" customHeight="1">
      <c r="A9" s="767" t="s">
        <v>87</v>
      </c>
      <c r="B9" s="767"/>
      <c r="C9" s="767"/>
      <c r="D9" s="767"/>
      <c r="E9" s="767"/>
      <c r="F9" s="767"/>
      <c r="G9" s="728"/>
      <c r="H9" s="728"/>
    </row>
    <row r="10" spans="1:8" ht="13.15" hidden="1" customHeight="1">
      <c r="A10" s="766" t="s">
        <v>88</v>
      </c>
      <c r="B10" s="766"/>
      <c r="C10" s="766"/>
      <c r="D10" s="766"/>
      <c r="E10" s="766"/>
      <c r="F10" s="766"/>
      <c r="G10" s="766"/>
      <c r="H10" s="766"/>
    </row>
    <row r="11" spans="1:8" ht="18" hidden="1" customHeight="1">
      <c r="A11" s="729"/>
      <c r="B11" s="728"/>
      <c r="C11" s="728"/>
      <c r="D11" s="728"/>
      <c r="E11" s="728"/>
      <c r="F11" s="728"/>
      <c r="G11" s="728"/>
      <c r="H11" s="728"/>
    </row>
    <row r="12" spans="1:8" ht="18.75" hidden="1" customHeight="1">
      <c r="A12" s="729"/>
      <c r="B12" s="728"/>
      <c r="C12" s="728"/>
      <c r="D12" s="728"/>
      <c r="E12" s="728"/>
      <c r="F12" s="728"/>
      <c r="G12" s="728"/>
      <c r="H12" s="728"/>
    </row>
    <row r="13" spans="1:8" ht="19.5" customHeight="1">
      <c r="A13" s="160" t="s">
        <v>89</v>
      </c>
      <c r="B13" s="160"/>
      <c r="C13" s="160" t="s">
        <v>90</v>
      </c>
      <c r="D13" s="160"/>
      <c r="E13" s="160"/>
      <c r="F13" s="730"/>
      <c r="G13" s="731"/>
      <c r="H13" s="728"/>
    </row>
    <row r="14" spans="1:8" ht="20.25" customHeight="1">
      <c r="A14" s="160" t="s">
        <v>91</v>
      </c>
      <c r="B14" s="730"/>
      <c r="C14" s="160" t="s">
        <v>92</v>
      </c>
      <c r="D14" s="160"/>
      <c r="E14" s="160"/>
      <c r="F14" s="160"/>
      <c r="G14" s="45"/>
      <c r="H14" s="728"/>
    </row>
    <row r="15" spans="1:8" ht="21" customHeight="1">
      <c r="A15" s="160" t="s">
        <v>93</v>
      </c>
      <c r="B15" s="160"/>
      <c r="C15" s="160" t="s">
        <v>94</v>
      </c>
      <c r="D15" s="160"/>
      <c r="E15" s="160"/>
      <c r="F15" s="160"/>
      <c r="G15" s="45"/>
      <c r="H15" s="728"/>
    </row>
    <row r="16" spans="1:8" ht="21" customHeight="1">
      <c r="A16" s="160" t="s">
        <v>95</v>
      </c>
      <c r="B16" s="160"/>
      <c r="C16" s="160" t="s">
        <v>96</v>
      </c>
      <c r="D16" s="160"/>
      <c r="E16" s="730"/>
      <c r="F16" s="730"/>
      <c r="G16" s="731"/>
      <c r="H16" s="728"/>
    </row>
    <row r="17" spans="1:10" ht="14.25" customHeight="1">
      <c r="A17" s="45"/>
      <c r="B17" s="45"/>
      <c r="C17" s="45"/>
      <c r="D17" s="45"/>
      <c r="E17" s="731"/>
      <c r="F17" s="731"/>
      <c r="G17" s="731"/>
      <c r="H17" s="728"/>
    </row>
    <row r="18" spans="1:10" ht="24" customHeight="1">
      <c r="A18" s="239" t="s">
        <v>97</v>
      </c>
      <c r="B18" s="239"/>
      <c r="C18" s="732"/>
      <c r="D18" s="732"/>
      <c r="E18" s="732"/>
      <c r="F18" s="732"/>
      <c r="G18" s="731"/>
      <c r="H18" s="728"/>
    </row>
    <row r="19" spans="1:10" ht="30.75" customHeight="1">
      <c r="A19" s="45" t="s">
        <v>98</v>
      </c>
      <c r="B19" s="45"/>
      <c r="C19" s="731"/>
      <c r="D19" s="731"/>
      <c r="E19" s="731"/>
      <c r="F19" s="731"/>
      <c r="G19" s="607" t="s">
        <v>99</v>
      </c>
      <c r="H19" s="607" t="s">
        <v>99</v>
      </c>
    </row>
    <row r="20" spans="1:10" ht="21" customHeight="1">
      <c r="A20" s="768" t="s">
        <v>100</v>
      </c>
      <c r="B20" s="768"/>
      <c r="C20" s="768"/>
      <c r="D20" s="768"/>
      <c r="E20" s="768"/>
      <c r="F20" s="768"/>
      <c r="G20" s="768"/>
      <c r="H20" s="734">
        <f>'NOV 2024 NEW'!J57</f>
        <v>7923480.3333333395</v>
      </c>
      <c r="J20" s="387"/>
    </row>
    <row r="21" spans="1:10" ht="6.75" customHeight="1">
      <c r="A21" s="733"/>
      <c r="B21" s="733"/>
      <c r="C21" s="733"/>
      <c r="D21" s="733"/>
      <c r="E21" s="733"/>
      <c r="F21" s="733"/>
      <c r="G21" s="733"/>
      <c r="H21" s="734"/>
      <c r="J21" s="387"/>
    </row>
    <row r="22" spans="1:10" ht="21.75" customHeight="1">
      <c r="A22" s="769" t="s">
        <v>101</v>
      </c>
      <c r="B22" s="769"/>
      <c r="C22" s="769"/>
      <c r="D22" s="769"/>
      <c r="E22" s="769"/>
      <c r="F22" s="769"/>
      <c r="G22" s="735"/>
      <c r="H22" s="45"/>
      <c r="I22" s="387"/>
    </row>
    <row r="23" spans="1:10" ht="18.75" customHeight="1">
      <c r="A23" s="770" t="s">
        <v>102</v>
      </c>
      <c r="B23" s="770"/>
      <c r="C23" s="770"/>
      <c r="D23" s="770"/>
      <c r="E23" s="770"/>
      <c r="F23" s="770"/>
      <c r="G23" s="144">
        <f>'NOV 2024 NEW'!L57</f>
        <v>0</v>
      </c>
      <c r="H23" s="45"/>
      <c r="J23" s="387"/>
    </row>
    <row r="24" spans="1:10" ht="19.5" customHeight="1">
      <c r="A24" s="770" t="s">
        <v>103</v>
      </c>
      <c r="B24" s="770"/>
      <c r="C24" s="770"/>
      <c r="D24" s="770"/>
      <c r="E24" s="770"/>
      <c r="F24" s="770"/>
      <c r="G24" s="144">
        <f>'NOV 2024 NEW'!M57</f>
        <v>0</v>
      </c>
      <c r="H24" s="45"/>
    </row>
    <row r="25" spans="1:10" ht="20.25" customHeight="1">
      <c r="A25" s="771" t="s">
        <v>104</v>
      </c>
      <c r="B25" s="771"/>
      <c r="C25" s="771"/>
      <c r="D25" s="771"/>
      <c r="E25" s="771"/>
      <c r="F25" s="771"/>
      <c r="G25" s="144">
        <f>'NOV 2024 NEW'!N57</f>
        <v>0</v>
      </c>
      <c r="H25" s="45"/>
    </row>
    <row r="26" spans="1:10" ht="20.25" customHeight="1">
      <c r="A26" s="770" t="s">
        <v>105</v>
      </c>
      <c r="B26" s="770"/>
      <c r="C26" s="770"/>
      <c r="D26" s="770"/>
      <c r="E26" s="770"/>
      <c r="F26" s="770"/>
      <c r="G26" s="144">
        <f>'NOV 2024 NEW'!O57</f>
        <v>984003.39007999899</v>
      </c>
      <c r="H26" s="45"/>
    </row>
    <row r="27" spans="1:10" ht="21" customHeight="1">
      <c r="A27" s="770" t="s">
        <v>106</v>
      </c>
      <c r="B27" s="770"/>
      <c r="C27" s="770"/>
      <c r="D27" s="770"/>
      <c r="E27" s="770"/>
      <c r="F27" s="770"/>
      <c r="G27" s="738">
        <f>'NOV 2024 NEW'!P57</f>
        <v>493878.426666666</v>
      </c>
      <c r="H27" s="45"/>
    </row>
    <row r="28" spans="1:10" ht="28.5" customHeight="1">
      <c r="A28" s="770" t="s">
        <v>107</v>
      </c>
      <c r="B28" s="770"/>
      <c r="C28" s="770"/>
      <c r="D28" s="770"/>
      <c r="E28" s="770"/>
      <c r="F28" s="770"/>
      <c r="G28" s="144"/>
      <c r="H28" s="739">
        <f>'NOV 2024 NEW'!R57</f>
        <v>2955763.6334933299</v>
      </c>
      <c r="I28" s="389"/>
    </row>
    <row r="29" spans="1:10" ht="20.25" customHeight="1">
      <c r="A29" s="770" t="s">
        <v>108</v>
      </c>
      <c r="B29" s="770"/>
      <c r="C29" s="770"/>
      <c r="D29" s="770"/>
      <c r="E29" s="770"/>
      <c r="F29" s="770"/>
      <c r="G29" s="239"/>
      <c r="H29" s="740">
        <f>H20-H28</f>
        <v>4967716.6998400101</v>
      </c>
      <c r="I29" s="192"/>
    </row>
    <row r="30" spans="1:10" ht="21" customHeight="1">
      <c r="A30" s="770" t="s">
        <v>109</v>
      </c>
      <c r="B30" s="770"/>
      <c r="C30" s="770"/>
      <c r="D30" s="770"/>
      <c r="E30" s="770"/>
      <c r="F30" s="770"/>
      <c r="G30" s="741"/>
      <c r="H30" s="742">
        <f>'NOV 2024 NEW'!S57</f>
        <v>6424322.2638985002</v>
      </c>
    </row>
    <row r="31" spans="1:10" ht="21" customHeight="1">
      <c r="A31" s="770" t="s">
        <v>110</v>
      </c>
      <c r="B31" s="770"/>
      <c r="C31" s="770"/>
      <c r="D31" s="770"/>
      <c r="E31" s="770"/>
      <c r="F31" s="770"/>
      <c r="G31" s="741"/>
      <c r="H31" s="743">
        <f>H29-H30</f>
        <v>-1456605.5640584901</v>
      </c>
    </row>
    <row r="32" spans="1:10" ht="14" customHeight="1">
      <c r="A32" s="736"/>
      <c r="B32" s="736"/>
      <c r="C32" s="736"/>
      <c r="D32" s="736"/>
      <c r="E32" s="736"/>
      <c r="F32" s="736"/>
      <c r="G32" s="741"/>
      <c r="H32" s="744"/>
    </row>
    <row r="33" spans="1:17" ht="21" customHeight="1">
      <c r="A33" s="768" t="s">
        <v>111</v>
      </c>
      <c r="B33" s="768"/>
      <c r="C33" s="768"/>
      <c r="D33" s="768"/>
      <c r="E33" s="768"/>
      <c r="F33" s="768"/>
      <c r="G33" s="768"/>
      <c r="H33" s="745"/>
    </row>
    <row r="34" spans="1:17" ht="21" customHeight="1">
      <c r="A34" s="736" t="s">
        <v>112</v>
      </c>
      <c r="B34" s="736"/>
      <c r="C34" s="736"/>
      <c r="D34" s="736"/>
      <c r="E34" s="736"/>
      <c r="F34" s="736"/>
      <c r="G34" s="736"/>
      <c r="H34" s="746">
        <v>0</v>
      </c>
    </row>
    <row r="35" spans="1:17" ht="21" customHeight="1">
      <c r="A35" s="736" t="s">
        <v>113</v>
      </c>
      <c r="B35" s="736"/>
      <c r="C35" s="736"/>
      <c r="D35" s="736"/>
      <c r="E35" s="736"/>
      <c r="F35" s="736"/>
      <c r="G35" s="736"/>
      <c r="H35" s="746">
        <f>1477881.81</f>
        <v>1477881.81</v>
      </c>
    </row>
    <row r="36" spans="1:17" ht="21" customHeight="1">
      <c r="A36" s="736" t="s">
        <v>114</v>
      </c>
      <c r="B36" s="736"/>
      <c r="C36" s="736"/>
      <c r="D36" s="736"/>
      <c r="E36" s="736"/>
      <c r="F36" s="736"/>
      <c r="G36" s="736"/>
      <c r="H36" s="746">
        <v>-23587.41</v>
      </c>
    </row>
    <row r="37" spans="1:17" ht="21" customHeight="1">
      <c r="A37" s="736" t="s">
        <v>115</v>
      </c>
      <c r="B37" s="736"/>
      <c r="C37" s="736"/>
      <c r="D37" s="736"/>
      <c r="E37" s="736"/>
      <c r="F37" s="736"/>
      <c r="G37" s="736"/>
      <c r="H37" s="747">
        <f>2311.16</f>
        <v>2311.16</v>
      </c>
    </row>
    <row r="38" spans="1:17" ht="23" customHeight="1">
      <c r="H38" s="748">
        <f>SUM(H34:H37)</f>
        <v>1456605.56</v>
      </c>
      <c r="I38" s="389"/>
    </row>
    <row r="39" spans="1:17" ht="11.5" customHeight="1">
      <c r="A39" s="736"/>
      <c r="B39" s="736"/>
      <c r="C39" s="736"/>
      <c r="D39" s="736"/>
      <c r="E39" s="736"/>
      <c r="F39" s="736"/>
      <c r="G39" s="741"/>
      <c r="H39" s="744"/>
    </row>
    <row r="40" spans="1:17" ht="11" customHeight="1">
      <c r="A40" s="736"/>
      <c r="B40" s="736"/>
      <c r="C40" s="736"/>
      <c r="D40" s="736"/>
      <c r="E40" s="736"/>
      <c r="F40" s="736"/>
      <c r="G40" s="741"/>
      <c r="H40" s="744"/>
    </row>
    <row r="41" spans="1:17" ht="9.5" customHeight="1">
      <c r="A41" s="736"/>
      <c r="B41" s="736"/>
      <c r="C41" s="736"/>
      <c r="D41" s="736"/>
      <c r="E41" s="736"/>
      <c r="F41" s="736"/>
      <c r="G41" s="736"/>
      <c r="H41" s="744"/>
      <c r="I41" s="389"/>
      <c r="J41" s="385"/>
      <c r="K41" s="387"/>
      <c r="L41" s="385"/>
      <c r="M41" s="385"/>
      <c r="N41" s="387"/>
      <c r="P41" s="754"/>
      <c r="Q41" s="387"/>
    </row>
    <row r="42" spans="1:17" ht="28.5" customHeight="1">
      <c r="A42" s="45"/>
      <c r="B42" s="45"/>
      <c r="C42" s="45"/>
      <c r="D42" s="45"/>
      <c r="E42" s="772" t="s">
        <v>18</v>
      </c>
      <c r="F42" s="773"/>
      <c r="G42" s="774" t="s">
        <v>19</v>
      </c>
      <c r="H42" s="774"/>
      <c r="I42" s="389"/>
      <c r="J42" s="389"/>
      <c r="K42" s="387"/>
    </row>
    <row r="43" spans="1:17" ht="18.649999999999999" customHeight="1">
      <c r="A43" s="45"/>
      <c r="B43" s="45"/>
      <c r="C43" s="45"/>
      <c r="D43" s="45"/>
      <c r="E43" s="56" t="s">
        <v>116</v>
      </c>
      <c r="F43" s="749" t="s">
        <v>20</v>
      </c>
      <c r="G43" s="56" t="s">
        <v>116</v>
      </c>
      <c r="H43" s="749" t="s">
        <v>20</v>
      </c>
      <c r="I43" s="389"/>
      <c r="J43" s="389"/>
    </row>
    <row r="44" spans="1:17" ht="28.5" customHeight="1">
      <c r="A44" s="47">
        <v>1</v>
      </c>
      <c r="B44" s="775" t="s">
        <v>117</v>
      </c>
      <c r="C44" s="770"/>
      <c r="D44" s="776"/>
      <c r="E44" s="46">
        <v>6</v>
      </c>
      <c r="F44" s="48">
        <f>'NOV 2024 NEW'!S12</f>
        <v>1218809.9379199999</v>
      </c>
      <c r="G44" s="46">
        <f>'NOV 2024 NEW'!C12</f>
        <v>5</v>
      </c>
      <c r="H44" s="48">
        <f>'NOV 2024 NEW'!T12</f>
        <v>953497.70917333302</v>
      </c>
      <c r="I44" s="389"/>
      <c r="J44" s="389"/>
    </row>
    <row r="45" spans="1:17" ht="21.75" customHeight="1">
      <c r="A45" s="47">
        <v>2</v>
      </c>
      <c r="B45" s="750" t="s">
        <v>118</v>
      </c>
      <c r="C45" s="736"/>
      <c r="D45" s="751"/>
      <c r="E45" s="46">
        <v>1</v>
      </c>
      <c r="F45" s="48">
        <f>'NOV 2024 NEW'!S16</f>
        <v>262458.00731182803</v>
      </c>
      <c r="G45" s="46">
        <f>'NOV 2024 NEW'!C16</f>
        <v>1</v>
      </c>
      <c r="H45" s="48">
        <f>'NOV 2024 NEW'!T16</f>
        <v>219061.18</v>
      </c>
      <c r="I45" s="389"/>
      <c r="J45" s="389"/>
    </row>
    <row r="46" spans="1:17" ht="24.75" customHeight="1">
      <c r="A46" s="47">
        <v>3</v>
      </c>
      <c r="B46" s="770" t="s">
        <v>119</v>
      </c>
      <c r="C46" s="770"/>
      <c r="D46" s="776"/>
      <c r="E46" s="46">
        <v>2</v>
      </c>
      <c r="F46" s="48">
        <f>'NOV 2024 NEW'!S21</f>
        <v>660592.29866666696</v>
      </c>
      <c r="G46" s="46">
        <f>'NOV 2024 NEW'!C21</f>
        <v>2</v>
      </c>
      <c r="H46" s="48">
        <f>'NOV 2024 NEW'!T21</f>
        <v>527082.25066666701</v>
      </c>
      <c r="I46" s="389"/>
      <c r="J46" s="389"/>
    </row>
    <row r="47" spans="1:17" ht="23.25" customHeight="1">
      <c r="A47" s="47">
        <v>4</v>
      </c>
      <c r="B47" s="770" t="s">
        <v>120</v>
      </c>
      <c r="C47" s="770"/>
      <c r="D47" s="777"/>
      <c r="E47" s="46">
        <v>0</v>
      </c>
      <c r="F47" s="48">
        <v>0</v>
      </c>
      <c r="G47" s="46">
        <v>0</v>
      </c>
      <c r="H47" s="48">
        <v>0</v>
      </c>
      <c r="I47" s="389"/>
      <c r="J47" s="389"/>
    </row>
    <row r="48" spans="1:17" ht="24" customHeight="1">
      <c r="A48" s="47">
        <v>5</v>
      </c>
      <c r="B48" s="770" t="s">
        <v>121</v>
      </c>
      <c r="C48" s="770"/>
      <c r="D48" s="777"/>
      <c r="E48" s="46">
        <v>1</v>
      </c>
      <c r="F48" s="48">
        <f>'NOV 2024 NEW'!S26</f>
        <v>781389.15336</v>
      </c>
      <c r="G48" s="46">
        <f>'NOV 2024 NEW'!C26</f>
        <v>2</v>
      </c>
      <c r="H48" s="48">
        <f>'NOV 2024 NEW'!T26</f>
        <v>589016.89005333302</v>
      </c>
      <c r="I48" s="389"/>
      <c r="J48" s="389"/>
    </row>
    <row r="49" spans="1:14" ht="21" customHeight="1">
      <c r="A49" s="47">
        <v>6</v>
      </c>
      <c r="B49" s="770" t="s">
        <v>122</v>
      </c>
      <c r="C49" s="770"/>
      <c r="D49" s="777"/>
      <c r="E49" s="46">
        <v>2</v>
      </c>
      <c r="F49" s="48">
        <f>'NOV 2024 NEW'!S31</f>
        <v>671508.15469333297</v>
      </c>
      <c r="G49" s="46">
        <f>'NOV 2024 NEW'!C31</f>
        <v>2</v>
      </c>
      <c r="H49" s="48">
        <f>'NOV 2024 NEW'!T31</f>
        <v>514479.80938666698</v>
      </c>
      <c r="I49" s="389"/>
      <c r="J49" s="389"/>
    </row>
    <row r="50" spans="1:14" ht="23.25" customHeight="1">
      <c r="A50" s="47">
        <v>7</v>
      </c>
      <c r="B50" s="736" t="s">
        <v>123</v>
      </c>
      <c r="C50" s="736"/>
      <c r="D50" s="751"/>
      <c r="E50" s="46">
        <v>1</v>
      </c>
      <c r="F50" s="48">
        <f>'NOV 2024 NEW'!S35</f>
        <v>373000.38533333299</v>
      </c>
      <c r="G50" s="46">
        <f>'NOV 2024 NEW'!C35</f>
        <v>1</v>
      </c>
      <c r="H50" s="48">
        <f>'NOV 2024 NEW'!T35</f>
        <v>282488.27066666703</v>
      </c>
      <c r="I50" s="389"/>
      <c r="J50" s="389"/>
    </row>
    <row r="51" spans="1:14" ht="25.5" customHeight="1">
      <c r="A51" s="47">
        <v>8</v>
      </c>
      <c r="B51" s="736" t="s">
        <v>124</v>
      </c>
      <c r="C51" s="736"/>
      <c r="D51" s="751"/>
      <c r="E51" s="46">
        <v>1</v>
      </c>
      <c r="F51" s="48">
        <f>'NOV 2024 NEW'!S39</f>
        <v>399208.68135999999</v>
      </c>
      <c r="G51" s="46">
        <f>'NOV 2024 NEW'!C39</f>
        <v>1</v>
      </c>
      <c r="H51" s="48">
        <f>'NOV 2024 NEW'!T39</f>
        <v>275728.61938666698</v>
      </c>
      <c r="I51" s="389"/>
      <c r="J51" s="389"/>
    </row>
    <row r="52" spans="1:14" ht="21.75" customHeight="1">
      <c r="A52" s="47">
        <v>9</v>
      </c>
      <c r="B52" s="736" t="s">
        <v>125</v>
      </c>
      <c r="C52" s="736"/>
      <c r="D52" s="751"/>
      <c r="E52" s="46">
        <v>0</v>
      </c>
      <c r="F52" s="48">
        <v>0</v>
      </c>
      <c r="G52" s="46">
        <v>0</v>
      </c>
      <c r="H52" s="48">
        <v>0</v>
      </c>
      <c r="I52" s="389"/>
      <c r="J52" s="389"/>
    </row>
    <row r="53" spans="1:14" ht="21.75" customHeight="1">
      <c r="A53" s="47">
        <v>10</v>
      </c>
      <c r="B53" s="736" t="s">
        <v>126</v>
      </c>
      <c r="C53" s="736"/>
      <c r="D53" s="751"/>
      <c r="E53" s="46">
        <v>3</v>
      </c>
      <c r="F53" s="48">
        <f>'NOV 2024 NEW'!S45</f>
        <v>848161.68666666595</v>
      </c>
      <c r="G53" s="46">
        <f>'NOV 2024 NEW'!C45</f>
        <v>3</v>
      </c>
      <c r="H53" s="48">
        <f>'NOV 2024 NEW'!T45</f>
        <v>661715.47</v>
      </c>
      <c r="I53" s="389"/>
      <c r="J53" s="389"/>
    </row>
    <row r="54" spans="1:14" ht="24.75" customHeight="1">
      <c r="A54" s="47">
        <v>11</v>
      </c>
      <c r="B54" s="736" t="s">
        <v>127</v>
      </c>
      <c r="C54" s="736"/>
      <c r="D54" s="751"/>
      <c r="E54" s="46">
        <v>1</v>
      </c>
      <c r="F54" s="48">
        <f>'NOV 2024 NEW'!S49</f>
        <v>286045.42333333398</v>
      </c>
      <c r="G54" s="752" t="str">
        <f>'NOV 2024 NEW'!C49</f>
        <v>1</v>
      </c>
      <c r="H54" s="48">
        <f>'NOV 2024 NEW'!T49</f>
        <v>219061.18</v>
      </c>
      <c r="I54" s="389"/>
      <c r="J54" s="389"/>
    </row>
    <row r="55" spans="1:14" ht="24.75" customHeight="1">
      <c r="A55" s="47">
        <v>12</v>
      </c>
      <c r="B55" s="770" t="s">
        <v>128</v>
      </c>
      <c r="C55" s="770"/>
      <c r="D55" s="776"/>
      <c r="E55" s="46">
        <v>3</v>
      </c>
      <c r="F55" s="48">
        <f>'NOV 2024 NEW'!S56</f>
        <v>923148.53525333398</v>
      </c>
      <c r="G55" s="752" t="str">
        <f>'NOV 2024 NEW'!C56</f>
        <v>3</v>
      </c>
      <c r="H55" s="48">
        <f>'NOV 2024 NEW'!T56</f>
        <v>725585.32050666702</v>
      </c>
      <c r="I55" s="389"/>
      <c r="J55" s="389"/>
    </row>
    <row r="56" spans="1:14" ht="24" customHeight="1">
      <c r="A56" s="45"/>
      <c r="B56" s="45"/>
      <c r="C56" s="45"/>
      <c r="D56" s="45"/>
      <c r="E56" s="56">
        <f>SUM(E44:E55)</f>
        <v>21</v>
      </c>
      <c r="F56" s="50">
        <f>SUM(F44:F55)</f>
        <v>6424322.2638985002</v>
      </c>
      <c r="G56" s="56">
        <v>21</v>
      </c>
      <c r="H56" s="50">
        <f>SUM(H44:H55)</f>
        <v>4967716.6998399999</v>
      </c>
      <c r="I56" s="389"/>
      <c r="J56" s="389"/>
    </row>
    <row r="57" spans="1:14" ht="0.75" customHeight="1">
      <c r="A57" s="45"/>
      <c r="B57" s="45"/>
      <c r="C57" s="45"/>
      <c r="D57" s="45"/>
      <c r="E57" s="40"/>
      <c r="F57" s="753"/>
      <c r="G57" s="40"/>
      <c r="H57" s="753"/>
      <c r="I57" s="389"/>
      <c r="J57" s="389"/>
    </row>
    <row r="58" spans="1:14" ht="56.5" customHeight="1">
      <c r="A58" s="778" t="s">
        <v>129</v>
      </c>
      <c r="B58" s="778"/>
      <c r="C58" s="778"/>
      <c r="D58" s="778"/>
      <c r="E58" s="778"/>
      <c r="F58" s="778"/>
      <c r="G58" s="778"/>
      <c r="H58" s="778"/>
      <c r="I58" s="745"/>
      <c r="J58" s="755"/>
      <c r="K58" s="755"/>
      <c r="L58" s="745"/>
      <c r="M58" s="745"/>
      <c r="N58" s="745"/>
    </row>
    <row r="59" spans="1:14" ht="4.5" customHeight="1">
      <c r="A59" s="737"/>
      <c r="B59" s="737"/>
      <c r="C59" s="737"/>
      <c r="D59" s="737"/>
      <c r="E59" s="737"/>
      <c r="F59" s="737"/>
      <c r="G59" s="737"/>
      <c r="H59" s="737"/>
      <c r="I59" s="745"/>
      <c r="J59" s="745"/>
      <c r="K59" s="745"/>
      <c r="L59" s="745"/>
      <c r="M59" s="745"/>
      <c r="N59" s="745"/>
    </row>
    <row r="60" spans="1:14" ht="2.25" hidden="1" customHeight="1">
      <c r="A60" s="737"/>
      <c r="B60" s="737"/>
      <c r="C60" s="737"/>
      <c r="D60" s="737"/>
      <c r="E60" s="737"/>
      <c r="F60" s="737"/>
      <c r="G60" s="737"/>
      <c r="H60" s="737"/>
      <c r="I60" s="745"/>
      <c r="J60" s="745"/>
      <c r="K60" s="745"/>
      <c r="L60" s="745"/>
      <c r="M60" s="745"/>
      <c r="N60" s="745"/>
    </row>
    <row r="61" spans="1:14" ht="49.5" customHeight="1">
      <c r="F61" s="45"/>
      <c r="G61" s="45"/>
      <c r="H61" s="45"/>
    </row>
    <row r="62" spans="1:14" ht="17.25" customHeight="1">
      <c r="A62" s="768" t="s">
        <v>130</v>
      </c>
      <c r="B62" s="768"/>
      <c r="C62" s="768"/>
      <c r="D62" s="768"/>
      <c r="E62" s="768"/>
      <c r="F62" s="45"/>
      <c r="G62" s="45"/>
      <c r="H62" s="45"/>
      <c r="I62" s="192"/>
      <c r="K62" s="385"/>
    </row>
    <row r="63" spans="1:14" ht="13">
      <c r="A63" s="245"/>
      <c r="B63" s="245"/>
      <c r="C63" s="245"/>
      <c r="D63" s="245" t="s">
        <v>131</v>
      </c>
      <c r="E63" s="245"/>
      <c r="F63" s="245"/>
      <c r="G63" s="245"/>
      <c r="H63" s="245"/>
      <c r="I63" s="192"/>
      <c r="K63" s="385"/>
    </row>
    <row r="64" spans="1:14">
      <c r="K64" s="385"/>
    </row>
    <row r="65" spans="3:11">
      <c r="K65" s="385"/>
    </row>
    <row r="68" spans="3:11">
      <c r="C68" t="s">
        <v>132</v>
      </c>
    </row>
    <row r="166" spans="3:3">
      <c r="C166">
        <f>10000</f>
        <v>10000</v>
      </c>
    </row>
  </sheetData>
  <mergeCells count="29">
    <mergeCell ref="B55:D55"/>
    <mergeCell ref="A58:H58"/>
    <mergeCell ref="A62:E62"/>
    <mergeCell ref="B44:D44"/>
    <mergeCell ref="B46:D46"/>
    <mergeCell ref="B47:D47"/>
    <mergeCell ref="B48:D48"/>
    <mergeCell ref="B49:D49"/>
    <mergeCell ref="A29:F29"/>
    <mergeCell ref="A30:F30"/>
    <mergeCell ref="A31:F31"/>
    <mergeCell ref="A33:G33"/>
    <mergeCell ref="E42:F42"/>
    <mergeCell ref="G42:H42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G5" sqref="G5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19.26953125" style="1" customWidth="1"/>
    <col min="6" max="16384" width="9.1796875" style="1"/>
  </cols>
  <sheetData>
    <row r="1" spans="1:5" ht="27" customHeight="1">
      <c r="A1" s="217" t="s">
        <v>0</v>
      </c>
      <c r="B1" s="217"/>
      <c r="C1" s="217"/>
      <c r="D1" s="217"/>
      <c r="E1" s="717"/>
    </row>
    <row r="2" spans="1:5" ht="33.75" customHeight="1">
      <c r="A2" s="217" t="s">
        <v>133</v>
      </c>
      <c r="B2" s="238"/>
      <c r="C2" s="217"/>
      <c r="D2" s="217"/>
      <c r="E2" s="64"/>
    </row>
    <row r="3" spans="1:5" ht="9.75" customHeight="1">
      <c r="A3" s="2"/>
      <c r="B3" s="2"/>
      <c r="C3" s="2"/>
      <c r="D3" s="2"/>
    </row>
    <row r="4" spans="1:5" ht="49.5" customHeight="1">
      <c r="A4" s="718"/>
      <c r="B4" s="719" t="s">
        <v>2</v>
      </c>
      <c r="C4" s="720" t="s">
        <v>3</v>
      </c>
      <c r="D4" s="721" t="s">
        <v>4</v>
      </c>
      <c r="E4" s="722" t="s">
        <v>134</v>
      </c>
    </row>
    <row r="5" spans="1:5" ht="17.25" customHeight="1">
      <c r="C5" s="7"/>
      <c r="D5" s="7"/>
      <c r="E5" s="723" t="s">
        <v>20</v>
      </c>
    </row>
    <row r="6" spans="1:5" ht="20.149999999999999" customHeight="1">
      <c r="A6" s="8" t="s">
        <v>21</v>
      </c>
      <c r="B6" s="7" t="s">
        <v>22</v>
      </c>
      <c r="C6" s="7"/>
      <c r="D6" s="7"/>
      <c r="E6" s="723"/>
    </row>
    <row r="7" spans="1:5" ht="18.75" customHeight="1">
      <c r="A7" s="9">
        <v>1</v>
      </c>
      <c r="B7" s="17" t="s">
        <v>23</v>
      </c>
      <c r="C7" s="3" t="s">
        <v>24</v>
      </c>
      <c r="D7" s="9" t="s">
        <v>25</v>
      </c>
      <c r="E7" s="724">
        <v>54000</v>
      </c>
    </row>
    <row r="8" spans="1:5" ht="18.75" customHeight="1">
      <c r="A8" s="9">
        <v>2</v>
      </c>
      <c r="B8" s="17" t="s">
        <v>26</v>
      </c>
      <c r="C8" s="3" t="s">
        <v>24</v>
      </c>
      <c r="D8" s="9" t="s">
        <v>25</v>
      </c>
      <c r="E8" s="724">
        <v>54000</v>
      </c>
    </row>
    <row r="9" spans="1:5" ht="18.75" customHeight="1">
      <c r="A9" s="9">
        <v>3</v>
      </c>
      <c r="B9" s="17" t="s">
        <v>27</v>
      </c>
      <c r="C9" s="3" t="s">
        <v>28</v>
      </c>
      <c r="D9" s="9" t="s">
        <v>25</v>
      </c>
      <c r="E9" s="724">
        <v>54000</v>
      </c>
    </row>
    <row r="10" spans="1:5" ht="20.149999999999999" customHeight="1">
      <c r="A10" s="9">
        <v>4</v>
      </c>
      <c r="B10" s="17" t="s">
        <v>29</v>
      </c>
      <c r="C10" s="11" t="s">
        <v>30</v>
      </c>
      <c r="D10" s="14" t="s">
        <v>31</v>
      </c>
      <c r="E10" s="724">
        <v>54000</v>
      </c>
    </row>
    <row r="11" spans="1:5" ht="20.149999999999999" customHeight="1">
      <c r="A11" s="9">
        <v>5</v>
      </c>
      <c r="B11" s="17" t="s">
        <v>32</v>
      </c>
      <c r="C11" s="11" t="s">
        <v>33</v>
      </c>
      <c r="D11" s="14" t="s">
        <v>31</v>
      </c>
      <c r="E11" s="724">
        <v>54000</v>
      </c>
    </row>
    <row r="12" spans="1:5" ht="26.25" customHeight="1">
      <c r="A12" s="9"/>
      <c r="B12" s="19" t="s">
        <v>34</v>
      </c>
      <c r="C12" s="20">
        <v>5</v>
      </c>
      <c r="D12" s="14"/>
      <c r="E12" s="725">
        <f>SUM(E7:E11)</f>
        <v>270000</v>
      </c>
    </row>
    <row r="13" spans="1:5" ht="18.75" customHeight="1">
      <c r="A13" s="9"/>
      <c r="B13" s="21"/>
      <c r="C13" s="3"/>
      <c r="D13" s="14"/>
      <c r="E13" s="202"/>
    </row>
    <row r="14" spans="1:5" ht="18.75" customHeight="1">
      <c r="A14" s="9"/>
      <c r="B14" s="19" t="s">
        <v>35</v>
      </c>
      <c r="C14" s="3"/>
      <c r="D14" s="14"/>
      <c r="E14" s="71"/>
    </row>
    <row r="15" spans="1:5" ht="20.149999999999999" customHeight="1">
      <c r="A15" s="3">
        <v>1</v>
      </c>
      <c r="B15" s="17" t="s">
        <v>36</v>
      </c>
      <c r="C15" s="11" t="s">
        <v>37</v>
      </c>
      <c r="D15" s="14" t="s">
        <v>38</v>
      </c>
      <c r="E15" s="71">
        <v>68000</v>
      </c>
    </row>
    <row r="16" spans="1:5" ht="19.5" customHeight="1">
      <c r="A16" s="9"/>
      <c r="B16" s="13"/>
      <c r="C16" s="20">
        <v>1</v>
      </c>
      <c r="D16" s="9"/>
      <c r="E16" s="202">
        <f>SUM(E15:E15)</f>
        <v>68000</v>
      </c>
    </row>
    <row r="17" spans="1:5" ht="20.149999999999999" customHeight="1">
      <c r="A17" s="9"/>
      <c r="B17" s="13"/>
      <c r="C17" s="3"/>
      <c r="D17" s="9"/>
      <c r="E17" s="202"/>
    </row>
    <row r="18" spans="1:5" ht="20.149999999999999" customHeight="1">
      <c r="A18" s="9"/>
      <c r="B18" s="22" t="s">
        <v>39</v>
      </c>
      <c r="C18" s="4"/>
      <c r="D18" s="23"/>
      <c r="E18" s="202"/>
    </row>
    <row r="19" spans="1:5" ht="20.149999999999999" customHeight="1">
      <c r="A19" s="26">
        <v>1</v>
      </c>
      <c r="B19" s="17" t="s">
        <v>40</v>
      </c>
      <c r="C19" s="3" t="s">
        <v>41</v>
      </c>
      <c r="D19" s="14" t="s">
        <v>42</v>
      </c>
      <c r="E19" s="201">
        <v>68000</v>
      </c>
    </row>
    <row r="20" spans="1:5" ht="20.149999999999999" customHeight="1">
      <c r="A20" s="26">
        <v>2</v>
      </c>
      <c r="B20" s="10" t="s">
        <v>43</v>
      </c>
      <c r="C20" s="3" t="s">
        <v>44</v>
      </c>
      <c r="D20" s="9" t="s">
        <v>38</v>
      </c>
      <c r="E20" s="201">
        <v>68000</v>
      </c>
    </row>
    <row r="21" spans="1:5" ht="25.5" customHeight="1">
      <c r="A21" s="9"/>
      <c r="B21" s="19" t="s">
        <v>34</v>
      </c>
      <c r="C21" s="20">
        <v>2</v>
      </c>
      <c r="D21" s="20"/>
      <c r="E21" s="79">
        <f>SUM(E19:E20)</f>
        <v>136000</v>
      </c>
    </row>
    <row r="22" spans="1:5" ht="20.149999999999999" customHeight="1">
      <c r="A22" s="9"/>
      <c r="B22" s="21"/>
      <c r="C22" s="20"/>
      <c r="D22" s="20"/>
      <c r="E22" s="133"/>
    </row>
    <row r="23" spans="1:5" ht="20.149999999999999" customHeight="1">
      <c r="A23" s="9"/>
      <c r="B23" s="19" t="s">
        <v>45</v>
      </c>
      <c r="C23" s="20"/>
      <c r="D23" s="20"/>
      <c r="E23" s="133"/>
    </row>
    <row r="24" spans="1:5" ht="20.149999999999999" customHeight="1">
      <c r="A24" s="9">
        <v>1</v>
      </c>
      <c r="B24" s="17" t="s">
        <v>46</v>
      </c>
      <c r="C24" s="16" t="s">
        <v>47</v>
      </c>
      <c r="D24" s="14" t="s">
        <v>48</v>
      </c>
      <c r="E24" s="71">
        <v>90000</v>
      </c>
    </row>
    <row r="25" spans="1:5" ht="20.149999999999999" customHeight="1">
      <c r="A25" s="9">
        <v>2</v>
      </c>
      <c r="B25" s="13" t="s">
        <v>49</v>
      </c>
      <c r="C25" s="16" t="s">
        <v>50</v>
      </c>
      <c r="D25" s="9" t="s">
        <v>42</v>
      </c>
      <c r="E25" s="71">
        <v>68000</v>
      </c>
    </row>
    <row r="26" spans="1:5" ht="27" customHeight="1">
      <c r="A26" s="9"/>
      <c r="B26" s="19" t="s">
        <v>34</v>
      </c>
      <c r="C26" s="20">
        <v>2</v>
      </c>
      <c r="D26" s="20"/>
      <c r="E26" s="79">
        <f>SUM(E24:E25)</f>
        <v>158000</v>
      </c>
    </row>
    <row r="27" spans="1:5" ht="20.149999999999999" customHeight="1">
      <c r="A27" s="9"/>
      <c r="B27" s="21"/>
      <c r="C27" s="20"/>
      <c r="D27" s="20"/>
      <c r="E27" s="133"/>
    </row>
    <row r="28" spans="1:5" ht="20.149999999999999" customHeight="1">
      <c r="A28" s="9"/>
      <c r="B28" s="19" t="s">
        <v>51</v>
      </c>
      <c r="C28" s="20"/>
      <c r="D28" s="20"/>
      <c r="E28" s="133"/>
    </row>
    <row r="29" spans="1:5" ht="20.149999999999999" customHeight="1">
      <c r="A29" s="9">
        <v>1</v>
      </c>
      <c r="B29" s="10" t="s">
        <v>52</v>
      </c>
      <c r="C29" s="3" t="s">
        <v>53</v>
      </c>
      <c r="D29" s="14" t="s">
        <v>48</v>
      </c>
      <c r="E29" s="71">
        <v>90000</v>
      </c>
    </row>
    <row r="30" spans="1:5" ht="20.149999999999999" customHeight="1">
      <c r="A30" s="9">
        <v>2</v>
      </c>
      <c r="B30" s="17" t="s">
        <v>54</v>
      </c>
      <c r="C30" s="11" t="s">
        <v>55</v>
      </c>
      <c r="D30" s="14" t="s">
        <v>31</v>
      </c>
      <c r="E30" s="71">
        <v>54000</v>
      </c>
    </row>
    <row r="31" spans="1:5" ht="20.149999999999999" customHeight="1">
      <c r="A31" s="9"/>
      <c r="B31" s="19" t="s">
        <v>34</v>
      </c>
      <c r="C31" s="20">
        <v>2</v>
      </c>
      <c r="D31" s="20"/>
      <c r="E31" s="79">
        <f>SUM(E29:E30)</f>
        <v>144000</v>
      </c>
    </row>
    <row r="32" spans="1:5" ht="20.149999999999999" customHeight="1">
      <c r="A32" s="9"/>
      <c r="B32" s="19"/>
      <c r="C32" s="20"/>
      <c r="D32" s="20"/>
      <c r="E32" s="133"/>
    </row>
    <row r="33" spans="1:5" ht="20.149999999999999" customHeight="1">
      <c r="A33" s="9"/>
      <c r="B33" s="19" t="s">
        <v>56</v>
      </c>
      <c r="C33" s="24"/>
      <c r="D33" s="20"/>
      <c r="E33" s="133"/>
    </row>
    <row r="34" spans="1:5" ht="20.149999999999999" customHeight="1">
      <c r="A34" s="26">
        <v>1</v>
      </c>
      <c r="B34" s="17" t="s">
        <v>57</v>
      </c>
      <c r="C34" s="3" t="s">
        <v>41</v>
      </c>
      <c r="D34" s="14" t="s">
        <v>42</v>
      </c>
      <c r="E34" s="201">
        <v>68000</v>
      </c>
    </row>
    <row r="35" spans="1:5" ht="20.149999999999999" customHeight="1">
      <c r="A35" s="9"/>
      <c r="B35" s="19" t="s">
        <v>34</v>
      </c>
      <c r="C35" s="20">
        <v>1</v>
      </c>
      <c r="D35" s="20"/>
      <c r="E35" s="79">
        <f>SUM(E34)</f>
        <v>68000</v>
      </c>
    </row>
    <row r="36" spans="1:5" ht="20.149999999999999" customHeight="1">
      <c r="A36" s="9"/>
      <c r="B36" s="21"/>
      <c r="C36" s="20"/>
      <c r="D36" s="20"/>
      <c r="E36" s="133"/>
    </row>
    <row r="37" spans="1:5" ht="20.149999999999999" customHeight="1">
      <c r="A37" s="9"/>
      <c r="B37" s="19" t="s">
        <v>58</v>
      </c>
      <c r="C37" s="20"/>
      <c r="D37" s="20"/>
      <c r="E37" s="133"/>
    </row>
    <row r="38" spans="1:5" ht="20.149999999999999" customHeight="1">
      <c r="A38" s="9">
        <v>1</v>
      </c>
      <c r="B38" s="10" t="s">
        <v>59</v>
      </c>
      <c r="C38" s="3" t="s">
        <v>60</v>
      </c>
      <c r="D38" s="14" t="s">
        <v>48</v>
      </c>
      <c r="E38" s="71">
        <v>90000</v>
      </c>
    </row>
    <row r="39" spans="1:5" ht="20.149999999999999" customHeight="1">
      <c r="A39" s="3"/>
      <c r="B39" s="19" t="s">
        <v>34</v>
      </c>
      <c r="C39" s="20">
        <v>1</v>
      </c>
      <c r="D39" s="25"/>
      <c r="E39" s="79">
        <f>SUM(E38:E38)</f>
        <v>90000</v>
      </c>
    </row>
    <row r="40" spans="1:5" ht="20.149999999999999" customHeight="1">
      <c r="A40" s="3"/>
      <c r="B40" s="19"/>
      <c r="C40" s="20"/>
      <c r="D40" s="3"/>
      <c r="E40" s="204"/>
    </row>
    <row r="41" spans="1:5" ht="20.149999999999999" customHeight="1">
      <c r="A41" s="9"/>
      <c r="B41" s="19" t="s">
        <v>61</v>
      </c>
      <c r="C41" s="20"/>
      <c r="D41" s="20"/>
      <c r="E41" s="133"/>
    </row>
    <row r="42" spans="1:5" ht="18.75" customHeight="1">
      <c r="A42" s="9">
        <v>1</v>
      </c>
      <c r="B42" s="17" t="s">
        <v>62</v>
      </c>
      <c r="C42" s="3" t="s">
        <v>63</v>
      </c>
      <c r="D42" s="9" t="s">
        <v>25</v>
      </c>
      <c r="E42" s="71">
        <v>54000</v>
      </c>
    </row>
    <row r="43" spans="1:5" ht="18.75" customHeight="1">
      <c r="A43" s="9">
        <v>2</v>
      </c>
      <c r="B43" s="17" t="s">
        <v>64</v>
      </c>
      <c r="C43" s="3" t="s">
        <v>63</v>
      </c>
      <c r="D43" s="9" t="s">
        <v>25</v>
      </c>
      <c r="E43" s="71">
        <v>54000</v>
      </c>
    </row>
    <row r="44" spans="1:5" ht="20.149999999999999" customHeight="1">
      <c r="A44" s="9">
        <v>3</v>
      </c>
      <c r="B44" s="17" t="s">
        <v>65</v>
      </c>
      <c r="C44" s="11" t="s">
        <v>66</v>
      </c>
      <c r="D44" s="14" t="s">
        <v>31</v>
      </c>
      <c r="E44" s="71">
        <v>54000</v>
      </c>
    </row>
    <row r="45" spans="1:5" ht="24.75" customHeight="1">
      <c r="A45" s="3"/>
      <c r="B45" s="19" t="s">
        <v>34</v>
      </c>
      <c r="C45" s="20">
        <v>3</v>
      </c>
      <c r="D45" s="25"/>
      <c r="E45" s="79">
        <f>SUM(E42:E44)</f>
        <v>162000</v>
      </c>
    </row>
    <row r="46" spans="1:5" ht="20.149999999999999" customHeight="1">
      <c r="A46" s="3"/>
      <c r="B46" s="21"/>
      <c r="C46" s="9"/>
      <c r="D46" s="3"/>
      <c r="E46" s="205"/>
    </row>
    <row r="47" spans="1:5" ht="20.149999999999999" customHeight="1">
      <c r="A47" s="3"/>
      <c r="B47" s="19" t="s">
        <v>67</v>
      </c>
      <c r="C47" s="20"/>
      <c r="D47" s="20"/>
      <c r="E47" s="133"/>
    </row>
    <row r="48" spans="1:5" ht="20.149999999999999" customHeight="1">
      <c r="A48" s="3">
        <v>1</v>
      </c>
      <c r="B48" s="17" t="s">
        <v>68</v>
      </c>
      <c r="C48" s="11" t="s">
        <v>69</v>
      </c>
      <c r="D48" s="14" t="s">
        <v>38</v>
      </c>
      <c r="E48" s="71">
        <v>68000</v>
      </c>
    </row>
    <row r="49" spans="1:5" ht="28.5" customHeight="1">
      <c r="A49" s="3"/>
      <c r="B49" s="19" t="s">
        <v>34</v>
      </c>
      <c r="C49" s="25" t="s">
        <v>70</v>
      </c>
      <c r="D49" s="14"/>
      <c r="E49" s="79">
        <f>SUM(E48:E48)</f>
        <v>68000</v>
      </c>
    </row>
    <row r="50" spans="1:5" ht="20.149999999999999" customHeight="1">
      <c r="A50" s="3"/>
      <c r="B50" s="21"/>
      <c r="C50" s="25"/>
      <c r="D50" s="14"/>
      <c r="E50" s="133"/>
    </row>
    <row r="51" spans="1:5" ht="20.149999999999999" customHeight="1">
      <c r="A51" s="3"/>
      <c r="B51" s="19" t="s">
        <v>71</v>
      </c>
      <c r="C51" s="11"/>
      <c r="D51" s="14"/>
      <c r="E51" s="71"/>
    </row>
    <row r="52" spans="1:5" ht="18.75" customHeight="1">
      <c r="A52" s="9">
        <v>1</v>
      </c>
      <c r="B52" s="17" t="s">
        <v>72</v>
      </c>
      <c r="C52" s="3" t="s">
        <v>73</v>
      </c>
      <c r="D52" s="9" t="s">
        <v>25</v>
      </c>
      <c r="E52" s="71">
        <v>54000</v>
      </c>
    </row>
    <row r="53" spans="1:5" ht="20.149999999999999" customHeight="1">
      <c r="A53" s="9">
        <v>2</v>
      </c>
      <c r="B53" s="17" t="s">
        <v>74</v>
      </c>
      <c r="C53" s="11" t="s">
        <v>75</v>
      </c>
      <c r="D53" s="14" t="s">
        <v>31</v>
      </c>
      <c r="E53" s="71">
        <v>54000</v>
      </c>
    </row>
    <row r="54" spans="1:5" ht="20.149999999999999" customHeight="1">
      <c r="A54" s="9">
        <v>3</v>
      </c>
      <c r="B54" s="17" t="s">
        <v>76</v>
      </c>
      <c r="C54" s="11" t="s">
        <v>77</v>
      </c>
      <c r="D54" s="14" t="s">
        <v>31</v>
      </c>
      <c r="E54" s="71">
        <v>54000</v>
      </c>
    </row>
    <row r="55" spans="1:5" ht="20.149999999999999" customHeight="1">
      <c r="A55" s="9">
        <v>3</v>
      </c>
      <c r="B55" s="17" t="s">
        <v>78</v>
      </c>
      <c r="C55" s="11" t="s">
        <v>77</v>
      </c>
      <c r="D55" s="14" t="s">
        <v>31</v>
      </c>
      <c r="E55" s="71">
        <v>54000</v>
      </c>
    </row>
    <row r="56" spans="1:5" ht="30.75" customHeight="1">
      <c r="A56" s="26"/>
      <c r="B56" s="7" t="s">
        <v>34</v>
      </c>
      <c r="C56" s="27" t="s">
        <v>79</v>
      </c>
      <c r="D56" s="28"/>
      <c r="E56" s="79">
        <f>SUM(E52:E55)</f>
        <v>216000</v>
      </c>
    </row>
    <row r="57" spans="1:5" ht="35.25" customHeight="1">
      <c r="A57" s="3"/>
      <c r="B57" s="29" t="s">
        <v>80</v>
      </c>
      <c r="C57" s="30">
        <f>C56+C49+C45+C39+C35+C31+C26+C21+C16+C12</f>
        <v>21</v>
      </c>
      <c r="D57" s="31"/>
      <c r="E57" s="208">
        <f>E56+E49+E45+E39+E35+E31+E26+E21+E16+E12</f>
        <v>1380000</v>
      </c>
    </row>
    <row r="58" spans="1:5" ht="38.25" customHeight="1">
      <c r="A58" s="2"/>
      <c r="B58" s="32"/>
      <c r="C58" s="2"/>
      <c r="D58" s="33"/>
      <c r="E58" s="33"/>
    </row>
    <row r="59" spans="1:5" ht="36.75" customHeight="1">
      <c r="A59" s="2"/>
      <c r="B59" s="32"/>
      <c r="C59" s="33"/>
      <c r="D59" s="33"/>
      <c r="E59" s="33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zoomScaleSheetLayoutView="50" workbookViewId="0">
      <pane xSplit="3" ySplit="6" topLeftCell="D39" activePane="bottomRight" state="frozen"/>
      <selection pane="topRight"/>
      <selection pane="bottomLeft"/>
      <selection pane="bottomRight" activeCell="C46" sqref="C46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5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5" width="19.81640625" style="1" customWidth="1"/>
    <col min="16" max="17" width="18.1796875" style="1" customWidth="1"/>
    <col min="18" max="18" width="19.26953125" style="1" customWidth="1"/>
    <col min="19" max="19" width="17.36328125" style="1" customWidth="1"/>
    <col min="20" max="20" width="19.54296875" style="1" customWidth="1"/>
    <col min="21" max="16384" width="9.1796875" style="1"/>
  </cols>
  <sheetData>
    <row r="1" spans="1:20" ht="27" customHeight="1">
      <c r="A1" s="701" t="s">
        <v>0</v>
      </c>
      <c r="B1" s="701"/>
      <c r="C1" s="701"/>
      <c r="D1" s="702"/>
      <c r="E1" s="703"/>
      <c r="F1" s="196"/>
      <c r="G1" s="198"/>
      <c r="H1" s="198"/>
      <c r="I1" s="198"/>
    </row>
    <row r="2" spans="1:20" ht="33.75" customHeight="1">
      <c r="A2" s="701" t="s">
        <v>135</v>
      </c>
      <c r="B2" s="701"/>
      <c r="C2" s="701"/>
      <c r="D2" s="701"/>
      <c r="E2" s="701"/>
      <c r="F2" s="197"/>
      <c r="G2" s="277"/>
      <c r="H2" s="277"/>
      <c r="I2" s="277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20" ht="9.75" customHeight="1">
      <c r="A3" s="704"/>
      <c r="B3" s="704"/>
      <c r="C3" s="704"/>
      <c r="D3" s="705"/>
      <c r="E3" s="705"/>
      <c r="F3" s="198"/>
      <c r="G3" s="198"/>
      <c r="H3" s="198"/>
      <c r="I3" s="198"/>
    </row>
    <row r="4" spans="1:20" ht="49.5" customHeight="1">
      <c r="A4" s="706"/>
      <c r="B4" s="707" t="s">
        <v>2</v>
      </c>
      <c r="C4" s="708" t="s">
        <v>3</v>
      </c>
      <c r="D4" s="709" t="s">
        <v>4</v>
      </c>
      <c r="E4" s="710" t="s">
        <v>9</v>
      </c>
      <c r="F4" s="711" t="s">
        <v>136</v>
      </c>
      <c r="G4" s="199" t="s">
        <v>7</v>
      </c>
      <c r="H4" s="199" t="s">
        <v>7</v>
      </c>
      <c r="I4" s="199" t="s">
        <v>8</v>
      </c>
      <c r="J4" s="485" t="s">
        <v>9</v>
      </c>
      <c r="K4" s="199" t="s">
        <v>10</v>
      </c>
      <c r="L4" s="199" t="s">
        <v>11</v>
      </c>
      <c r="M4" s="199" t="s">
        <v>12</v>
      </c>
      <c r="N4" s="199" t="s">
        <v>13</v>
      </c>
      <c r="O4" s="23" t="s">
        <v>14</v>
      </c>
      <c r="P4" s="199" t="s">
        <v>15</v>
      </c>
      <c r="Q4" s="199" t="s">
        <v>16</v>
      </c>
      <c r="R4" s="485" t="s">
        <v>17</v>
      </c>
      <c r="S4" s="66" t="s">
        <v>18</v>
      </c>
      <c r="T4" s="716" t="s">
        <v>19</v>
      </c>
    </row>
    <row r="5" spans="1:20" ht="17.25" customHeight="1">
      <c r="A5" s="705"/>
      <c r="B5" s="705"/>
      <c r="C5" s="712"/>
      <c r="D5" s="712"/>
      <c r="E5" s="713" t="s">
        <v>20</v>
      </c>
      <c r="F5" s="714" t="s">
        <v>20</v>
      </c>
      <c r="G5" s="68" t="s">
        <v>20</v>
      </c>
      <c r="H5" s="68" t="s">
        <v>20</v>
      </c>
      <c r="I5" s="68" t="s">
        <v>20</v>
      </c>
      <c r="J5" s="487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68" t="s">
        <v>20</v>
      </c>
      <c r="R5" s="487" t="s">
        <v>20</v>
      </c>
      <c r="S5" s="68" t="s">
        <v>20</v>
      </c>
      <c r="T5" s="487" t="s">
        <v>20</v>
      </c>
    </row>
    <row r="6" spans="1:20" ht="20.149999999999999" customHeight="1">
      <c r="A6" s="8" t="s">
        <v>21</v>
      </c>
      <c r="B6" s="7" t="s">
        <v>22</v>
      </c>
      <c r="C6" s="7"/>
      <c r="D6" s="7"/>
      <c r="E6" s="68"/>
      <c r="F6" s="20"/>
      <c r="G6" s="68"/>
      <c r="H6" s="68"/>
      <c r="I6" s="68"/>
      <c r="J6" s="487"/>
      <c r="K6" s="68"/>
      <c r="L6" s="68"/>
      <c r="M6" s="68"/>
      <c r="N6" s="68"/>
      <c r="O6" s="68"/>
      <c r="P6" s="68"/>
      <c r="Q6" s="68"/>
      <c r="R6" s="487"/>
      <c r="S6" s="68"/>
      <c r="T6" s="487"/>
    </row>
    <row r="7" spans="1:20" ht="18.75" customHeight="1">
      <c r="A7" s="9">
        <v>1</v>
      </c>
      <c r="B7" s="17" t="s">
        <v>23</v>
      </c>
      <c r="C7" s="3" t="s">
        <v>24</v>
      </c>
      <c r="D7" s="9" t="s">
        <v>25</v>
      </c>
      <c r="E7" s="71">
        <v>315849</v>
      </c>
      <c r="F7" s="71"/>
      <c r="G7" s="201"/>
      <c r="H7" s="201">
        <f t="shared" ref="H7:H9" si="0">60000</f>
        <v>60000</v>
      </c>
      <c r="I7" s="71"/>
      <c r="J7" s="489">
        <f t="shared" ref="J7:J9" si="1">E7+F7+G7+H7+I7</f>
        <v>375849</v>
      </c>
      <c r="K7" s="71"/>
      <c r="L7" s="71"/>
      <c r="M7" s="71"/>
      <c r="N7" s="71"/>
      <c r="O7" s="71">
        <v>36790.688106666697</v>
      </c>
      <c r="P7" s="71">
        <v>20467.919999999998</v>
      </c>
      <c r="Q7" s="71">
        <v>57258.608106666703</v>
      </c>
      <c r="R7" s="489">
        <f t="shared" ref="R7:R11" si="2">O7+N7+M7+L7+K7+P7+Q7</f>
        <v>114517.216213333</v>
      </c>
      <c r="S7" s="71">
        <v>258590.391893333</v>
      </c>
      <c r="T7" s="489">
        <f t="shared" ref="T7:T11" si="3">J7-R7</f>
        <v>261331.78378666699</v>
      </c>
    </row>
    <row r="8" spans="1:20" ht="18.75" customHeight="1">
      <c r="A8" s="9">
        <v>2</v>
      </c>
      <c r="B8" s="17" t="s">
        <v>26</v>
      </c>
      <c r="C8" s="3" t="s">
        <v>24</v>
      </c>
      <c r="D8" s="9" t="s">
        <v>25</v>
      </c>
      <c r="E8" s="71">
        <v>315849</v>
      </c>
      <c r="F8" s="71"/>
      <c r="G8" s="201"/>
      <c r="H8" s="201">
        <f t="shared" si="0"/>
        <v>60000</v>
      </c>
      <c r="I8" s="71"/>
      <c r="J8" s="489">
        <f t="shared" si="1"/>
        <v>375849</v>
      </c>
      <c r="K8" s="71"/>
      <c r="L8" s="71"/>
      <c r="M8" s="71"/>
      <c r="N8" s="71"/>
      <c r="O8" s="71">
        <v>36790.688106666697</v>
      </c>
      <c r="P8" s="71">
        <v>20467.919999999998</v>
      </c>
      <c r="Q8" s="71">
        <v>57258.608106666703</v>
      </c>
      <c r="R8" s="489">
        <f t="shared" si="2"/>
        <v>114517.216213333</v>
      </c>
      <c r="S8" s="71">
        <v>258590.391893333</v>
      </c>
      <c r="T8" s="489">
        <f t="shared" si="3"/>
        <v>261331.78378666699</v>
      </c>
    </row>
    <row r="9" spans="1:20" ht="18.75" customHeight="1">
      <c r="A9" s="9">
        <v>3</v>
      </c>
      <c r="B9" s="17" t="s">
        <v>27</v>
      </c>
      <c r="C9" s="3" t="s">
        <v>28</v>
      </c>
      <c r="D9" s="9" t="s">
        <v>25</v>
      </c>
      <c r="E9" s="71">
        <v>315849</v>
      </c>
      <c r="F9" s="71"/>
      <c r="G9" s="201"/>
      <c r="H9" s="201">
        <f t="shared" si="0"/>
        <v>60000</v>
      </c>
      <c r="I9" s="71"/>
      <c r="J9" s="489">
        <f t="shared" si="1"/>
        <v>375849</v>
      </c>
      <c r="K9" s="71"/>
      <c r="L9" s="71"/>
      <c r="M9" s="71"/>
      <c r="N9" s="71"/>
      <c r="O9" s="71">
        <v>36790.688106666697</v>
      </c>
      <c r="P9" s="71">
        <v>20467.919999999998</v>
      </c>
      <c r="Q9" s="71">
        <v>57258.608106666703</v>
      </c>
      <c r="R9" s="489">
        <f t="shared" si="2"/>
        <v>114517.216213333</v>
      </c>
      <c r="S9" s="71">
        <v>258590.391893333</v>
      </c>
      <c r="T9" s="489">
        <f t="shared" si="3"/>
        <v>261331.78378666699</v>
      </c>
    </row>
    <row r="10" spans="1:20" ht="20.149999999999999" customHeight="1">
      <c r="A10" s="9">
        <v>4</v>
      </c>
      <c r="B10" s="17" t="s">
        <v>29</v>
      </c>
      <c r="C10" s="11" t="s">
        <v>30</v>
      </c>
      <c r="D10" s="14" t="s">
        <v>31</v>
      </c>
      <c r="E10" s="71">
        <v>268287.58333333302</v>
      </c>
      <c r="F10" s="71"/>
      <c r="G10" s="201"/>
      <c r="H10" s="201">
        <f>50000</f>
        <v>50000</v>
      </c>
      <c r="I10" s="71"/>
      <c r="J10" s="489">
        <f t="shared" ref="J10:J15" si="4">SUM(E10:I10)</f>
        <v>318287.58333333302</v>
      </c>
      <c r="K10" s="71"/>
      <c r="L10" s="656"/>
      <c r="M10" s="656"/>
      <c r="N10" s="3"/>
      <c r="O10" s="656">
        <v>29305.1955466666</v>
      </c>
      <c r="P10" s="656">
        <v>17463.006666666599</v>
      </c>
      <c r="Q10" s="656">
        <v>46768.202213333199</v>
      </c>
      <c r="R10" s="489">
        <f t="shared" si="2"/>
        <v>93536.404426666399</v>
      </c>
      <c r="S10" s="71">
        <v>221519.38112000001</v>
      </c>
      <c r="T10" s="489">
        <f t="shared" si="3"/>
        <v>224751.17890666699</v>
      </c>
    </row>
    <row r="11" spans="1:20" ht="20.149999999999999" customHeight="1">
      <c r="A11" s="9">
        <v>5</v>
      </c>
      <c r="B11" s="17" t="s">
        <v>32</v>
      </c>
      <c r="C11" s="11" t="s">
        <v>33</v>
      </c>
      <c r="D11" s="14" t="s">
        <v>31</v>
      </c>
      <c r="E11" s="71">
        <v>268287.58333333302</v>
      </c>
      <c r="F11" s="71"/>
      <c r="G11" s="201"/>
      <c r="H11" s="201">
        <f>50000</f>
        <v>50000</v>
      </c>
      <c r="I11" s="71"/>
      <c r="J11" s="489">
        <f t="shared" si="4"/>
        <v>318287.58333333302</v>
      </c>
      <c r="K11" s="71"/>
      <c r="L11" s="656"/>
      <c r="M11" s="656"/>
      <c r="N11" s="3"/>
      <c r="O11" s="656">
        <v>29305.1955466666</v>
      </c>
      <c r="P11" s="656">
        <v>17463.006666666599</v>
      </c>
      <c r="Q11" s="656">
        <v>46768.202213333199</v>
      </c>
      <c r="R11" s="489">
        <f t="shared" si="2"/>
        <v>93536.404426666399</v>
      </c>
      <c r="S11" s="71">
        <v>221519.38112000001</v>
      </c>
      <c r="T11" s="489">
        <f t="shared" si="3"/>
        <v>224751.17890666699</v>
      </c>
    </row>
    <row r="12" spans="1:20" ht="26.25" customHeight="1">
      <c r="A12" s="9"/>
      <c r="B12" s="19" t="s">
        <v>34</v>
      </c>
      <c r="C12" s="20">
        <v>5</v>
      </c>
      <c r="D12" s="14"/>
      <c r="E12" s="202">
        <v>1484122.16666667</v>
      </c>
      <c r="F12" s="202">
        <f t="shared" ref="F12:P12" si="5">SUM(F7:F11)</f>
        <v>0</v>
      </c>
      <c r="G12" s="202">
        <f t="shared" si="5"/>
        <v>0</v>
      </c>
      <c r="H12" s="202">
        <f t="shared" si="5"/>
        <v>280000</v>
      </c>
      <c r="I12" s="202">
        <f t="shared" si="5"/>
        <v>0</v>
      </c>
      <c r="J12" s="494">
        <f t="shared" si="5"/>
        <v>1764122.16666667</v>
      </c>
      <c r="K12" s="202">
        <f t="shared" si="5"/>
        <v>0</v>
      </c>
      <c r="L12" s="202">
        <f t="shared" si="5"/>
        <v>0</v>
      </c>
      <c r="M12" s="202">
        <f t="shared" si="5"/>
        <v>0</v>
      </c>
      <c r="N12" s="202">
        <f t="shared" si="5"/>
        <v>0</v>
      </c>
      <c r="O12" s="202">
        <f t="shared" si="5"/>
        <v>168982.45541333299</v>
      </c>
      <c r="P12" s="202">
        <f t="shared" si="5"/>
        <v>96329.7733333332</v>
      </c>
      <c r="Q12" s="202">
        <v>265312.22874666599</v>
      </c>
      <c r="R12" s="494">
        <f>SUM(R7:R11)</f>
        <v>530624.45749333303</v>
      </c>
      <c r="S12" s="202">
        <v>1218809.9379199999</v>
      </c>
      <c r="T12" s="494">
        <f>SUM(T7:T11)</f>
        <v>1233497.7091733301</v>
      </c>
    </row>
    <row r="13" spans="1:20" ht="18.75" customHeight="1">
      <c r="A13" s="9"/>
      <c r="B13" s="21"/>
      <c r="C13" s="3"/>
      <c r="D13" s="14"/>
      <c r="E13" s="202"/>
      <c r="F13" s="202"/>
      <c r="G13" s="201"/>
      <c r="H13" s="201"/>
      <c r="I13" s="202"/>
      <c r="J13" s="494"/>
      <c r="K13" s="202"/>
      <c r="L13" s="202"/>
      <c r="M13" s="202"/>
      <c r="N13" s="202"/>
      <c r="O13" s="202"/>
      <c r="P13" s="202"/>
      <c r="Q13" s="202"/>
      <c r="R13" s="494"/>
      <c r="S13" s="202"/>
      <c r="T13" s="494"/>
    </row>
    <row r="14" spans="1:20" ht="18.75" customHeight="1">
      <c r="A14" s="9"/>
      <c r="B14" s="19" t="s">
        <v>35</v>
      </c>
      <c r="C14" s="3"/>
      <c r="D14" s="14"/>
      <c r="E14" s="71"/>
      <c r="F14" s="71"/>
      <c r="G14" s="201"/>
      <c r="H14" s="201"/>
      <c r="I14" s="71"/>
      <c r="J14" s="489"/>
      <c r="K14" s="71"/>
      <c r="L14" s="71"/>
      <c r="M14" s="71"/>
      <c r="N14" s="71"/>
      <c r="O14" s="71"/>
      <c r="P14" s="71"/>
      <c r="Q14" s="71"/>
      <c r="R14" s="489"/>
      <c r="S14" s="71"/>
      <c r="T14" s="489"/>
    </row>
    <row r="15" spans="1:20" ht="20.149999999999999" customHeight="1">
      <c r="A15" s="3">
        <v>1</v>
      </c>
      <c r="B15" s="17" t="s">
        <v>36</v>
      </c>
      <c r="C15" s="11" t="s">
        <v>37</v>
      </c>
      <c r="D15" s="14" t="s">
        <v>38</v>
      </c>
      <c r="E15" s="71">
        <v>353029.66666666698</v>
      </c>
      <c r="F15" s="71"/>
      <c r="G15" s="201"/>
      <c r="H15" s="201">
        <v>60000</v>
      </c>
      <c r="I15" s="71"/>
      <c r="J15" s="489">
        <f t="shared" si="4"/>
        <v>413029.66666666698</v>
      </c>
      <c r="K15" s="71"/>
      <c r="L15" s="656"/>
      <c r="M15" s="656"/>
      <c r="O15" s="656">
        <v>43541.87</v>
      </c>
      <c r="P15" s="657">
        <v>23442.3733333333</v>
      </c>
      <c r="Q15" s="657">
        <v>66984.243333333303</v>
      </c>
      <c r="R15" s="489">
        <f t="shared" ref="R15:R20" si="6">O15+N15+M15+L15+K15+P15+Q15</f>
        <v>133968.48666666701</v>
      </c>
      <c r="S15" s="71">
        <v>262458.00731182803</v>
      </c>
      <c r="T15" s="489">
        <f t="shared" ref="T15:T20" si="7">J15-R15</f>
        <v>279061.18</v>
      </c>
    </row>
    <row r="16" spans="1:20" ht="19.5" customHeight="1">
      <c r="A16" s="9"/>
      <c r="B16" s="13"/>
      <c r="C16" s="20">
        <v>1</v>
      </c>
      <c r="D16" s="9"/>
      <c r="E16" s="202">
        <v>353029.66666666698</v>
      </c>
      <c r="F16" s="202">
        <f t="shared" ref="F16:P16" si="8">SUM(F15:F15)</f>
        <v>0</v>
      </c>
      <c r="G16" s="202">
        <f t="shared" si="8"/>
        <v>0</v>
      </c>
      <c r="H16" s="202">
        <f t="shared" si="8"/>
        <v>60000</v>
      </c>
      <c r="I16" s="202">
        <f t="shared" si="8"/>
        <v>0</v>
      </c>
      <c r="J16" s="494">
        <f t="shared" si="8"/>
        <v>413029.66666666698</v>
      </c>
      <c r="K16" s="202">
        <f t="shared" si="8"/>
        <v>0</v>
      </c>
      <c r="L16" s="202">
        <f t="shared" si="8"/>
        <v>0</v>
      </c>
      <c r="M16" s="202">
        <f t="shared" si="8"/>
        <v>0</v>
      </c>
      <c r="N16" s="202">
        <f t="shared" si="8"/>
        <v>0</v>
      </c>
      <c r="O16" s="202">
        <f t="shared" si="8"/>
        <v>43541.87</v>
      </c>
      <c r="P16" s="202">
        <f t="shared" si="8"/>
        <v>23442.3733333333</v>
      </c>
      <c r="Q16" s="202">
        <v>66984.243333333303</v>
      </c>
      <c r="R16" s="494">
        <f>SUM(R15:R15)</f>
        <v>133968.48666666701</v>
      </c>
      <c r="S16" s="202">
        <v>262458.00731182803</v>
      </c>
      <c r="T16" s="494">
        <f>SUM(T15:T15)</f>
        <v>279061.18</v>
      </c>
    </row>
    <row r="17" spans="1:20" ht="20.149999999999999" customHeight="1">
      <c r="A17" s="9"/>
      <c r="B17" s="13"/>
      <c r="C17" s="3"/>
      <c r="D17" s="9"/>
      <c r="E17" s="202"/>
      <c r="F17" s="202"/>
      <c r="G17" s="201"/>
      <c r="H17" s="201"/>
      <c r="I17" s="202"/>
      <c r="J17" s="494"/>
      <c r="K17" s="202"/>
      <c r="L17" s="202"/>
      <c r="M17" s="202"/>
      <c r="N17" s="202"/>
      <c r="O17" s="202"/>
      <c r="P17" s="202"/>
      <c r="Q17" s="202"/>
      <c r="R17" s="489"/>
      <c r="S17" s="71"/>
      <c r="T17" s="489"/>
    </row>
    <row r="18" spans="1:20" ht="20.149999999999999" customHeight="1">
      <c r="A18" s="9"/>
      <c r="B18" s="22" t="s">
        <v>39</v>
      </c>
      <c r="C18" s="4"/>
      <c r="D18" s="23"/>
      <c r="E18" s="202"/>
      <c r="F18" s="202"/>
      <c r="G18" s="201"/>
      <c r="H18" s="201"/>
      <c r="I18" s="71"/>
      <c r="J18" s="489"/>
      <c r="K18" s="71"/>
      <c r="L18" s="71"/>
      <c r="M18" s="71"/>
      <c r="N18" s="71"/>
      <c r="O18" s="71"/>
      <c r="P18" s="71"/>
      <c r="Q18" s="71"/>
      <c r="R18" s="489"/>
      <c r="S18" s="71"/>
      <c r="T18" s="489"/>
    </row>
    <row r="19" spans="1:20" ht="20.149999999999999" customHeight="1">
      <c r="A19" s="26">
        <v>1</v>
      </c>
      <c r="B19" s="17" t="s">
        <v>40</v>
      </c>
      <c r="C19" s="3" t="s">
        <v>41</v>
      </c>
      <c r="D19" s="14" t="s">
        <v>42</v>
      </c>
      <c r="E19" s="201">
        <v>463512.5</v>
      </c>
      <c r="F19" s="71"/>
      <c r="G19" s="201">
        <f>110000</f>
        <v>110000</v>
      </c>
      <c r="H19" s="201"/>
      <c r="I19" s="71"/>
      <c r="J19" s="489">
        <f t="shared" ref="J19:J24" si="9">SUM(E19:I19)</f>
        <v>573512.5</v>
      </c>
      <c r="K19" s="71"/>
      <c r="L19" s="71"/>
      <c r="M19" s="71"/>
      <c r="N19" s="71"/>
      <c r="O19" s="71">
        <v>62231.114666666697</v>
      </c>
      <c r="P19" s="71">
        <v>28281</v>
      </c>
      <c r="Q19" s="71">
        <v>90512.114666666705</v>
      </c>
      <c r="R19" s="489">
        <f t="shared" si="6"/>
        <v>181024.229333333</v>
      </c>
      <c r="S19" s="71">
        <f>110681.915333333+231098.56</f>
        <v>341780.47533333302</v>
      </c>
      <c r="T19" s="489">
        <f t="shared" si="7"/>
        <v>392488.27066666703</v>
      </c>
    </row>
    <row r="20" spans="1:20" ht="20.149999999999999" customHeight="1">
      <c r="A20" s="26">
        <v>2</v>
      </c>
      <c r="B20" s="10" t="s">
        <v>43</v>
      </c>
      <c r="C20" s="3" t="s">
        <v>44</v>
      </c>
      <c r="D20" s="9" t="s">
        <v>38</v>
      </c>
      <c r="E20" s="71">
        <v>393029.66666666698</v>
      </c>
      <c r="F20" s="71"/>
      <c r="G20" s="201">
        <f>100000</f>
        <v>100000</v>
      </c>
      <c r="H20" s="201"/>
      <c r="I20" s="71"/>
      <c r="J20" s="489">
        <f t="shared" si="9"/>
        <v>493029.66666666698</v>
      </c>
      <c r="K20" s="71"/>
      <c r="L20" s="71"/>
      <c r="M20" s="71"/>
      <c r="N20" s="71"/>
      <c r="O20" s="71">
        <v>50775.47</v>
      </c>
      <c r="P20" s="71">
        <v>23442.3733333333</v>
      </c>
      <c r="Q20" s="71">
        <v>74217.843333333294</v>
      </c>
      <c r="R20" s="489">
        <f t="shared" si="6"/>
        <v>148435.686666667</v>
      </c>
      <c r="S20" s="71">
        <v>318811.823333334</v>
      </c>
      <c r="T20" s="489">
        <f t="shared" si="7"/>
        <v>344593.98</v>
      </c>
    </row>
    <row r="21" spans="1:20" ht="25.5" customHeight="1">
      <c r="A21" s="9"/>
      <c r="B21" s="19" t="s">
        <v>34</v>
      </c>
      <c r="C21" s="20">
        <v>2</v>
      </c>
      <c r="D21" s="20"/>
      <c r="E21" s="79">
        <v>856542.16666666698</v>
      </c>
      <c r="F21" s="79"/>
      <c r="G21" s="79">
        <f t="shared" ref="G21:P21" si="10">SUM(G19:G20)</f>
        <v>210000</v>
      </c>
      <c r="H21" s="79">
        <f t="shared" si="10"/>
        <v>0</v>
      </c>
      <c r="I21" s="79">
        <f t="shared" si="10"/>
        <v>0</v>
      </c>
      <c r="J21" s="715">
        <f t="shared" si="10"/>
        <v>1066542.16666667</v>
      </c>
      <c r="K21" s="79">
        <f t="shared" si="10"/>
        <v>0</v>
      </c>
      <c r="L21" s="79">
        <f t="shared" si="10"/>
        <v>0</v>
      </c>
      <c r="M21" s="79">
        <f t="shared" si="10"/>
        <v>0</v>
      </c>
      <c r="N21" s="79">
        <f t="shared" si="10"/>
        <v>0</v>
      </c>
      <c r="O21" s="79">
        <f t="shared" si="10"/>
        <v>113006.584666667</v>
      </c>
      <c r="P21" s="79">
        <f t="shared" si="10"/>
        <v>51723.3733333333</v>
      </c>
      <c r="Q21" s="79">
        <v>164729.95800000001</v>
      </c>
      <c r="R21" s="715">
        <f t="shared" ref="R21:T21" si="11">SUM(R19:R20)</f>
        <v>329459.91600000003</v>
      </c>
      <c r="S21" s="79">
        <f t="shared" si="11"/>
        <v>660592.29866666696</v>
      </c>
      <c r="T21" s="715">
        <f t="shared" si="11"/>
        <v>737082.25066666701</v>
      </c>
    </row>
    <row r="22" spans="1:20" ht="20.149999999999999" customHeight="1">
      <c r="A22" s="9"/>
      <c r="B22" s="21"/>
      <c r="C22" s="20"/>
      <c r="D22" s="20"/>
      <c r="E22" s="133"/>
      <c r="F22" s="133"/>
      <c r="G22" s="201"/>
      <c r="H22" s="201"/>
      <c r="I22" s="133"/>
      <c r="J22" s="496"/>
      <c r="K22" s="133"/>
      <c r="L22" s="133"/>
      <c r="M22" s="133"/>
      <c r="N22" s="133"/>
      <c r="O22" s="133"/>
      <c r="P22" s="133"/>
      <c r="Q22" s="133"/>
      <c r="R22" s="496"/>
      <c r="S22" s="133"/>
      <c r="T22" s="496"/>
    </row>
    <row r="23" spans="1:20" ht="20.149999999999999" customHeight="1">
      <c r="A23" s="9"/>
      <c r="B23" s="19" t="s">
        <v>45</v>
      </c>
      <c r="C23" s="20"/>
      <c r="D23" s="20"/>
      <c r="E23" s="133"/>
      <c r="F23" s="133"/>
      <c r="G23" s="201"/>
      <c r="H23" s="201"/>
      <c r="I23" s="133"/>
      <c r="J23" s="496"/>
      <c r="K23" s="133"/>
      <c r="L23" s="133"/>
      <c r="M23" s="133"/>
      <c r="N23" s="133"/>
      <c r="O23" s="133"/>
      <c r="P23" s="133"/>
      <c r="Q23" s="133"/>
      <c r="R23" s="496"/>
      <c r="S23" s="133"/>
      <c r="T23" s="496"/>
    </row>
    <row r="24" spans="1:20" ht="20.149999999999999" customHeight="1">
      <c r="A24" s="9">
        <v>1</v>
      </c>
      <c r="B24" s="17" t="s">
        <v>46</v>
      </c>
      <c r="C24" s="16" t="s">
        <v>47</v>
      </c>
      <c r="D24" s="14" t="s">
        <v>48</v>
      </c>
      <c r="E24" s="71">
        <v>510248.91666666698</v>
      </c>
      <c r="F24" s="71"/>
      <c r="G24" s="201">
        <f>120000</f>
        <v>120000</v>
      </c>
      <c r="H24" s="201"/>
      <c r="I24" s="71">
        <v>0</v>
      </c>
      <c r="J24" s="489">
        <f t="shared" si="9"/>
        <v>630248.91666666698</v>
      </c>
      <c r="K24" s="71"/>
      <c r="L24" s="71">
        <v>0</v>
      </c>
      <c r="M24" s="71"/>
      <c r="N24" s="71"/>
      <c r="O24" s="71">
        <v>70640.235306666698</v>
      </c>
      <c r="P24" s="71">
        <v>31219.913333333399</v>
      </c>
      <c r="Q24" s="71">
        <v>101860.14864</v>
      </c>
      <c r="R24" s="489">
        <f t="shared" ref="R24:R30" si="12">O24+N24+M24+L24+K24+P24+Q24</f>
        <v>203720.29728</v>
      </c>
      <c r="S24" s="71">
        <v>408388.76802666701</v>
      </c>
      <c r="T24" s="489">
        <f t="shared" ref="T24:T30" si="13">J24-R24</f>
        <v>426528.61938666698</v>
      </c>
    </row>
    <row r="25" spans="1:20" ht="20.149999999999999" customHeight="1">
      <c r="A25" s="9">
        <v>2</v>
      </c>
      <c r="B25" s="13" t="s">
        <v>49</v>
      </c>
      <c r="C25" s="16" t="s">
        <v>50</v>
      </c>
      <c r="D25" s="9" t="s">
        <v>42</v>
      </c>
      <c r="E25" s="71">
        <v>463512.5</v>
      </c>
      <c r="F25" s="71"/>
      <c r="G25" s="201">
        <v>110000</v>
      </c>
      <c r="H25" s="201"/>
      <c r="I25" s="71"/>
      <c r="J25" s="489">
        <f>E25+F25+G25+H25+I25</f>
        <v>573512.5</v>
      </c>
      <c r="K25" s="71"/>
      <c r="L25" s="71"/>
      <c r="M25" s="71"/>
      <c r="N25" s="71"/>
      <c r="O25" s="71">
        <v>62231.114666666697</v>
      </c>
      <c r="P25" s="71">
        <v>28281</v>
      </c>
      <c r="Q25" s="71">
        <v>90512.114666666705</v>
      </c>
      <c r="R25" s="489">
        <f t="shared" si="12"/>
        <v>181024.229333333</v>
      </c>
      <c r="S25" s="71">
        <v>373000.38533333299</v>
      </c>
      <c r="T25" s="489">
        <f t="shared" si="13"/>
        <v>392488.27066666703</v>
      </c>
    </row>
    <row r="26" spans="1:20" ht="27" customHeight="1">
      <c r="A26" s="9"/>
      <c r="B26" s="19" t="s">
        <v>34</v>
      </c>
      <c r="C26" s="20">
        <v>2</v>
      </c>
      <c r="D26" s="20"/>
      <c r="E26" s="79">
        <v>973761.41666666698</v>
      </c>
      <c r="F26" s="79">
        <f t="shared" ref="F26:P26" si="14">SUM(F24:F25)</f>
        <v>0</v>
      </c>
      <c r="G26" s="79">
        <f t="shared" si="14"/>
        <v>230000</v>
      </c>
      <c r="H26" s="79">
        <f t="shared" si="14"/>
        <v>0</v>
      </c>
      <c r="I26" s="79">
        <f t="shared" si="14"/>
        <v>0</v>
      </c>
      <c r="J26" s="79">
        <f t="shared" si="14"/>
        <v>1203761.41666667</v>
      </c>
      <c r="K26" s="79">
        <f t="shared" si="14"/>
        <v>0</v>
      </c>
      <c r="L26" s="79">
        <f t="shared" si="14"/>
        <v>0</v>
      </c>
      <c r="M26" s="79">
        <f t="shared" si="14"/>
        <v>0</v>
      </c>
      <c r="N26" s="79">
        <f t="shared" si="14"/>
        <v>0</v>
      </c>
      <c r="O26" s="79">
        <f t="shared" si="14"/>
        <v>132871.34997333301</v>
      </c>
      <c r="P26" s="79">
        <f t="shared" si="14"/>
        <v>59500.913333333403</v>
      </c>
      <c r="Q26" s="79">
        <v>192372.26330666701</v>
      </c>
      <c r="R26" s="79">
        <f>SUM(R24:R25)</f>
        <v>384744.52661333297</v>
      </c>
      <c r="S26" s="79">
        <v>781389.15336</v>
      </c>
      <c r="T26" s="79">
        <f>SUM(T24:T25)</f>
        <v>819016.89005333302</v>
      </c>
    </row>
    <row r="27" spans="1:20" ht="20.149999999999999" customHeight="1">
      <c r="A27" s="9"/>
      <c r="B27" s="21"/>
      <c r="C27" s="20"/>
      <c r="D27" s="20"/>
      <c r="E27" s="133"/>
      <c r="F27" s="133"/>
      <c r="G27" s="201"/>
      <c r="H27" s="201"/>
      <c r="I27" s="133"/>
      <c r="J27" s="496"/>
      <c r="K27" s="133"/>
      <c r="L27" s="133"/>
      <c r="M27" s="133"/>
      <c r="N27" s="133"/>
      <c r="O27" s="133"/>
      <c r="P27" s="133"/>
      <c r="Q27" s="133"/>
      <c r="R27" s="496"/>
      <c r="S27" s="133"/>
      <c r="T27" s="496"/>
    </row>
    <row r="28" spans="1:20" ht="20.149999999999999" customHeight="1">
      <c r="A28" s="9"/>
      <c r="B28" s="19" t="s">
        <v>51</v>
      </c>
      <c r="C28" s="20"/>
      <c r="D28" s="20"/>
      <c r="E28" s="133"/>
      <c r="F28" s="133"/>
      <c r="G28" s="201"/>
      <c r="H28" s="201"/>
      <c r="I28" s="133"/>
      <c r="J28" s="496"/>
      <c r="K28" s="133"/>
      <c r="L28" s="133"/>
      <c r="M28" s="133"/>
      <c r="N28" s="133"/>
      <c r="O28" s="133"/>
      <c r="P28" s="133"/>
      <c r="Q28" s="133"/>
      <c r="R28" s="496"/>
      <c r="S28" s="133"/>
      <c r="T28" s="496"/>
    </row>
    <row r="29" spans="1:20" ht="20.149999999999999" customHeight="1">
      <c r="A29" s="9">
        <v>1</v>
      </c>
      <c r="B29" s="10" t="s">
        <v>52</v>
      </c>
      <c r="C29" s="3" t="s">
        <v>53</v>
      </c>
      <c r="D29" s="14" t="s">
        <v>48</v>
      </c>
      <c r="E29" s="71">
        <v>510248.91666666698</v>
      </c>
      <c r="F29" s="71"/>
      <c r="G29" s="201">
        <f>120000</f>
        <v>120000</v>
      </c>
      <c r="H29" s="201"/>
      <c r="I29" s="71">
        <v>0</v>
      </c>
      <c r="J29" s="489">
        <f t="shared" ref="J29:J34" si="15">SUM(E29:I29)</f>
        <v>630248.91666666698</v>
      </c>
      <c r="K29" s="71"/>
      <c r="L29" s="71">
        <v>0</v>
      </c>
      <c r="M29" s="71"/>
      <c r="N29" s="71"/>
      <c r="O29" s="71">
        <v>70640.235306666698</v>
      </c>
      <c r="P29" s="71">
        <v>31219.913333333399</v>
      </c>
      <c r="Q29" s="71">
        <v>101860.14864</v>
      </c>
      <c r="R29" s="489">
        <f t="shared" si="12"/>
        <v>203720.29728</v>
      </c>
      <c r="S29" s="71">
        <v>408388.76802666701</v>
      </c>
      <c r="T29" s="489">
        <f t="shared" si="13"/>
        <v>426528.61938666698</v>
      </c>
    </row>
    <row r="30" spans="1:20" ht="20.149999999999999" customHeight="1">
      <c r="A30" s="9">
        <v>2</v>
      </c>
      <c r="B30" s="17" t="s">
        <v>54</v>
      </c>
      <c r="C30" s="11" t="s">
        <v>55</v>
      </c>
      <c r="D30" s="14" t="s">
        <v>31</v>
      </c>
      <c r="E30" s="71">
        <v>318287.58333333302</v>
      </c>
      <c r="F30" s="71"/>
      <c r="G30" s="201">
        <f>100000</f>
        <v>100000</v>
      </c>
      <c r="H30" s="201"/>
      <c r="I30" s="71"/>
      <c r="J30" s="489">
        <f t="shared" si="15"/>
        <v>418287.58333333302</v>
      </c>
      <c r="K30" s="71"/>
      <c r="L30" s="656"/>
      <c r="M30" s="656"/>
      <c r="O30" s="656">
        <v>37705.19</v>
      </c>
      <c r="P30" s="657">
        <v>17463.006666666599</v>
      </c>
      <c r="Q30" s="657">
        <v>55168.196666666598</v>
      </c>
      <c r="R30" s="489">
        <f t="shared" si="12"/>
        <v>110336.39333333301</v>
      </c>
      <c r="S30" s="71">
        <v>263119.38666666602</v>
      </c>
      <c r="T30" s="489">
        <f t="shared" si="13"/>
        <v>307951.19</v>
      </c>
    </row>
    <row r="31" spans="1:20" ht="20.149999999999999" customHeight="1">
      <c r="A31" s="9"/>
      <c r="B31" s="19" t="s">
        <v>34</v>
      </c>
      <c r="C31" s="20">
        <v>2</v>
      </c>
      <c r="D31" s="20"/>
      <c r="E31" s="79">
        <v>828536.5</v>
      </c>
      <c r="F31" s="79">
        <f t="shared" ref="F31:M31" si="16">SUM(F29:F30)</f>
        <v>0</v>
      </c>
      <c r="G31" s="79">
        <f t="shared" si="16"/>
        <v>220000</v>
      </c>
      <c r="H31" s="79">
        <f t="shared" si="16"/>
        <v>0</v>
      </c>
      <c r="I31" s="79">
        <f t="shared" si="16"/>
        <v>0</v>
      </c>
      <c r="J31" s="715">
        <f t="shared" si="16"/>
        <v>1048536.5</v>
      </c>
      <c r="K31" s="79">
        <f t="shared" si="16"/>
        <v>0</v>
      </c>
      <c r="L31" s="79">
        <f t="shared" si="16"/>
        <v>0</v>
      </c>
      <c r="M31" s="79">
        <f t="shared" si="16"/>
        <v>0</v>
      </c>
      <c r="N31" s="79"/>
      <c r="O31" s="79">
        <f t="shared" ref="O31:R31" si="17">SUM(O29:O30)</f>
        <v>108345.42530666701</v>
      </c>
      <c r="P31" s="79">
        <f t="shared" si="17"/>
        <v>48682.92</v>
      </c>
      <c r="Q31" s="79">
        <v>157028.345306667</v>
      </c>
      <c r="R31" s="715">
        <f t="shared" si="17"/>
        <v>314056.69061333302</v>
      </c>
      <c r="S31" s="79">
        <v>671508.15469333297</v>
      </c>
      <c r="T31" s="715">
        <f>SUM(T29:T30)</f>
        <v>734479.80938666698</v>
      </c>
    </row>
    <row r="32" spans="1:20" ht="20.149999999999999" customHeight="1">
      <c r="A32" s="9"/>
      <c r="B32" s="19"/>
      <c r="C32" s="20"/>
      <c r="D32" s="20"/>
      <c r="E32" s="133"/>
      <c r="F32" s="133"/>
      <c r="G32" s="201"/>
      <c r="H32" s="201"/>
      <c r="I32" s="133"/>
      <c r="J32" s="496"/>
      <c r="K32" s="133"/>
      <c r="L32" s="133"/>
      <c r="M32" s="133"/>
      <c r="N32" s="133"/>
      <c r="O32" s="133"/>
      <c r="P32" s="133"/>
      <c r="Q32" s="133"/>
      <c r="R32" s="489"/>
      <c r="S32" s="71"/>
      <c r="T32" s="489"/>
    </row>
    <row r="33" spans="1:20" ht="20.149999999999999" customHeight="1">
      <c r="A33" s="9"/>
      <c r="B33" s="19" t="s">
        <v>56</v>
      </c>
      <c r="C33" s="24"/>
      <c r="D33" s="20"/>
      <c r="E33" s="133"/>
      <c r="F33" s="133"/>
      <c r="G33" s="201"/>
      <c r="H33" s="201"/>
      <c r="I33" s="133"/>
      <c r="J33" s="496"/>
      <c r="K33" s="133"/>
      <c r="L33" s="133"/>
      <c r="M33" s="133"/>
      <c r="N33" s="133"/>
      <c r="O33" s="133"/>
      <c r="P33" s="133"/>
      <c r="Q33" s="133"/>
      <c r="R33" s="489"/>
      <c r="S33" s="71"/>
      <c r="T33" s="489"/>
    </row>
    <row r="34" spans="1:20" ht="20.149999999999999" customHeight="1">
      <c r="A34" s="26">
        <v>1</v>
      </c>
      <c r="B34" s="17" t="s">
        <v>57</v>
      </c>
      <c r="C34" s="3" t="s">
        <v>41</v>
      </c>
      <c r="D34" s="14" t="s">
        <v>42</v>
      </c>
      <c r="E34" s="201">
        <v>463512.5</v>
      </c>
      <c r="F34" s="71"/>
      <c r="G34" s="201">
        <f>110000</f>
        <v>110000</v>
      </c>
      <c r="H34" s="201"/>
      <c r="I34" s="71"/>
      <c r="J34" s="489">
        <f t="shared" si="15"/>
        <v>573512.5</v>
      </c>
      <c r="K34" s="71"/>
      <c r="L34" s="71"/>
      <c r="M34" s="71"/>
      <c r="N34" s="71"/>
      <c r="O34" s="71">
        <v>62231.114666666697</v>
      </c>
      <c r="P34" s="71">
        <v>28281</v>
      </c>
      <c r="Q34" s="71">
        <v>90512.114666666705</v>
      </c>
      <c r="R34" s="489">
        <f>O34+N34+M34+L34+K34+P34+Q34</f>
        <v>181024.229333333</v>
      </c>
      <c r="S34" s="71">
        <v>373000.38533333299</v>
      </c>
      <c r="T34" s="489">
        <f>J34-R34</f>
        <v>392488.27066666703</v>
      </c>
    </row>
    <row r="35" spans="1:20" ht="20.149999999999999" customHeight="1">
      <c r="A35" s="9"/>
      <c r="B35" s="19" t="s">
        <v>34</v>
      </c>
      <c r="C35" s="20">
        <v>1</v>
      </c>
      <c r="D35" s="20"/>
      <c r="E35" s="79">
        <v>463512.5</v>
      </c>
      <c r="F35" s="79">
        <f t="shared" ref="F35:P35" si="18">SUM(F34)</f>
        <v>0</v>
      </c>
      <c r="G35" s="79">
        <f t="shared" si="18"/>
        <v>110000</v>
      </c>
      <c r="H35" s="79">
        <f t="shared" si="18"/>
        <v>0</v>
      </c>
      <c r="I35" s="79">
        <f t="shared" si="18"/>
        <v>0</v>
      </c>
      <c r="J35" s="715">
        <f t="shared" si="18"/>
        <v>573512.5</v>
      </c>
      <c r="K35" s="79">
        <f t="shared" si="18"/>
        <v>0</v>
      </c>
      <c r="L35" s="79">
        <f t="shared" si="18"/>
        <v>0</v>
      </c>
      <c r="M35" s="79">
        <f t="shared" si="18"/>
        <v>0</v>
      </c>
      <c r="N35" s="79">
        <f t="shared" si="18"/>
        <v>0</v>
      </c>
      <c r="O35" s="79">
        <f t="shared" si="18"/>
        <v>62231.114666666697</v>
      </c>
      <c r="P35" s="79">
        <f t="shared" si="18"/>
        <v>28281</v>
      </c>
      <c r="Q35" s="79">
        <v>90512.114666666705</v>
      </c>
      <c r="R35" s="715">
        <f>SUM(R34)</f>
        <v>181024.229333333</v>
      </c>
      <c r="S35" s="79">
        <v>373000.38533333299</v>
      </c>
      <c r="T35" s="715">
        <f>SUM(T34)</f>
        <v>392488.27066666703</v>
      </c>
    </row>
    <row r="36" spans="1:20" ht="20.149999999999999" customHeight="1">
      <c r="A36" s="9"/>
      <c r="B36" s="21"/>
      <c r="C36" s="20"/>
      <c r="D36" s="20"/>
      <c r="E36" s="133"/>
      <c r="F36" s="133"/>
      <c r="G36" s="201"/>
      <c r="H36" s="201"/>
      <c r="I36" s="133"/>
      <c r="J36" s="496"/>
      <c r="K36" s="133"/>
      <c r="L36" s="133"/>
      <c r="M36" s="133"/>
      <c r="N36" s="133"/>
      <c r="O36" s="133"/>
      <c r="P36" s="133"/>
      <c r="Q36" s="133"/>
      <c r="R36" s="496"/>
      <c r="S36" s="133"/>
      <c r="T36" s="496"/>
    </row>
    <row r="37" spans="1:20" ht="20.149999999999999" customHeight="1">
      <c r="A37" s="9"/>
      <c r="B37" s="19" t="s">
        <v>58</v>
      </c>
      <c r="C37" s="20"/>
      <c r="D37" s="20"/>
      <c r="E37" s="133"/>
      <c r="F37" s="133"/>
      <c r="G37" s="201"/>
      <c r="H37" s="201"/>
      <c r="I37" s="133"/>
      <c r="J37" s="496"/>
      <c r="K37" s="133"/>
      <c r="L37" s="133"/>
      <c r="M37" s="133"/>
      <c r="N37" s="133"/>
      <c r="O37" s="133"/>
      <c r="P37" s="133"/>
      <c r="Q37" s="133"/>
      <c r="R37" s="496"/>
      <c r="S37" s="133"/>
      <c r="T37" s="496"/>
    </row>
    <row r="38" spans="1:20" ht="20.149999999999999" customHeight="1">
      <c r="A38" s="9">
        <v>1</v>
      </c>
      <c r="B38" s="10" t="s">
        <v>59</v>
      </c>
      <c r="C38" s="3" t="s">
        <v>60</v>
      </c>
      <c r="D38" s="14" t="s">
        <v>48</v>
      </c>
      <c r="E38" s="71">
        <v>460248.91666666698</v>
      </c>
      <c r="F38" s="71"/>
      <c r="G38" s="201"/>
      <c r="H38" s="201">
        <f>70000</f>
        <v>70000</v>
      </c>
      <c r="I38" s="71">
        <v>0</v>
      </c>
      <c r="J38" s="489">
        <f>SUM(E38:I38)</f>
        <v>530248.91666666698</v>
      </c>
      <c r="K38" s="71"/>
      <c r="L38" s="71">
        <v>0</v>
      </c>
      <c r="M38" s="71"/>
      <c r="N38" s="71"/>
      <c r="O38" s="656">
        <f>61040.2353066666</f>
        <v>61040.235306666596</v>
      </c>
      <c r="P38" s="71">
        <f>390248.916666667*0.08</f>
        <v>31219.913333333399</v>
      </c>
      <c r="Q38" s="71">
        <v>92260.148639999999</v>
      </c>
      <c r="R38" s="489">
        <f t="shared" ref="R38:R44" si="19">O38+N38+M38+L38+K38+P38+Q38</f>
        <v>184520.29728</v>
      </c>
      <c r="S38" s="71">
        <v>399208.68135999999</v>
      </c>
      <c r="T38" s="489">
        <f t="shared" ref="T38:T44" si="20">J38-R38</f>
        <v>345728.61938666698</v>
      </c>
    </row>
    <row r="39" spans="1:20" ht="20.149999999999999" customHeight="1">
      <c r="A39" s="3"/>
      <c r="B39" s="19" t="s">
        <v>34</v>
      </c>
      <c r="C39" s="20">
        <v>1</v>
      </c>
      <c r="D39" s="25"/>
      <c r="E39" s="79">
        <v>460248.91666666698</v>
      </c>
      <c r="F39" s="79">
        <f t="shared" ref="F39:P39" si="21">SUM(F38:F38)</f>
        <v>0</v>
      </c>
      <c r="G39" s="79">
        <f t="shared" si="21"/>
        <v>0</v>
      </c>
      <c r="H39" s="79">
        <f t="shared" si="21"/>
        <v>70000</v>
      </c>
      <c r="I39" s="79">
        <f t="shared" si="21"/>
        <v>0</v>
      </c>
      <c r="J39" s="715">
        <f t="shared" si="21"/>
        <v>530248.91666666698</v>
      </c>
      <c r="K39" s="79">
        <f t="shared" si="21"/>
        <v>0</v>
      </c>
      <c r="L39" s="79">
        <f t="shared" si="21"/>
        <v>0</v>
      </c>
      <c r="M39" s="79">
        <f t="shared" si="21"/>
        <v>0</v>
      </c>
      <c r="N39" s="79">
        <f t="shared" si="21"/>
        <v>0</v>
      </c>
      <c r="O39" s="79">
        <f t="shared" si="21"/>
        <v>61040.235306666596</v>
      </c>
      <c r="P39" s="79">
        <f t="shared" si="21"/>
        <v>31219.913333333399</v>
      </c>
      <c r="Q39" s="79">
        <v>92260.148639999999</v>
      </c>
      <c r="R39" s="715">
        <f>SUM(R38:R38)</f>
        <v>184520.29728</v>
      </c>
      <c r="S39" s="79">
        <v>399208.68135999999</v>
      </c>
      <c r="T39" s="715">
        <f>SUM(T38:T38)</f>
        <v>345728.61938666698</v>
      </c>
    </row>
    <row r="40" spans="1:20" ht="20.149999999999999" customHeight="1">
      <c r="A40" s="3"/>
      <c r="B40" s="19"/>
      <c r="C40" s="20"/>
      <c r="D40" s="3"/>
      <c r="E40" s="204"/>
      <c r="F40" s="204"/>
      <c r="G40" s="497"/>
      <c r="H40" s="497"/>
      <c r="I40" s="204"/>
      <c r="J40" s="502"/>
      <c r="K40" s="204"/>
      <c r="L40" s="204"/>
      <c r="M40" s="204"/>
      <c r="N40" s="204"/>
      <c r="O40" s="204"/>
      <c r="P40" s="204"/>
      <c r="Q40" s="204"/>
      <c r="R40" s="502"/>
      <c r="S40" s="204"/>
      <c r="T40" s="502"/>
    </row>
    <row r="41" spans="1:20" ht="20.149999999999999" customHeight="1">
      <c r="A41" s="9"/>
      <c r="B41" s="19" t="s">
        <v>61</v>
      </c>
      <c r="C41" s="20"/>
      <c r="D41" s="20"/>
      <c r="E41" s="133"/>
      <c r="F41" s="133"/>
      <c r="G41" s="201"/>
      <c r="H41" s="201"/>
      <c r="I41" s="133"/>
      <c r="J41" s="496"/>
      <c r="K41" s="133"/>
      <c r="L41" s="133"/>
      <c r="M41" s="133"/>
      <c r="N41" s="133"/>
      <c r="O41" s="133"/>
      <c r="P41" s="133"/>
      <c r="Q41" s="133"/>
      <c r="R41" s="496"/>
      <c r="S41" s="133"/>
      <c r="T41" s="496"/>
    </row>
    <row r="42" spans="1:20" ht="18.75" customHeight="1">
      <c r="A42" s="9">
        <v>1</v>
      </c>
      <c r="B42" s="17" t="s">
        <v>62</v>
      </c>
      <c r="C42" s="3" t="s">
        <v>63</v>
      </c>
      <c r="D42" s="9" t="s">
        <v>25</v>
      </c>
      <c r="E42" s="71">
        <v>355849</v>
      </c>
      <c r="F42" s="71"/>
      <c r="G42" s="201">
        <f t="shared" ref="G42:G44" si="22">100000</f>
        <v>100000</v>
      </c>
      <c r="H42" s="201"/>
      <c r="I42" s="71"/>
      <c r="J42" s="489">
        <f>E42+F42+G42+H42+I42</f>
        <v>455849</v>
      </c>
      <c r="K42" s="71"/>
      <c r="L42" s="71"/>
      <c r="M42" s="71"/>
      <c r="N42" s="71"/>
      <c r="O42" s="71">
        <v>44015.51</v>
      </c>
      <c r="P42" s="71">
        <v>20467.919999999998</v>
      </c>
      <c r="Q42" s="71">
        <v>64483.43</v>
      </c>
      <c r="R42" s="489">
        <f t="shared" si="19"/>
        <v>128966.86</v>
      </c>
      <c r="S42" s="71">
        <v>291365.57</v>
      </c>
      <c r="T42" s="489">
        <f t="shared" si="20"/>
        <v>326882.14</v>
      </c>
    </row>
    <row r="43" spans="1:20" ht="18.75" customHeight="1">
      <c r="A43" s="9">
        <v>2</v>
      </c>
      <c r="B43" s="17" t="s">
        <v>64</v>
      </c>
      <c r="C43" s="3" t="s">
        <v>63</v>
      </c>
      <c r="D43" s="9" t="s">
        <v>25</v>
      </c>
      <c r="E43" s="71">
        <v>358160.16</v>
      </c>
      <c r="F43" s="71"/>
      <c r="G43" s="201">
        <f t="shared" si="22"/>
        <v>100000</v>
      </c>
      <c r="H43" s="201"/>
      <c r="I43" s="71"/>
      <c r="J43" s="489">
        <f>E43+F43+G43+H43+I43</f>
        <v>458160.16</v>
      </c>
      <c r="K43" s="71"/>
      <c r="L43" s="71"/>
      <c r="M43" s="71"/>
      <c r="N43" s="71"/>
      <c r="O43" s="71">
        <v>44015.51</v>
      </c>
      <c r="P43" s="71">
        <v>20467.919999999998</v>
      </c>
      <c r="Q43" s="71">
        <v>64483.43</v>
      </c>
      <c r="R43" s="489">
        <f t="shared" si="19"/>
        <v>128966.86</v>
      </c>
      <c r="S43" s="71">
        <v>293676.73</v>
      </c>
      <c r="T43" s="489">
        <f t="shared" si="20"/>
        <v>329193.3</v>
      </c>
    </row>
    <row r="44" spans="1:20" ht="20.149999999999999" customHeight="1">
      <c r="A44" s="9">
        <v>3</v>
      </c>
      <c r="B44" s="17" t="s">
        <v>65</v>
      </c>
      <c r="C44" s="11" t="s">
        <v>66</v>
      </c>
      <c r="D44" s="14" t="s">
        <v>31</v>
      </c>
      <c r="E44" s="71">
        <v>318287.58333333302</v>
      </c>
      <c r="F44" s="71"/>
      <c r="G44" s="201">
        <f t="shared" si="22"/>
        <v>100000</v>
      </c>
      <c r="H44" s="201"/>
      <c r="I44" s="71"/>
      <c r="J44" s="489">
        <f>SUM(E44:I44)</f>
        <v>418287.58333333302</v>
      </c>
      <c r="K44" s="71"/>
      <c r="L44" s="656"/>
      <c r="M44" s="656"/>
      <c r="O44" s="656">
        <v>37705.19</v>
      </c>
      <c r="P44" s="657">
        <v>17463.006666666599</v>
      </c>
      <c r="Q44" s="657">
        <v>55168.196666666598</v>
      </c>
      <c r="R44" s="489">
        <f t="shared" si="19"/>
        <v>110336.39333333301</v>
      </c>
      <c r="S44" s="71">
        <v>263119.38666666602</v>
      </c>
      <c r="T44" s="489">
        <f t="shared" si="20"/>
        <v>307951.19</v>
      </c>
    </row>
    <row r="45" spans="1:20" ht="24.75" customHeight="1">
      <c r="A45" s="3"/>
      <c r="B45" s="19" t="s">
        <v>34</v>
      </c>
      <c r="C45" s="20">
        <v>3</v>
      </c>
      <c r="D45" s="25"/>
      <c r="E45" s="79">
        <v>1032296.74333333</v>
      </c>
      <c r="F45" s="79">
        <f t="shared" ref="F45:P45" si="23">SUM(F42:F44)</f>
        <v>0</v>
      </c>
      <c r="G45" s="79">
        <f t="shared" si="23"/>
        <v>300000</v>
      </c>
      <c r="H45" s="79">
        <f t="shared" si="23"/>
        <v>0</v>
      </c>
      <c r="I45" s="79">
        <f t="shared" si="23"/>
        <v>0</v>
      </c>
      <c r="J45" s="715">
        <f t="shared" si="23"/>
        <v>1332296.7433333299</v>
      </c>
      <c r="K45" s="79">
        <f t="shared" si="23"/>
        <v>0</v>
      </c>
      <c r="L45" s="79">
        <f t="shared" si="23"/>
        <v>0</v>
      </c>
      <c r="M45" s="79">
        <f t="shared" si="23"/>
        <v>0</v>
      </c>
      <c r="N45" s="79">
        <f t="shared" si="23"/>
        <v>0</v>
      </c>
      <c r="O45" s="79">
        <f t="shared" si="23"/>
        <v>125736.21</v>
      </c>
      <c r="P45" s="79">
        <f t="shared" si="23"/>
        <v>58398.846666666599</v>
      </c>
      <c r="Q45" s="79">
        <v>184135.05666666699</v>
      </c>
      <c r="R45" s="715">
        <f>SUM(R42:R44)</f>
        <v>368270.11333333299</v>
      </c>
      <c r="S45" s="79">
        <v>848161.68666666595</v>
      </c>
      <c r="T45" s="715">
        <f>SUM(T42:T44)</f>
        <v>964026.63</v>
      </c>
    </row>
    <row r="46" spans="1:20" ht="20.149999999999999" customHeight="1">
      <c r="A46" s="3"/>
      <c r="B46" s="21"/>
      <c r="C46" s="9"/>
      <c r="D46" s="3"/>
      <c r="E46" s="205"/>
      <c r="F46" s="8"/>
      <c r="G46" s="201"/>
      <c r="H46" s="201"/>
      <c r="I46" s="205"/>
      <c r="J46" s="504"/>
      <c r="K46" s="205"/>
      <c r="L46" s="205"/>
      <c r="M46" s="205"/>
      <c r="N46" s="205"/>
      <c r="O46" s="205"/>
      <c r="P46" s="205"/>
      <c r="Q46" s="205"/>
      <c r="R46" s="504"/>
      <c r="S46" s="205"/>
      <c r="T46" s="504"/>
    </row>
    <row r="47" spans="1:20" ht="20.149999999999999" customHeight="1">
      <c r="A47" s="3"/>
      <c r="B47" s="19" t="s">
        <v>67</v>
      </c>
      <c r="C47" s="20"/>
      <c r="D47" s="20"/>
      <c r="E47" s="133"/>
      <c r="F47" s="133"/>
      <c r="G47" s="201"/>
      <c r="H47" s="201"/>
      <c r="I47" s="133"/>
      <c r="J47" s="496"/>
      <c r="K47" s="133"/>
      <c r="L47" s="133"/>
      <c r="M47" s="133"/>
      <c r="N47" s="133"/>
      <c r="O47" s="133"/>
      <c r="P47" s="133"/>
      <c r="Q47" s="133"/>
      <c r="R47" s="489"/>
      <c r="S47" s="71"/>
      <c r="T47" s="489"/>
    </row>
    <row r="48" spans="1:20" ht="20.149999999999999" customHeight="1">
      <c r="A48" s="3">
        <v>1</v>
      </c>
      <c r="B48" s="17" t="s">
        <v>68</v>
      </c>
      <c r="C48" s="11" t="s">
        <v>69</v>
      </c>
      <c r="D48" s="14" t="s">
        <v>38</v>
      </c>
      <c r="E48" s="71">
        <v>353029.66666666698</v>
      </c>
      <c r="F48" s="71"/>
      <c r="G48" s="201"/>
      <c r="H48" s="201">
        <v>60000</v>
      </c>
      <c r="I48" s="71"/>
      <c r="J48" s="489">
        <f>SUM(E48:I48)</f>
        <v>413029.66666666698</v>
      </c>
      <c r="K48" s="71"/>
      <c r="L48" s="656"/>
      <c r="M48" s="656"/>
      <c r="O48" s="656">
        <v>43541.87</v>
      </c>
      <c r="P48" s="657">
        <v>23442.3733333333</v>
      </c>
      <c r="Q48" s="657">
        <v>66984.243333333303</v>
      </c>
      <c r="R48" s="489">
        <f t="shared" ref="R48:R55" si="24">O48+N48+M48+L48+K48+P48+Q48</f>
        <v>133968.48666666701</v>
      </c>
      <c r="S48" s="71">
        <v>286045.42333333398</v>
      </c>
      <c r="T48" s="489">
        <f t="shared" ref="T48:T55" si="25">J48-R48</f>
        <v>279061.18</v>
      </c>
    </row>
    <row r="49" spans="1:20" ht="28.5" customHeight="1">
      <c r="A49" s="3"/>
      <c r="B49" s="19" t="s">
        <v>34</v>
      </c>
      <c r="C49" s="25" t="s">
        <v>70</v>
      </c>
      <c r="D49" s="14"/>
      <c r="E49" s="79">
        <v>353029.66666666698</v>
      </c>
      <c r="F49" s="79">
        <f t="shared" ref="F49:P49" si="26">SUM(F48:F48)</f>
        <v>0</v>
      </c>
      <c r="G49" s="79">
        <f t="shared" si="26"/>
        <v>0</v>
      </c>
      <c r="H49" s="79">
        <f t="shared" si="26"/>
        <v>60000</v>
      </c>
      <c r="I49" s="79">
        <f t="shared" si="26"/>
        <v>0</v>
      </c>
      <c r="J49" s="715">
        <f t="shared" si="26"/>
        <v>413029.66666666698</v>
      </c>
      <c r="K49" s="79">
        <f t="shared" si="26"/>
        <v>0</v>
      </c>
      <c r="L49" s="79">
        <f t="shared" si="26"/>
        <v>0</v>
      </c>
      <c r="M49" s="79">
        <f t="shared" si="26"/>
        <v>0</v>
      </c>
      <c r="N49" s="79">
        <f t="shared" si="26"/>
        <v>0</v>
      </c>
      <c r="O49" s="79">
        <f t="shared" si="26"/>
        <v>43541.87</v>
      </c>
      <c r="P49" s="79">
        <f t="shared" si="26"/>
        <v>23442.3733333333</v>
      </c>
      <c r="Q49" s="79">
        <v>66984.243333333303</v>
      </c>
      <c r="R49" s="715">
        <f>SUM(R48:R48)</f>
        <v>133968.48666666701</v>
      </c>
      <c r="S49" s="79">
        <v>286045.42333333398</v>
      </c>
      <c r="T49" s="715">
        <f>SUM(T48:T48)</f>
        <v>279061.18</v>
      </c>
    </row>
    <row r="50" spans="1:20" ht="20.149999999999999" customHeight="1">
      <c r="A50" s="3"/>
      <c r="B50" s="21"/>
      <c r="C50" s="25"/>
      <c r="D50" s="14"/>
      <c r="E50" s="133"/>
      <c r="F50" s="133"/>
      <c r="G50" s="201"/>
      <c r="H50" s="201"/>
      <c r="I50" s="133"/>
      <c r="J50" s="496"/>
      <c r="K50" s="133"/>
      <c r="L50" s="133"/>
      <c r="M50" s="133"/>
      <c r="N50" s="133"/>
      <c r="O50" s="133"/>
      <c r="P50" s="133"/>
      <c r="Q50" s="133"/>
      <c r="R50" s="496"/>
      <c r="S50" s="133"/>
      <c r="T50" s="496"/>
    </row>
    <row r="51" spans="1:20" ht="20.149999999999999" customHeight="1">
      <c r="A51" s="3"/>
      <c r="B51" s="19" t="s">
        <v>71</v>
      </c>
      <c r="C51" s="11"/>
      <c r="D51" s="14"/>
      <c r="E51" s="71"/>
      <c r="F51" s="71"/>
      <c r="G51" s="201"/>
      <c r="H51" s="201"/>
      <c r="I51" s="71"/>
      <c r="J51" s="489"/>
      <c r="K51" s="71"/>
      <c r="L51" s="71"/>
      <c r="M51" s="71"/>
      <c r="N51" s="71"/>
      <c r="O51" s="71"/>
      <c r="P51" s="71"/>
      <c r="Q51" s="71"/>
      <c r="R51" s="489"/>
      <c r="S51" s="71"/>
      <c r="T51" s="489"/>
    </row>
    <row r="52" spans="1:20" ht="18.75" customHeight="1">
      <c r="A52" s="9">
        <v>1</v>
      </c>
      <c r="B52" s="17" t="s">
        <v>72</v>
      </c>
      <c r="C52" s="3" t="s">
        <v>73</v>
      </c>
      <c r="D52" s="9" t="s">
        <v>25</v>
      </c>
      <c r="E52" s="71">
        <v>315849</v>
      </c>
      <c r="F52" s="71"/>
      <c r="G52" s="201"/>
      <c r="H52" s="201">
        <f>60000</f>
        <v>60000</v>
      </c>
      <c r="I52" s="71"/>
      <c r="J52" s="489">
        <f>E52+F52+G52+H52+I52</f>
        <v>375849</v>
      </c>
      <c r="K52" s="71"/>
      <c r="L52" s="71"/>
      <c r="M52" s="71"/>
      <c r="N52" s="71"/>
      <c r="O52" s="71">
        <v>36790.688106666697</v>
      </c>
      <c r="P52" s="71">
        <v>20467.919999999998</v>
      </c>
      <c r="Q52" s="71">
        <v>57258.608106666703</v>
      </c>
      <c r="R52" s="489">
        <f t="shared" si="24"/>
        <v>114517.216213333</v>
      </c>
      <c r="S52" s="71">
        <v>258590.391893333</v>
      </c>
      <c r="T52" s="489">
        <f t="shared" si="25"/>
        <v>261331.78378666699</v>
      </c>
    </row>
    <row r="53" spans="1:20" ht="20.149999999999999" customHeight="1">
      <c r="A53" s="9">
        <v>2</v>
      </c>
      <c r="B53" s="17" t="s">
        <v>74</v>
      </c>
      <c r="C53" s="11" t="s">
        <v>75</v>
      </c>
      <c r="D53" s="14" t="s">
        <v>31</v>
      </c>
      <c r="E53" s="71">
        <v>268287.58333333302</v>
      </c>
      <c r="F53" s="71"/>
      <c r="G53" s="201"/>
      <c r="H53" s="201">
        <f>50000</f>
        <v>50000</v>
      </c>
      <c r="I53" s="71"/>
      <c r="J53" s="489">
        <f t="shared" ref="J53:J55" si="27">SUM(E53:I53)</f>
        <v>318287.58333333302</v>
      </c>
      <c r="K53" s="71"/>
      <c r="L53" s="656"/>
      <c r="M53" s="656"/>
      <c r="O53" s="656">
        <v>29305.1955466666</v>
      </c>
      <c r="P53" s="657">
        <v>17463.006666666599</v>
      </c>
      <c r="Q53" s="657">
        <v>46768.202213333199</v>
      </c>
      <c r="R53" s="489">
        <f t="shared" si="24"/>
        <v>93536.404426666399</v>
      </c>
      <c r="S53" s="71">
        <v>221519.38112000001</v>
      </c>
      <c r="T53" s="489">
        <f t="shared" si="25"/>
        <v>224751.17890666699</v>
      </c>
    </row>
    <row r="54" spans="1:20" ht="20.149999999999999" customHeight="1">
      <c r="A54" s="9">
        <v>3</v>
      </c>
      <c r="B54" s="17" t="s">
        <v>76</v>
      </c>
      <c r="C54" s="11" t="s">
        <v>77</v>
      </c>
      <c r="D54" s="14" t="s">
        <v>31</v>
      </c>
      <c r="E54" s="71">
        <v>268287.58333333302</v>
      </c>
      <c r="F54" s="71"/>
      <c r="G54" s="201"/>
      <c r="H54" s="201">
        <v>50000</v>
      </c>
      <c r="I54" s="71"/>
      <c r="J54" s="489">
        <f t="shared" si="27"/>
        <v>318287.58333333302</v>
      </c>
      <c r="K54" s="71"/>
      <c r="L54" s="656"/>
      <c r="M54" s="656"/>
      <c r="O54" s="656">
        <v>29305.1955466666</v>
      </c>
      <c r="P54" s="657">
        <v>17463.006666666599</v>
      </c>
      <c r="Q54" s="657">
        <v>46768.202213333199</v>
      </c>
      <c r="R54" s="489">
        <f t="shared" si="24"/>
        <v>93536.404426666399</v>
      </c>
      <c r="S54" s="71">
        <v>221519.38112000001</v>
      </c>
      <c r="T54" s="489">
        <f t="shared" si="25"/>
        <v>224751.17890666699</v>
      </c>
    </row>
    <row r="55" spans="1:20" ht="20.149999999999999" customHeight="1">
      <c r="A55" s="9">
        <v>3</v>
      </c>
      <c r="B55" s="17" t="s">
        <v>78</v>
      </c>
      <c r="C55" s="11" t="s">
        <v>77</v>
      </c>
      <c r="D55" s="14" t="s">
        <v>31</v>
      </c>
      <c r="E55" s="71">
        <v>268287.58333333302</v>
      </c>
      <c r="F55" s="71"/>
      <c r="G55" s="201"/>
      <c r="H55" s="201">
        <v>50000</v>
      </c>
      <c r="I55" s="71"/>
      <c r="J55" s="489">
        <f t="shared" si="27"/>
        <v>318287.58333333302</v>
      </c>
      <c r="K55" s="71"/>
      <c r="L55" s="656"/>
      <c r="M55" s="656"/>
      <c r="O55" s="656">
        <v>29305.1955466666</v>
      </c>
      <c r="P55" s="657">
        <v>17463.006666666599</v>
      </c>
      <c r="Q55" s="657">
        <v>46768.202213333199</v>
      </c>
      <c r="R55" s="489">
        <f t="shared" si="24"/>
        <v>93536.404426666399</v>
      </c>
      <c r="S55" s="71">
        <v>221519.38112000001</v>
      </c>
      <c r="T55" s="489">
        <f t="shared" si="25"/>
        <v>224751.17890666699</v>
      </c>
    </row>
    <row r="56" spans="1:20" ht="30.75" customHeight="1">
      <c r="A56" s="26"/>
      <c r="B56" s="7" t="s">
        <v>34</v>
      </c>
      <c r="C56" s="27" t="s">
        <v>79</v>
      </c>
      <c r="D56" s="27"/>
      <c r="E56" s="79">
        <f t="shared" ref="E56:P56" si="28">SUM(E52:E55)</f>
        <v>1120711.75</v>
      </c>
      <c r="F56" s="79">
        <f t="shared" si="28"/>
        <v>0</v>
      </c>
      <c r="G56" s="79">
        <f t="shared" si="28"/>
        <v>0</v>
      </c>
      <c r="H56" s="79">
        <f t="shared" si="28"/>
        <v>210000</v>
      </c>
      <c r="I56" s="79">
        <f t="shared" si="28"/>
        <v>0</v>
      </c>
      <c r="J56" s="79">
        <f t="shared" si="28"/>
        <v>1330711.75</v>
      </c>
      <c r="K56" s="79">
        <f t="shared" si="28"/>
        <v>0</v>
      </c>
      <c r="L56" s="79">
        <f t="shared" si="28"/>
        <v>0</v>
      </c>
      <c r="M56" s="79">
        <f t="shared" si="28"/>
        <v>0</v>
      </c>
      <c r="N56" s="79">
        <f t="shared" si="28"/>
        <v>0</v>
      </c>
      <c r="O56" s="79">
        <f t="shared" si="28"/>
        <v>124706.27474666599</v>
      </c>
      <c r="P56" s="79">
        <f t="shared" si="28"/>
        <v>72856.939999999799</v>
      </c>
      <c r="Q56" s="79">
        <v>197563.214746666</v>
      </c>
      <c r="R56" s="79">
        <f>SUM(R52:R55)</f>
        <v>395126.42949333298</v>
      </c>
      <c r="S56" s="79">
        <v>923148.53525333398</v>
      </c>
      <c r="T56" s="79">
        <f>SUM(T52:T55)</f>
        <v>935585.32050666702</v>
      </c>
    </row>
    <row r="57" spans="1:20" ht="35.25" customHeight="1">
      <c r="A57" s="3"/>
      <c r="B57" s="29" t="s">
        <v>80</v>
      </c>
      <c r="C57" s="30">
        <f>C56+C49+C45+C39+C35+C31+C26+C21+C16+C12</f>
        <v>21</v>
      </c>
      <c r="D57" s="30"/>
      <c r="E57" s="208">
        <f t="shared" ref="E57:T57" si="29">E56+E49+E45+E39+E35+E31+E26+E21+E16+E12</f>
        <v>7925791.4933333304</v>
      </c>
      <c r="F57" s="208">
        <f t="shared" si="29"/>
        <v>0</v>
      </c>
      <c r="G57" s="208">
        <f t="shared" si="29"/>
        <v>1070000</v>
      </c>
      <c r="H57" s="208">
        <f t="shared" si="29"/>
        <v>680000</v>
      </c>
      <c r="I57" s="208">
        <f t="shared" si="29"/>
        <v>0</v>
      </c>
      <c r="J57" s="208">
        <f t="shared" si="29"/>
        <v>9675791.4933333304</v>
      </c>
      <c r="K57" s="208">
        <f t="shared" si="29"/>
        <v>0</v>
      </c>
      <c r="L57" s="208">
        <f t="shared" si="29"/>
        <v>0</v>
      </c>
      <c r="M57" s="208">
        <f t="shared" si="29"/>
        <v>0</v>
      </c>
      <c r="N57" s="208">
        <f t="shared" si="29"/>
        <v>0</v>
      </c>
      <c r="O57" s="208">
        <f t="shared" si="29"/>
        <v>984003.39008000004</v>
      </c>
      <c r="P57" s="208">
        <f t="shared" si="29"/>
        <v>493878.426666666</v>
      </c>
      <c r="Q57" s="208">
        <f t="shared" si="29"/>
        <v>1477881.8167466701</v>
      </c>
      <c r="R57" s="208">
        <f t="shared" si="29"/>
        <v>2955763.6334933299</v>
      </c>
      <c r="S57" s="208">
        <f t="shared" si="29"/>
        <v>6424322.2638985002</v>
      </c>
      <c r="T57" s="208">
        <f t="shared" si="29"/>
        <v>6720027.85984</v>
      </c>
    </row>
    <row r="58" spans="1:20" ht="38.25" customHeight="1">
      <c r="A58" s="2"/>
      <c r="B58" s="32"/>
      <c r="C58" s="2"/>
      <c r="D58" s="2"/>
      <c r="E58" s="33"/>
      <c r="F58" s="33"/>
      <c r="G58" s="209"/>
      <c r="H58" s="209"/>
      <c r="I58" s="209"/>
      <c r="J58" s="209"/>
      <c r="K58" s="209"/>
      <c r="L58" s="209"/>
      <c r="M58" s="209"/>
      <c r="N58" s="209"/>
      <c r="O58" s="210">
        <f>O57*2</f>
        <v>1968006.7801600001</v>
      </c>
      <c r="P58" s="210"/>
      <c r="Q58" s="210"/>
      <c r="R58" s="210"/>
      <c r="S58" s="210"/>
      <c r="T58" s="210"/>
    </row>
    <row r="59" spans="1:20" ht="36.75" customHeight="1">
      <c r="A59" s="2"/>
      <c r="B59" s="32"/>
      <c r="C59" s="33"/>
      <c r="D59" s="33"/>
      <c r="E59" s="33"/>
      <c r="F59" s="33"/>
      <c r="G59" s="209"/>
      <c r="H59" s="209"/>
      <c r="J59" s="209" t="s">
        <v>81</v>
      </c>
      <c r="K59" s="209"/>
      <c r="L59" s="209"/>
      <c r="M59" s="209"/>
      <c r="N59" s="209"/>
      <c r="O59" s="210"/>
      <c r="P59" s="210"/>
      <c r="Q59" s="210"/>
      <c r="R59" s="210"/>
      <c r="S59" s="210"/>
      <c r="T59" s="34"/>
    </row>
    <row r="60" spans="1:20" ht="20.149999999999999" customHeight="1">
      <c r="R60" s="34"/>
      <c r="T60" s="313"/>
    </row>
    <row r="61" spans="1:20" ht="20.149999999999999" customHeight="1">
      <c r="T61" s="34"/>
    </row>
    <row r="62" spans="1:20" ht="20.149999999999999" customHeight="1">
      <c r="J62" s="34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2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6328125" customWidth="1"/>
    <col min="2" max="2" width="13.54296875" customWidth="1"/>
    <col min="3" max="3" width="22.08984375" customWidth="1"/>
    <col min="5" max="5" width="15.36328125" customWidth="1"/>
    <col min="8" max="8" width="13.26953125" customWidth="1"/>
    <col min="9" max="9" width="13" customWidth="1"/>
    <col min="10" max="10" width="14.453125" customWidth="1"/>
    <col min="11" max="11" width="14.81640625" customWidth="1"/>
    <col min="12" max="12" width="15" customWidth="1"/>
    <col min="13" max="13" width="15.7265625" customWidth="1"/>
  </cols>
  <sheetData>
    <row r="1" spans="1:13" ht="25">
      <c r="A1" s="764" t="s">
        <v>0</v>
      </c>
      <c r="B1" s="764"/>
      <c r="C1" s="764"/>
      <c r="D1" s="764"/>
      <c r="E1" s="764"/>
      <c r="F1" s="764"/>
      <c r="G1" s="198">
        <f>'[1]FEB 08'!F8/'[1]FEB 08'!Q8</f>
        <v>0.3</v>
      </c>
      <c r="H1" s="198"/>
      <c r="I1" s="198"/>
      <c r="J1" s="198"/>
      <c r="K1" s="1"/>
    </row>
    <row r="2" spans="1:13" ht="25.5">
      <c r="A2" s="62" t="s">
        <v>137</v>
      </c>
      <c r="B2" s="63"/>
      <c r="C2" s="62"/>
      <c r="D2" s="62"/>
      <c r="E2" s="197"/>
      <c r="F2" s="197"/>
      <c r="G2" s="277"/>
      <c r="H2" s="277"/>
      <c r="I2" s="277"/>
      <c r="J2" s="277"/>
      <c r="K2" s="64"/>
    </row>
    <row r="3" spans="1:13" ht="18">
      <c r="A3" s="2"/>
      <c r="B3" s="2"/>
      <c r="C3" s="2"/>
      <c r="D3" s="2"/>
      <c r="E3" s="198" t="e">
        <f>'[1]FEB 08'!E11/'[1]FEB 08'!M11</f>
        <v>#REF!</v>
      </c>
      <c r="F3" s="198"/>
      <c r="G3" s="198" t="e">
        <f>'[1]FEB 08'!F11/'[1]FEB 08'!Q11</f>
        <v>#REF!</v>
      </c>
      <c r="H3" s="198"/>
      <c r="I3" s="198"/>
      <c r="J3" s="198"/>
      <c r="K3" s="1"/>
    </row>
    <row r="4" spans="1:13" ht="23">
      <c r="A4" s="689"/>
      <c r="B4" s="690" t="s">
        <v>2</v>
      </c>
      <c r="C4" s="690" t="s">
        <v>3</v>
      </c>
      <c r="D4" s="691" t="s">
        <v>4</v>
      </c>
      <c r="E4" s="692" t="s">
        <v>138</v>
      </c>
      <c r="F4" s="693" t="s">
        <v>6</v>
      </c>
      <c r="G4" s="693" t="s">
        <v>7</v>
      </c>
      <c r="H4" s="692" t="s">
        <v>139</v>
      </c>
      <c r="I4" s="693" t="s">
        <v>8</v>
      </c>
      <c r="J4" s="700" t="s">
        <v>140</v>
      </c>
      <c r="K4" s="692" t="s">
        <v>14</v>
      </c>
      <c r="L4" s="692" t="s">
        <v>141</v>
      </c>
      <c r="M4" s="692" t="s">
        <v>142</v>
      </c>
    </row>
    <row r="5" spans="1:13" ht="18">
      <c r="A5" s="1"/>
      <c r="B5" s="1"/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285" t="s">
        <v>20</v>
      </c>
      <c r="K5" s="68"/>
      <c r="L5" s="68"/>
      <c r="M5" s="68"/>
    </row>
    <row r="6" spans="1:13" ht="17.5">
      <c r="A6" s="8"/>
      <c r="B6" s="7"/>
      <c r="C6" s="7"/>
      <c r="D6" s="7"/>
      <c r="E6" s="68"/>
      <c r="F6" s="68"/>
      <c r="G6" s="68"/>
      <c r="H6" s="68"/>
      <c r="I6" s="68"/>
      <c r="J6" s="285"/>
      <c r="K6" s="68"/>
      <c r="L6" s="68"/>
      <c r="M6" s="68"/>
    </row>
    <row r="7" spans="1:13" ht="29">
      <c r="A7" s="9"/>
      <c r="B7" s="694" t="s">
        <v>36</v>
      </c>
      <c r="C7" s="695" t="s">
        <v>37</v>
      </c>
      <c r="D7" s="696" t="s">
        <v>31</v>
      </c>
      <c r="E7" s="71">
        <f>218287.583333333*(13/31)</f>
        <v>91539.954301075093</v>
      </c>
      <c r="F7" s="71"/>
      <c r="G7" s="201"/>
      <c r="H7" s="201">
        <f>50000*(13/31)</f>
        <v>20967.7419354839</v>
      </c>
      <c r="I7" s="71"/>
      <c r="J7" s="488">
        <f>E7+H7</f>
        <v>112507.696236559</v>
      </c>
      <c r="K7" s="71"/>
      <c r="L7" s="71"/>
      <c r="M7" s="71"/>
    </row>
    <row r="8" spans="1:13" ht="29">
      <c r="A8" s="9"/>
      <c r="B8" s="694" t="s">
        <v>36</v>
      </c>
      <c r="C8" s="695" t="s">
        <v>37</v>
      </c>
      <c r="D8" s="696" t="s">
        <v>38</v>
      </c>
      <c r="E8" s="71">
        <f>293029.666666667*(18/31)</f>
        <v>170146.25806451601</v>
      </c>
      <c r="F8" s="71"/>
      <c r="G8" s="201"/>
      <c r="H8" s="201">
        <f>60000*(18/31)</f>
        <v>34838.7096774194</v>
      </c>
      <c r="I8" s="71"/>
      <c r="J8" s="488">
        <f>E8+H8</f>
        <v>204984.96774193601</v>
      </c>
      <c r="K8" s="71"/>
      <c r="L8" s="71"/>
      <c r="M8" s="71"/>
    </row>
    <row r="9" spans="1:13" ht="30" customHeight="1">
      <c r="A9" s="9"/>
      <c r="B9" s="697" t="s">
        <v>34</v>
      </c>
      <c r="C9" s="698"/>
      <c r="D9" s="699"/>
      <c r="E9" s="202">
        <f>SUM(E7:E8)</f>
        <v>261686.212365591</v>
      </c>
      <c r="F9" s="202">
        <f t="shared" ref="F9:J9" si="0">SUM(F7:F8)</f>
        <v>0</v>
      </c>
      <c r="G9" s="202">
        <f t="shared" si="0"/>
        <v>0</v>
      </c>
      <c r="H9" s="202">
        <f t="shared" si="0"/>
        <v>55806.451612903198</v>
      </c>
      <c r="I9" s="202">
        <f t="shared" si="0"/>
        <v>0</v>
      </c>
      <c r="J9" s="202">
        <f t="shared" si="0"/>
        <v>317492.66397849499</v>
      </c>
      <c r="K9" s="202">
        <f>37571.65</f>
        <v>37571.65</v>
      </c>
      <c r="L9" s="657">
        <v>17463.006666666599</v>
      </c>
      <c r="M9" s="493">
        <f>J9-K9-L9</f>
        <v>262458.00731182803</v>
      </c>
    </row>
    <row r="10" spans="1:13" ht="18">
      <c r="A10" s="9"/>
      <c r="B10" s="13"/>
      <c r="C10" s="3"/>
      <c r="D10" s="9"/>
      <c r="E10" s="202"/>
      <c r="F10" s="202"/>
      <c r="G10" s="202"/>
      <c r="H10" s="202"/>
      <c r="I10" s="202"/>
      <c r="J10" s="288"/>
      <c r="K10" s="202"/>
      <c r="L10" s="202"/>
      <c r="M10" s="202"/>
    </row>
    <row r="11" spans="1:13" ht="18">
      <c r="A11" s="2"/>
      <c r="B11" s="32"/>
      <c r="C11" s="2"/>
      <c r="D11" s="33"/>
      <c r="E11" s="33"/>
      <c r="F11" s="33"/>
      <c r="G11" s="33"/>
      <c r="H11" s="33"/>
      <c r="I11" s="209"/>
      <c r="J11" s="209"/>
      <c r="K11" s="210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topLeftCell="C21" workbookViewId="0">
      <selection activeCell="C33" sqref="C33"/>
    </sheetView>
  </sheetViews>
  <sheetFormatPr defaultColWidth="9.1796875" defaultRowHeight="12.5"/>
  <cols>
    <col min="1" max="1" width="6.81640625" style="274" customWidth="1"/>
    <col min="2" max="2" width="39.1796875" style="274" customWidth="1"/>
    <col min="3" max="3" width="16.81640625" style="274" customWidth="1"/>
    <col min="4" max="4" width="6.7265625" style="274" customWidth="1"/>
    <col min="5" max="5" width="13.1796875" style="274" customWidth="1"/>
    <col min="6" max="6" width="11.1796875" style="274" customWidth="1"/>
    <col min="7" max="7" width="14.453125" style="274" customWidth="1"/>
    <col min="8" max="8" width="5.81640625" style="274" customWidth="1"/>
    <col min="9" max="9" width="12.81640625" style="274" customWidth="1"/>
    <col min="10" max="10" width="11.54296875" style="274" customWidth="1"/>
    <col min="11" max="11" width="6.81640625" style="274" customWidth="1"/>
    <col min="12" max="12" width="10.81640625" style="274" customWidth="1"/>
    <col min="13" max="13" width="12.54296875" style="274" customWidth="1"/>
    <col min="14" max="14" width="11" style="274" customWidth="1"/>
    <col min="15" max="15" width="12.1796875" style="274" customWidth="1"/>
    <col min="16" max="16" width="15.453125" style="274" customWidth="1"/>
    <col min="17" max="17" width="16.54296875" style="274" customWidth="1"/>
    <col min="18" max="18" width="9.81640625" style="274" customWidth="1"/>
    <col min="19" max="19" width="10.54296875" style="274" customWidth="1"/>
    <col min="20" max="20" width="11.54296875" style="274" customWidth="1"/>
    <col min="21" max="21" width="12.453125" style="274" customWidth="1"/>
    <col min="22" max="22" width="14.54296875" style="274" customWidth="1"/>
    <col min="23" max="23" width="9.54296875" style="274" customWidth="1"/>
    <col min="24" max="24" width="15.1796875" style="274" customWidth="1"/>
    <col min="25" max="25" width="9" style="274" customWidth="1"/>
    <col min="26" max="26" width="14.1796875" style="274" customWidth="1"/>
    <col min="27" max="27" width="27.453125" style="274" customWidth="1"/>
    <col min="28" max="16384" width="9.1796875" style="274"/>
  </cols>
  <sheetData>
    <row r="1" spans="1:29" ht="13" hidden="1">
      <c r="A1" s="779" t="s">
        <v>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454"/>
    </row>
    <row r="2" spans="1:29" ht="13" hidden="1">
      <c r="A2" s="780" t="s">
        <v>143</v>
      </c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454"/>
    </row>
    <row r="3" spans="1:29" ht="13" hidden="1">
      <c r="A3" s="781" t="s">
        <v>144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454"/>
    </row>
    <row r="4" spans="1:29" ht="83.25" customHeight="1">
      <c r="A4" s="440" t="s">
        <v>145</v>
      </c>
      <c r="B4" s="441" t="s">
        <v>146</v>
      </c>
      <c r="C4" s="442" t="s">
        <v>147</v>
      </c>
      <c r="D4" s="441" t="s">
        <v>148</v>
      </c>
      <c r="E4" s="442" t="s">
        <v>149</v>
      </c>
      <c r="F4" s="442" t="s">
        <v>150</v>
      </c>
      <c r="G4" s="442" t="s">
        <v>151</v>
      </c>
      <c r="H4" s="442" t="s">
        <v>152</v>
      </c>
      <c r="I4" s="442" t="s">
        <v>153</v>
      </c>
      <c r="J4" s="442"/>
      <c r="K4" s="442"/>
      <c r="L4" s="442"/>
      <c r="M4" s="442" t="s">
        <v>154</v>
      </c>
      <c r="N4" s="442" t="s">
        <v>155</v>
      </c>
      <c r="O4" s="442" t="s">
        <v>156</v>
      </c>
      <c r="P4" s="442" t="s">
        <v>157</v>
      </c>
      <c r="Q4" s="442" t="s">
        <v>158</v>
      </c>
      <c r="R4" s="442" t="s">
        <v>159</v>
      </c>
      <c r="S4" s="442" t="s">
        <v>160</v>
      </c>
      <c r="T4" s="442" t="s">
        <v>161</v>
      </c>
      <c r="U4" s="442" t="s">
        <v>162</v>
      </c>
      <c r="V4" s="442" t="s">
        <v>163</v>
      </c>
      <c r="W4" s="442"/>
      <c r="X4" s="442" t="s">
        <v>164</v>
      </c>
      <c r="Y4" s="442" t="s">
        <v>165</v>
      </c>
      <c r="Z4" s="455" t="s">
        <v>166</v>
      </c>
    </row>
    <row r="5" spans="1:29" ht="17.5">
      <c r="A5" s="443">
        <v>1</v>
      </c>
      <c r="B5" s="7"/>
      <c r="C5" s="444"/>
      <c r="D5" s="445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53"/>
      <c r="X5" s="446"/>
      <c r="Y5" s="446"/>
      <c r="Z5" s="457"/>
      <c r="AA5" s="458"/>
      <c r="AB5" s="458"/>
      <c r="AC5" s="458"/>
    </row>
    <row r="6" spans="1:29" ht="18">
      <c r="A6" s="443">
        <v>3</v>
      </c>
      <c r="B6" s="13" t="s">
        <v>49</v>
      </c>
      <c r="C6" s="444">
        <v>261891.25</v>
      </c>
      <c r="D6" s="445">
        <v>12</v>
      </c>
      <c r="E6" s="446">
        <f>C6*D6</f>
        <v>3142695</v>
      </c>
      <c r="F6" s="446"/>
      <c r="G6" s="446">
        <v>209556.08</v>
      </c>
      <c r="H6" s="446"/>
      <c r="I6" s="446">
        <f t="shared" ref="I6:I13" si="0">E6-F6-G6-H6</f>
        <v>2933138.92</v>
      </c>
      <c r="J6" s="446">
        <v>200000</v>
      </c>
      <c r="K6" s="446">
        <v>0.2</v>
      </c>
      <c r="L6" s="446">
        <f t="shared" ref="L6:L13" si="1">I6*K6</f>
        <v>586627.78399999999</v>
      </c>
      <c r="M6" s="446">
        <f t="shared" ref="M6:M13" si="2">J6+L6</f>
        <v>786627.78399999999</v>
      </c>
      <c r="N6" s="446">
        <f t="shared" ref="N6:N13" si="3">F6+G6+H6+M6</f>
        <v>996183.86399999994</v>
      </c>
      <c r="O6" s="446">
        <f t="shared" ref="O6:O13" si="4">E6-N6</f>
        <v>2146511.1359999999</v>
      </c>
      <c r="P6" s="446">
        <f t="shared" ref="P6:P13" si="5">IF(O6&lt;300000,0.07*O6,21000)</f>
        <v>21000</v>
      </c>
      <c r="Q6" s="446">
        <f t="shared" ref="Q6:Q13" si="6">IF((O6-300000)&lt;0,0,IF((O6-300000)&lt;300000,0.11*(O6-300000),33000))</f>
        <v>33000</v>
      </c>
      <c r="R6" s="446">
        <f t="shared" ref="R6:R13" si="7">IF((O6-600000)&lt;0,0,IF((O6-600000)&lt;500000,0.15*(O6-600000),75000))</f>
        <v>75000</v>
      </c>
      <c r="S6" s="446">
        <f t="shared" ref="S6:S13" si="8">IF((O6-1100000)&lt;0,0,IF((O6-1100000)&lt;500000,0.19*(O6-1100000),95000))</f>
        <v>95000</v>
      </c>
      <c r="T6" s="446">
        <f t="shared" ref="T6:T13" si="9">IF((O6-1600000)&lt;0,0,IF((O6-1600000)&lt;1600000,0.21*(O6-1600000),336000))</f>
        <v>114767.33856</v>
      </c>
      <c r="U6" s="446"/>
      <c r="V6" s="446">
        <f t="shared" ref="V6:V13" si="10">P6+Q6+R6+S6+T6+U6</f>
        <v>338767.33856</v>
      </c>
      <c r="W6" s="453">
        <v>12</v>
      </c>
      <c r="X6" s="446">
        <f t="shared" ref="X6:X13" si="11">V6/W6</f>
        <v>28230.6115466667</v>
      </c>
      <c r="Y6" s="446"/>
      <c r="Z6" s="457">
        <f t="shared" ref="Z6:Z13" si="12">X6</f>
        <v>28230.6115466667</v>
      </c>
      <c r="AA6" s="458"/>
      <c r="AB6" s="458"/>
      <c r="AC6" s="458"/>
    </row>
    <row r="7" spans="1:29" s="594" customFormat="1" ht="18">
      <c r="A7" s="595">
        <v>4</v>
      </c>
      <c r="B7" s="17" t="s">
        <v>23</v>
      </c>
      <c r="C7" s="597">
        <v>231622.6</v>
      </c>
      <c r="D7" s="598">
        <v>12</v>
      </c>
      <c r="E7" s="599">
        <f t="shared" ref="E7:E13" si="13">C7*D7</f>
        <v>2779471.2</v>
      </c>
      <c r="F7" s="599"/>
      <c r="G7" s="599">
        <v>374638.96</v>
      </c>
      <c r="H7" s="599"/>
      <c r="I7" s="599">
        <f t="shared" si="0"/>
        <v>2404832.2400000002</v>
      </c>
      <c r="J7" s="599">
        <v>200000</v>
      </c>
      <c r="K7" s="599">
        <v>0.2</v>
      </c>
      <c r="L7" s="599">
        <f t="shared" si="1"/>
        <v>480966.44799999997</v>
      </c>
      <c r="M7" s="599">
        <f t="shared" si="2"/>
        <v>680966.44799999997</v>
      </c>
      <c r="N7" s="599">
        <f t="shared" si="3"/>
        <v>1055605.4080000001</v>
      </c>
      <c r="O7" s="599">
        <f t="shared" si="4"/>
        <v>1723865.7919999999</v>
      </c>
      <c r="P7" s="599">
        <f t="shared" si="5"/>
        <v>21000</v>
      </c>
      <c r="Q7" s="599">
        <f t="shared" si="6"/>
        <v>33000</v>
      </c>
      <c r="R7" s="599">
        <f t="shared" si="7"/>
        <v>75000</v>
      </c>
      <c r="S7" s="599">
        <f t="shared" si="8"/>
        <v>95000</v>
      </c>
      <c r="T7" s="599">
        <f t="shared" si="9"/>
        <v>26011.8163199999</v>
      </c>
      <c r="U7" s="599"/>
      <c r="V7" s="599">
        <f t="shared" si="10"/>
        <v>250011.81632000001</v>
      </c>
      <c r="W7" s="602">
        <v>12</v>
      </c>
      <c r="X7" s="599">
        <f t="shared" si="11"/>
        <v>20834.3180266667</v>
      </c>
      <c r="Y7" s="599"/>
      <c r="Z7" s="457">
        <f t="shared" si="12"/>
        <v>20834.3180266667</v>
      </c>
      <c r="AA7" s="603"/>
      <c r="AB7" s="603"/>
      <c r="AC7" s="603"/>
    </row>
    <row r="8" spans="1:29" s="594" customFormat="1" ht="18">
      <c r="A8" s="595">
        <v>5</v>
      </c>
      <c r="B8" s="17" t="s">
        <v>26</v>
      </c>
      <c r="C8" s="597">
        <v>231622.6</v>
      </c>
      <c r="D8" s="598">
        <v>12</v>
      </c>
      <c r="E8" s="599">
        <f t="shared" si="13"/>
        <v>2779471.2</v>
      </c>
      <c r="F8" s="599"/>
      <c r="G8" s="599">
        <v>245615.04</v>
      </c>
      <c r="H8" s="599"/>
      <c r="I8" s="599">
        <f t="shared" si="0"/>
        <v>2533856.16</v>
      </c>
      <c r="J8" s="599">
        <v>200000</v>
      </c>
      <c r="K8" s="599">
        <v>0.2</v>
      </c>
      <c r="L8" s="599">
        <f t="shared" si="1"/>
        <v>506771.23200000002</v>
      </c>
      <c r="M8" s="599">
        <f t="shared" si="2"/>
        <v>706771.23199999996</v>
      </c>
      <c r="N8" s="599">
        <f t="shared" si="3"/>
        <v>952386.272</v>
      </c>
      <c r="O8" s="599">
        <f t="shared" si="4"/>
        <v>1827084.9280000001</v>
      </c>
      <c r="P8" s="599">
        <f t="shared" si="5"/>
        <v>21000</v>
      </c>
      <c r="Q8" s="599">
        <f t="shared" si="6"/>
        <v>33000</v>
      </c>
      <c r="R8" s="599">
        <f t="shared" si="7"/>
        <v>75000</v>
      </c>
      <c r="S8" s="599">
        <f t="shared" si="8"/>
        <v>95000</v>
      </c>
      <c r="T8" s="599">
        <f t="shared" si="9"/>
        <v>47687.834880000002</v>
      </c>
      <c r="U8" s="599"/>
      <c r="V8" s="599">
        <f t="shared" si="10"/>
        <v>271687.83487999998</v>
      </c>
      <c r="W8" s="602">
        <v>12</v>
      </c>
      <c r="X8" s="599">
        <f t="shared" si="11"/>
        <v>22640.652906666699</v>
      </c>
      <c r="Y8" s="599"/>
      <c r="Z8" s="457">
        <f t="shared" si="12"/>
        <v>22640.652906666699</v>
      </c>
      <c r="AA8" s="603"/>
      <c r="AB8" s="603"/>
      <c r="AC8" s="603"/>
    </row>
    <row r="9" spans="1:29" ht="18">
      <c r="A9" s="443">
        <v>6</v>
      </c>
      <c r="B9" s="17" t="s">
        <v>27</v>
      </c>
      <c r="C9" s="444">
        <v>315849</v>
      </c>
      <c r="D9" s="445">
        <v>12</v>
      </c>
      <c r="E9" s="446">
        <f t="shared" si="13"/>
        <v>3790188</v>
      </c>
      <c r="F9" s="446"/>
      <c r="G9" s="446">
        <v>209556.08</v>
      </c>
      <c r="H9" s="446"/>
      <c r="I9" s="446">
        <f t="shared" si="0"/>
        <v>3580631.92</v>
      </c>
      <c r="J9" s="446">
        <v>200000</v>
      </c>
      <c r="K9" s="446">
        <v>0.2</v>
      </c>
      <c r="L9" s="446">
        <f t="shared" si="1"/>
        <v>716126.38399999996</v>
      </c>
      <c r="M9" s="446">
        <f t="shared" si="2"/>
        <v>916126.38399999996</v>
      </c>
      <c r="N9" s="446">
        <f t="shared" si="3"/>
        <v>1125682.4639999999</v>
      </c>
      <c r="O9" s="446">
        <f t="shared" si="4"/>
        <v>2664505.5359999998</v>
      </c>
      <c r="P9" s="446">
        <f t="shared" si="5"/>
        <v>21000</v>
      </c>
      <c r="Q9" s="446">
        <f t="shared" si="6"/>
        <v>33000</v>
      </c>
      <c r="R9" s="446">
        <f t="shared" si="7"/>
        <v>75000</v>
      </c>
      <c r="S9" s="446">
        <f t="shared" si="8"/>
        <v>95000</v>
      </c>
      <c r="T9" s="446">
        <f t="shared" si="9"/>
        <v>223546.16256</v>
      </c>
      <c r="U9" s="446"/>
      <c r="V9" s="446">
        <f t="shared" si="10"/>
        <v>447546.16256000003</v>
      </c>
      <c r="W9" s="453">
        <v>12</v>
      </c>
      <c r="X9" s="446">
        <f t="shared" si="11"/>
        <v>37295.513546666698</v>
      </c>
      <c r="Y9" s="446"/>
      <c r="Z9" s="457">
        <f t="shared" si="12"/>
        <v>37295.513546666698</v>
      </c>
      <c r="AA9" s="458"/>
      <c r="AB9" s="458"/>
      <c r="AC9" s="458"/>
    </row>
    <row r="10" spans="1:29" s="594" customFormat="1" ht="18">
      <c r="A10" s="595">
        <v>7</v>
      </c>
      <c r="B10" s="17" t="s">
        <v>29</v>
      </c>
      <c r="C10" s="597">
        <v>169915.469444444</v>
      </c>
      <c r="D10" s="598">
        <v>12</v>
      </c>
      <c r="E10" s="599">
        <f t="shared" si="13"/>
        <v>2038985.63333333</v>
      </c>
      <c r="F10" s="599"/>
      <c r="G10" s="599">
        <v>281308.48</v>
      </c>
      <c r="H10" s="599"/>
      <c r="I10" s="599">
        <f t="shared" si="0"/>
        <v>1757677.1533333301</v>
      </c>
      <c r="J10" s="599">
        <v>200000</v>
      </c>
      <c r="K10" s="599">
        <v>0.2</v>
      </c>
      <c r="L10" s="599">
        <f t="shared" si="1"/>
        <v>351535.43066666601</v>
      </c>
      <c r="M10" s="599">
        <f t="shared" si="2"/>
        <v>551535.43066666601</v>
      </c>
      <c r="N10" s="599">
        <f t="shared" si="3"/>
        <v>832843.91066666599</v>
      </c>
      <c r="O10" s="599">
        <f t="shared" si="4"/>
        <v>1206141.7226666601</v>
      </c>
      <c r="P10" s="599">
        <f t="shared" si="5"/>
        <v>21000</v>
      </c>
      <c r="Q10" s="599">
        <f t="shared" si="6"/>
        <v>33000</v>
      </c>
      <c r="R10" s="599">
        <f t="shared" si="7"/>
        <v>75000</v>
      </c>
      <c r="S10" s="599">
        <f t="shared" si="8"/>
        <v>20166.927306666199</v>
      </c>
      <c r="T10" s="599">
        <f t="shared" si="9"/>
        <v>0</v>
      </c>
      <c r="U10" s="599"/>
      <c r="V10" s="599">
        <f t="shared" si="10"/>
        <v>149166.92730666601</v>
      </c>
      <c r="W10" s="602">
        <v>12</v>
      </c>
      <c r="X10" s="599">
        <f t="shared" si="11"/>
        <v>12430.577275555501</v>
      </c>
      <c r="Y10" s="599"/>
      <c r="Z10" s="457">
        <f t="shared" si="12"/>
        <v>12430.577275555501</v>
      </c>
      <c r="AA10" s="603"/>
      <c r="AB10" s="603"/>
      <c r="AC10" s="603"/>
    </row>
    <row r="11" spans="1:29" s="594" customFormat="1" ht="18">
      <c r="A11" s="595">
        <v>8</v>
      </c>
      <c r="B11" s="17" t="s">
        <v>32</v>
      </c>
      <c r="C11" s="597">
        <v>196744.227777778</v>
      </c>
      <c r="D11" s="598">
        <v>12</v>
      </c>
      <c r="E11" s="599">
        <f t="shared" si="13"/>
        <v>2360930.7333333301</v>
      </c>
      <c r="F11" s="599"/>
      <c r="G11" s="599">
        <v>374638.96</v>
      </c>
      <c r="H11" s="599"/>
      <c r="I11" s="599">
        <f t="shared" si="0"/>
        <v>1986291.7733333299</v>
      </c>
      <c r="J11" s="599">
        <v>200000</v>
      </c>
      <c r="K11" s="599">
        <v>0.2</v>
      </c>
      <c r="L11" s="599">
        <f t="shared" si="1"/>
        <v>397258.35466666601</v>
      </c>
      <c r="M11" s="599">
        <f t="shared" si="2"/>
        <v>597258.35466666601</v>
      </c>
      <c r="N11" s="599">
        <f t="shared" si="3"/>
        <v>971897.31466666597</v>
      </c>
      <c r="O11" s="599">
        <f t="shared" si="4"/>
        <v>1389033.4186666601</v>
      </c>
      <c r="P11" s="599">
        <f t="shared" si="5"/>
        <v>21000</v>
      </c>
      <c r="Q11" s="599">
        <f t="shared" si="6"/>
        <v>33000</v>
      </c>
      <c r="R11" s="599">
        <f t="shared" si="7"/>
        <v>75000</v>
      </c>
      <c r="S11" s="599">
        <f t="shared" si="8"/>
        <v>54916.349546666199</v>
      </c>
      <c r="T11" s="599">
        <f t="shared" si="9"/>
        <v>0</v>
      </c>
      <c r="U11" s="599"/>
      <c r="V11" s="599">
        <f t="shared" si="10"/>
        <v>183916.349546666</v>
      </c>
      <c r="W11" s="602">
        <v>12</v>
      </c>
      <c r="X11" s="599">
        <f t="shared" si="11"/>
        <v>15326.3624622222</v>
      </c>
      <c r="Y11" s="599"/>
      <c r="Z11" s="457">
        <f t="shared" si="12"/>
        <v>15326.3624622222</v>
      </c>
      <c r="AA11" s="603"/>
      <c r="AB11" s="603"/>
      <c r="AC11" s="603"/>
    </row>
    <row r="12" spans="1:29" ht="18">
      <c r="A12" s="443"/>
      <c r="B12" s="10"/>
      <c r="C12" s="444"/>
      <c r="D12" s="445"/>
      <c r="E12" s="446"/>
      <c r="F12" s="446"/>
      <c r="G12" s="446"/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53"/>
      <c r="X12" s="446"/>
      <c r="Y12" s="446"/>
      <c r="Z12" s="457"/>
      <c r="AA12" s="458"/>
      <c r="AB12" s="458"/>
      <c r="AC12" s="458"/>
    </row>
    <row r="13" spans="1:29" s="594" customFormat="1" ht="18">
      <c r="A13" s="595">
        <v>10</v>
      </c>
      <c r="B13" s="10" t="s">
        <v>36</v>
      </c>
      <c r="C13" s="597">
        <v>268287.58333333302</v>
      </c>
      <c r="D13" s="598">
        <v>12</v>
      </c>
      <c r="E13" s="599">
        <f t="shared" si="13"/>
        <v>3219451</v>
      </c>
      <c r="F13" s="599"/>
      <c r="G13" s="599">
        <v>209556.08</v>
      </c>
      <c r="H13" s="599"/>
      <c r="I13" s="599">
        <f t="shared" si="0"/>
        <v>3009894.92</v>
      </c>
      <c r="J13" s="599">
        <v>200000</v>
      </c>
      <c r="K13" s="599">
        <v>0.2</v>
      </c>
      <c r="L13" s="599">
        <f t="shared" si="1"/>
        <v>601978.98400000005</v>
      </c>
      <c r="M13" s="599">
        <f t="shared" si="2"/>
        <v>801978.98400000005</v>
      </c>
      <c r="N13" s="599">
        <f t="shared" si="3"/>
        <v>1011535.064</v>
      </c>
      <c r="O13" s="599">
        <f t="shared" si="4"/>
        <v>2207915.9360000002</v>
      </c>
      <c r="P13" s="599">
        <f t="shared" si="5"/>
        <v>21000</v>
      </c>
      <c r="Q13" s="599">
        <f t="shared" si="6"/>
        <v>33000</v>
      </c>
      <c r="R13" s="599">
        <f t="shared" si="7"/>
        <v>75000</v>
      </c>
      <c r="S13" s="599">
        <f t="shared" si="8"/>
        <v>95000</v>
      </c>
      <c r="T13" s="599">
        <f t="shared" si="9"/>
        <v>127662.34656000001</v>
      </c>
      <c r="U13" s="599"/>
      <c r="V13" s="599">
        <f t="shared" si="10"/>
        <v>351662.34655999998</v>
      </c>
      <c r="W13" s="602">
        <v>12</v>
      </c>
      <c r="X13" s="599">
        <f t="shared" si="11"/>
        <v>29305.195546666699</v>
      </c>
      <c r="Y13" s="599"/>
      <c r="Z13" s="457">
        <f t="shared" si="12"/>
        <v>29305.195546666699</v>
      </c>
      <c r="AA13" s="603"/>
      <c r="AB13" s="603"/>
      <c r="AC13" s="603"/>
    </row>
    <row r="14" spans="1:29" ht="18">
      <c r="A14" s="443"/>
      <c r="B14" s="10"/>
      <c r="C14" s="444"/>
      <c r="D14" s="445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53"/>
      <c r="X14" s="446"/>
      <c r="Y14" s="446"/>
      <c r="Z14" s="457"/>
    </row>
    <row r="15" spans="1:29" ht="18">
      <c r="A15" s="595">
        <v>4</v>
      </c>
      <c r="B15" s="17" t="s">
        <v>40</v>
      </c>
      <c r="C15" s="597">
        <v>293557.91666666698</v>
      </c>
      <c r="D15" s="598">
        <v>12</v>
      </c>
      <c r="E15" s="599">
        <f t="shared" ref="E15:E21" si="14">C15*D15</f>
        <v>3522695</v>
      </c>
      <c r="F15" s="599"/>
      <c r="G15" s="599">
        <v>374638.96</v>
      </c>
      <c r="H15" s="599"/>
      <c r="I15" s="599">
        <f t="shared" ref="I15:I29" si="15">E15-F15-G15-H15</f>
        <v>3148056.04</v>
      </c>
      <c r="J15" s="599">
        <v>200000</v>
      </c>
      <c r="K15" s="599">
        <v>0.2</v>
      </c>
      <c r="L15" s="599">
        <f t="shared" ref="L15:L16" si="16">I15*K15</f>
        <v>629611.20799999998</v>
      </c>
      <c r="M15" s="599">
        <f t="shared" ref="M15:M16" si="17">J15+L15</f>
        <v>829611.20799999998</v>
      </c>
      <c r="N15" s="599">
        <f t="shared" ref="N15:N29" si="18">F15+G15+H15+M15</f>
        <v>1204250.1680000001</v>
      </c>
      <c r="O15" s="599">
        <f t="shared" ref="O15:O29" si="19">E15-N15</f>
        <v>2318444.8319999999</v>
      </c>
      <c r="P15" s="599">
        <f t="shared" ref="P15:P16" si="20">IF(O15&lt;300000,0.07*O15,21000)</f>
        <v>21000</v>
      </c>
      <c r="Q15" s="599">
        <f t="shared" ref="Q15:Q16" si="21">IF((O15-300000)&lt;0,0,IF((O15-300000)&lt;300000,0.11*(O15-300000),33000))</f>
        <v>33000</v>
      </c>
      <c r="R15" s="599">
        <f t="shared" ref="R15:R16" si="22">IF((O15-600000)&lt;0,0,IF((O15-600000)&lt;500000,0.15*(O15-600000),75000))</f>
        <v>75000</v>
      </c>
      <c r="S15" s="599">
        <f t="shared" ref="S15:S16" si="23">IF((O15-1100000)&lt;0,0,IF((O15-1100000)&lt;500000,0.19*(O15-1100000),95000))</f>
        <v>95000</v>
      </c>
      <c r="T15" s="599">
        <f t="shared" ref="T15:T16" si="24">IF((O15-1600000)&lt;0,0,IF((O15-1600000)&lt;1600000,0.21*(O15-1600000),336000))</f>
        <v>150873.41472</v>
      </c>
      <c r="U15" s="599"/>
      <c r="V15" s="599">
        <f t="shared" ref="V15:V16" si="25">P15+Q15+R15+S15+T15+U15</f>
        <v>374873.41472</v>
      </c>
      <c r="W15" s="602">
        <v>12</v>
      </c>
      <c r="X15" s="599">
        <f t="shared" ref="X15:X16" si="26">V15/W15</f>
        <v>31239.451226666701</v>
      </c>
      <c r="Y15" s="599"/>
      <c r="Z15" s="457">
        <f t="shared" ref="Z15:Z16" si="27">X15</f>
        <v>31239.451226666701</v>
      </c>
    </row>
    <row r="16" spans="1:29" ht="36">
      <c r="A16" s="595">
        <v>5</v>
      </c>
      <c r="B16" s="10" t="s">
        <v>43</v>
      </c>
      <c r="C16" s="597">
        <v>248918.78888888899</v>
      </c>
      <c r="D16" s="598">
        <v>12</v>
      </c>
      <c r="E16" s="599">
        <f t="shared" si="14"/>
        <v>2987025.4666666701</v>
      </c>
      <c r="F16" s="599"/>
      <c r="G16" s="599">
        <v>245615.04</v>
      </c>
      <c r="H16" s="599"/>
      <c r="I16" s="599">
        <f t="shared" si="15"/>
        <v>2741410.42666667</v>
      </c>
      <c r="J16" s="599">
        <v>200000</v>
      </c>
      <c r="K16" s="599">
        <v>0.2</v>
      </c>
      <c r="L16" s="599">
        <f t="shared" si="16"/>
        <v>548282.08533333405</v>
      </c>
      <c r="M16" s="599">
        <f t="shared" si="17"/>
        <v>748282.08533333405</v>
      </c>
      <c r="N16" s="599">
        <f t="shared" si="18"/>
        <v>993897.12533333397</v>
      </c>
      <c r="O16" s="599">
        <f t="shared" si="19"/>
        <v>1993128.3413333299</v>
      </c>
      <c r="P16" s="599">
        <f t="shared" si="20"/>
        <v>21000</v>
      </c>
      <c r="Q16" s="599">
        <f t="shared" si="21"/>
        <v>33000</v>
      </c>
      <c r="R16" s="599">
        <f t="shared" si="22"/>
        <v>75000</v>
      </c>
      <c r="S16" s="599">
        <f t="shared" si="23"/>
        <v>95000</v>
      </c>
      <c r="T16" s="599">
        <f t="shared" si="24"/>
        <v>82556.951680000304</v>
      </c>
      <c r="U16" s="599"/>
      <c r="V16" s="599">
        <f t="shared" si="25"/>
        <v>306556.95168</v>
      </c>
      <c r="W16" s="602">
        <v>12</v>
      </c>
      <c r="X16" s="599">
        <f t="shared" si="26"/>
        <v>25546.412639999999</v>
      </c>
      <c r="Y16" s="599"/>
      <c r="Z16" s="457">
        <f t="shared" si="27"/>
        <v>25546.412639999999</v>
      </c>
    </row>
    <row r="17" spans="1:26" ht="18">
      <c r="A17" s="443"/>
      <c r="B17" s="10"/>
      <c r="C17" s="444"/>
      <c r="D17" s="445"/>
      <c r="E17" s="446"/>
      <c r="F17" s="446"/>
      <c r="G17" s="446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53"/>
      <c r="X17" s="446"/>
      <c r="Y17" s="446"/>
      <c r="Z17" s="457"/>
    </row>
    <row r="18" spans="1:26" ht="18">
      <c r="A18" s="595">
        <v>7</v>
      </c>
      <c r="B18" s="17" t="s">
        <v>46</v>
      </c>
      <c r="C18" s="597">
        <v>374182.53888888902</v>
      </c>
      <c r="D18" s="598">
        <v>12</v>
      </c>
      <c r="E18" s="599">
        <f t="shared" si="14"/>
        <v>4490190.4666666696</v>
      </c>
      <c r="F18" s="599"/>
      <c r="G18" s="599">
        <v>281308.48</v>
      </c>
      <c r="H18" s="599"/>
      <c r="I18" s="599">
        <f t="shared" si="15"/>
        <v>4208881.9866666701</v>
      </c>
      <c r="J18" s="599">
        <v>200000</v>
      </c>
      <c r="K18" s="599">
        <v>0.2</v>
      </c>
      <c r="L18" s="599">
        <f t="shared" ref="L18:L23" si="28">I18*K18</f>
        <v>841776.39733333397</v>
      </c>
      <c r="M18" s="599">
        <f t="shared" ref="M18:M23" si="29">J18+L18</f>
        <v>1041776.39733333</v>
      </c>
      <c r="N18" s="599">
        <f t="shared" si="18"/>
        <v>1323084.87733333</v>
      </c>
      <c r="O18" s="599">
        <f t="shared" si="19"/>
        <v>3167105.5893333298</v>
      </c>
      <c r="P18" s="599">
        <f t="shared" ref="P18:P23" si="30">IF(O18&lt;300000,0.07*O18,21000)</f>
        <v>21000</v>
      </c>
      <c r="Q18" s="599">
        <f t="shared" ref="Q18:Q23" si="31">IF((O18-300000)&lt;0,0,IF((O18-300000)&lt;300000,0.11*(O18-300000),33000))</f>
        <v>33000</v>
      </c>
      <c r="R18" s="599">
        <f t="shared" ref="R18:R23" si="32">IF((O18-600000)&lt;0,0,IF((O18-600000)&lt;500000,0.15*(O18-600000),75000))</f>
        <v>75000</v>
      </c>
      <c r="S18" s="599">
        <f t="shared" ref="S18:S23" si="33">IF((O18-1100000)&lt;0,0,IF((O18-1100000)&lt;500000,0.19*(O18-1100000),95000))</f>
        <v>95000</v>
      </c>
      <c r="T18" s="599">
        <f t="shared" ref="T18:T23" si="34">IF((O18-1600000)&lt;0,0,IF((O18-1600000)&lt;1600000,0.21*(O18-1600000),336000))</f>
        <v>329092.17375999998</v>
      </c>
      <c r="U18" s="446"/>
      <c r="V18" s="599">
        <f t="shared" ref="V18:V23" si="35">P18+Q18+R18+S18+T18+U18</f>
        <v>553092.17376000003</v>
      </c>
      <c r="W18" s="602">
        <v>12</v>
      </c>
      <c r="X18" s="599">
        <f t="shared" ref="X18:X23" si="36">V18/W18</f>
        <v>46091.014479999998</v>
      </c>
      <c r="Y18" s="599"/>
      <c r="Z18" s="457">
        <f t="shared" ref="Z18:Z23" si="37">X18</f>
        <v>46091.014479999998</v>
      </c>
    </row>
    <row r="19" spans="1:26" ht="18">
      <c r="A19" s="595"/>
      <c r="B19" s="10"/>
      <c r="C19" s="597"/>
      <c r="D19" s="598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446"/>
      <c r="V19" s="599"/>
      <c r="W19" s="602"/>
      <c r="X19" s="599"/>
      <c r="Y19" s="599"/>
      <c r="Z19" s="457"/>
    </row>
    <row r="20" spans="1:26" ht="18">
      <c r="A20" s="443">
        <v>9</v>
      </c>
      <c r="B20" s="10" t="s">
        <v>52</v>
      </c>
      <c r="C20" s="444">
        <v>374182.53888888902</v>
      </c>
      <c r="D20" s="445">
        <v>12</v>
      </c>
      <c r="E20" s="446">
        <f t="shared" si="14"/>
        <v>4490190.4666666696</v>
      </c>
      <c r="F20" s="446"/>
      <c r="G20" s="446">
        <v>209556.08</v>
      </c>
      <c r="H20" s="446"/>
      <c r="I20" s="446">
        <f t="shared" si="15"/>
        <v>4280634.3866666704</v>
      </c>
      <c r="J20" s="446">
        <v>200000</v>
      </c>
      <c r="K20" s="446">
        <v>0.2</v>
      </c>
      <c r="L20" s="446">
        <f t="shared" si="28"/>
        <v>856126.87733333395</v>
      </c>
      <c r="M20" s="446">
        <f t="shared" si="29"/>
        <v>1056126.87733333</v>
      </c>
      <c r="N20" s="446">
        <f t="shared" si="18"/>
        <v>1265682.9573333301</v>
      </c>
      <c r="O20" s="446">
        <f t="shared" si="19"/>
        <v>3224507.50933334</v>
      </c>
      <c r="P20" s="446">
        <f t="shared" si="30"/>
        <v>21000</v>
      </c>
      <c r="Q20" s="446">
        <f t="shared" si="31"/>
        <v>33000</v>
      </c>
      <c r="R20" s="446">
        <f t="shared" si="32"/>
        <v>75000</v>
      </c>
      <c r="S20" s="446">
        <f t="shared" si="33"/>
        <v>95000</v>
      </c>
      <c r="T20" s="446">
        <f t="shared" si="34"/>
        <v>336000</v>
      </c>
      <c r="U20" s="446">
        <f t="shared" ref="U20" si="38">24%*(O20-3200000)</f>
        <v>5881.8022400004802</v>
      </c>
      <c r="V20" s="446">
        <f t="shared" si="35"/>
        <v>565881.80223999999</v>
      </c>
      <c r="W20" s="453">
        <v>12</v>
      </c>
      <c r="X20" s="446">
        <f t="shared" si="36"/>
        <v>47156.816853333403</v>
      </c>
      <c r="Y20" s="446"/>
      <c r="Z20" s="457">
        <f t="shared" si="37"/>
        <v>47156.816853333403</v>
      </c>
    </row>
    <row r="21" spans="1:26" ht="18">
      <c r="A21" s="595">
        <v>10</v>
      </c>
      <c r="B21" s="17" t="s">
        <v>54</v>
      </c>
      <c r="C21" s="597">
        <v>233410.89444444401</v>
      </c>
      <c r="D21" s="598">
        <v>12</v>
      </c>
      <c r="E21" s="599">
        <f t="shared" si="14"/>
        <v>2800930.7333333301</v>
      </c>
      <c r="F21" s="599"/>
      <c r="G21" s="599">
        <v>209556.08</v>
      </c>
      <c r="H21" s="599"/>
      <c r="I21" s="599">
        <f t="shared" si="15"/>
        <v>2591374.6533333301</v>
      </c>
      <c r="J21" s="599">
        <v>200000</v>
      </c>
      <c r="K21" s="599">
        <v>0.2</v>
      </c>
      <c r="L21" s="599">
        <f t="shared" si="28"/>
        <v>518274.93066666601</v>
      </c>
      <c r="M21" s="599">
        <f t="shared" si="29"/>
        <v>718274.93066666601</v>
      </c>
      <c r="N21" s="599">
        <f t="shared" si="18"/>
        <v>927831.01066666597</v>
      </c>
      <c r="O21" s="599">
        <f t="shared" si="19"/>
        <v>1873099.7226666601</v>
      </c>
      <c r="P21" s="599">
        <f t="shared" si="30"/>
        <v>21000</v>
      </c>
      <c r="Q21" s="599">
        <f t="shared" si="31"/>
        <v>33000</v>
      </c>
      <c r="R21" s="599">
        <f t="shared" si="32"/>
        <v>75000</v>
      </c>
      <c r="S21" s="599">
        <f t="shared" si="33"/>
        <v>95000</v>
      </c>
      <c r="T21" s="599">
        <f t="shared" si="34"/>
        <v>57350.941759999398</v>
      </c>
      <c r="U21" s="446"/>
      <c r="V21" s="599">
        <f t="shared" si="35"/>
        <v>281350.94175999903</v>
      </c>
      <c r="W21" s="602">
        <v>12</v>
      </c>
      <c r="X21" s="599">
        <f t="shared" si="36"/>
        <v>23445.9118133333</v>
      </c>
      <c r="Y21" s="599"/>
      <c r="Z21" s="457">
        <f t="shared" si="37"/>
        <v>23445.9118133333</v>
      </c>
    </row>
    <row r="22" spans="1:26" ht="18">
      <c r="A22" s="443"/>
      <c r="B22" s="10"/>
      <c r="C22" s="444"/>
      <c r="D22" s="445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53"/>
      <c r="X22" s="446"/>
      <c r="Y22" s="446"/>
      <c r="Z22" s="457"/>
    </row>
    <row r="23" spans="1:26" ht="18">
      <c r="A23" s="595">
        <v>4</v>
      </c>
      <c r="B23" s="17" t="s">
        <v>57</v>
      </c>
      <c r="C23" s="597">
        <v>216305.83333333299</v>
      </c>
      <c r="D23" s="598">
        <v>12</v>
      </c>
      <c r="E23" s="599">
        <f t="shared" ref="E23:E35" si="39">C23*D23</f>
        <v>2595670</v>
      </c>
      <c r="F23" s="599"/>
      <c r="G23" s="599">
        <v>374638.96</v>
      </c>
      <c r="H23" s="599"/>
      <c r="I23" s="599">
        <f t="shared" si="15"/>
        <v>2221031.04</v>
      </c>
      <c r="J23" s="599">
        <v>200000</v>
      </c>
      <c r="K23" s="599">
        <v>0.2</v>
      </c>
      <c r="L23" s="599">
        <f t="shared" si="28"/>
        <v>444206.20799999998</v>
      </c>
      <c r="M23" s="599">
        <f t="shared" si="29"/>
        <v>644206.20799999998</v>
      </c>
      <c r="N23" s="599">
        <f t="shared" si="18"/>
        <v>1018845.1679999999</v>
      </c>
      <c r="O23" s="599">
        <f t="shared" si="19"/>
        <v>1576824.8319999999</v>
      </c>
      <c r="P23" s="599">
        <f t="shared" si="30"/>
        <v>21000</v>
      </c>
      <c r="Q23" s="599">
        <f t="shared" si="31"/>
        <v>33000</v>
      </c>
      <c r="R23" s="599">
        <f t="shared" si="32"/>
        <v>75000</v>
      </c>
      <c r="S23" s="599">
        <f t="shared" si="33"/>
        <v>90596.718080000006</v>
      </c>
      <c r="T23" s="599">
        <f t="shared" si="34"/>
        <v>0</v>
      </c>
      <c r="U23" s="446"/>
      <c r="V23" s="599">
        <f t="shared" si="35"/>
        <v>219596.71807999999</v>
      </c>
      <c r="W23" s="602">
        <v>12</v>
      </c>
      <c r="X23" s="599">
        <f t="shared" si="36"/>
        <v>18299.726506666699</v>
      </c>
      <c r="Y23" s="599"/>
      <c r="Z23" s="457">
        <f t="shared" si="37"/>
        <v>18299.726506666699</v>
      </c>
    </row>
    <row r="24" spans="1:26" ht="18">
      <c r="A24" s="595"/>
      <c r="B24" s="10"/>
      <c r="C24" s="597"/>
      <c r="D24" s="598"/>
      <c r="E24" s="599"/>
      <c r="F24" s="599"/>
      <c r="G24" s="599"/>
      <c r="H24" s="599"/>
      <c r="I24" s="599"/>
      <c r="J24" s="599"/>
      <c r="K24" s="599"/>
      <c r="L24" s="599"/>
      <c r="M24" s="599"/>
      <c r="N24" s="599"/>
      <c r="O24" s="599"/>
      <c r="P24" s="599"/>
      <c r="Q24" s="599"/>
      <c r="R24" s="599"/>
      <c r="S24" s="599"/>
      <c r="T24" s="599"/>
      <c r="U24" s="446"/>
      <c r="V24" s="599"/>
      <c r="W24" s="602"/>
      <c r="X24" s="599"/>
      <c r="Y24" s="599"/>
      <c r="Z24" s="457"/>
    </row>
    <row r="25" spans="1:26" ht="18">
      <c r="A25" s="443">
        <v>6</v>
      </c>
      <c r="B25" s="10" t="s">
        <v>59</v>
      </c>
      <c r="C25" s="444">
        <v>337515.87222222198</v>
      </c>
      <c r="D25" s="445">
        <v>12</v>
      </c>
      <c r="E25" s="446">
        <f t="shared" si="39"/>
        <v>4050190.4666666701</v>
      </c>
      <c r="F25" s="446"/>
      <c r="G25" s="446">
        <v>209556.08</v>
      </c>
      <c r="H25" s="446"/>
      <c r="I25" s="446">
        <f t="shared" si="15"/>
        <v>3840634.38666667</v>
      </c>
      <c r="J25" s="446">
        <v>200000</v>
      </c>
      <c r="K25" s="446">
        <v>0.2</v>
      </c>
      <c r="L25" s="446">
        <f>I25*K25</f>
        <v>768126.87733333395</v>
      </c>
      <c r="M25" s="446">
        <f>J25+L25</f>
        <v>968126.87733333395</v>
      </c>
      <c r="N25" s="446">
        <f t="shared" si="18"/>
        <v>1177682.9573333301</v>
      </c>
      <c r="O25" s="446">
        <f t="shared" si="19"/>
        <v>2872507.5093333302</v>
      </c>
      <c r="P25" s="446">
        <f>IF(O25&lt;300000,0.07*O25,21000)</f>
        <v>21000</v>
      </c>
      <c r="Q25" s="446">
        <f>IF((O25-300000)&lt;0,0,IF((O25-300000)&lt;300000,0.11*(O25-300000),33000))</f>
        <v>33000</v>
      </c>
      <c r="R25" s="446">
        <f>IF((O25-600000)&lt;0,0,IF((O25-600000)&lt;500000,0.15*(O25-600000),75000))</f>
        <v>75000</v>
      </c>
      <c r="S25" s="446">
        <f>IF((O25-1100000)&lt;0,0,IF((O25-1100000)&lt;500000,0.19*(O25-1100000),95000))</f>
        <v>95000</v>
      </c>
      <c r="T25" s="446">
        <f>IF((O25-1600000)&lt;0,0,IF((O25-1600000)&lt;1600000,0.21*(O25-1600000),336000))</f>
        <v>267226.57695999998</v>
      </c>
      <c r="U25" s="446"/>
      <c r="V25" s="446">
        <f>P25+Q25+R25+S25+T25+U25</f>
        <v>491226.57695999998</v>
      </c>
      <c r="W25" s="453">
        <v>12</v>
      </c>
      <c r="X25" s="446">
        <f>V25/W25</f>
        <v>40935.54808</v>
      </c>
      <c r="Y25" s="446"/>
      <c r="Z25" s="457">
        <f>X25</f>
        <v>40935.54808</v>
      </c>
    </row>
    <row r="26" spans="1:26" ht="18">
      <c r="A26" s="595"/>
      <c r="B26" s="10"/>
      <c r="C26" s="597"/>
      <c r="D26" s="598"/>
      <c r="E26" s="599"/>
      <c r="F26" s="599"/>
      <c r="G26" s="599"/>
      <c r="H26" s="599"/>
      <c r="I26" s="599"/>
      <c r="J26" s="599"/>
      <c r="K26" s="599"/>
      <c r="L26" s="599"/>
      <c r="M26" s="599"/>
      <c r="N26" s="599"/>
      <c r="O26" s="599"/>
      <c r="P26" s="599"/>
      <c r="Q26" s="599"/>
      <c r="R26" s="599"/>
      <c r="S26" s="599"/>
      <c r="T26" s="599"/>
      <c r="U26" s="446"/>
      <c r="V26" s="599"/>
      <c r="W26" s="602"/>
      <c r="X26" s="599"/>
      <c r="Y26" s="599"/>
      <c r="Z26" s="457"/>
    </row>
    <row r="27" spans="1:26" ht="18">
      <c r="A27" s="595">
        <v>8</v>
      </c>
      <c r="B27" s="17" t="s">
        <v>62</v>
      </c>
      <c r="C27" s="597">
        <v>260955.933333333</v>
      </c>
      <c r="D27" s="598">
        <v>12</v>
      </c>
      <c r="E27" s="599">
        <f t="shared" si="39"/>
        <v>3131471.2</v>
      </c>
      <c r="F27" s="599"/>
      <c r="G27" s="599">
        <v>374638.96</v>
      </c>
      <c r="H27" s="599"/>
      <c r="I27" s="599">
        <f t="shared" si="15"/>
        <v>2756832.24</v>
      </c>
      <c r="J27" s="599">
        <v>200000</v>
      </c>
      <c r="K27" s="599">
        <v>0.2</v>
      </c>
      <c r="L27" s="599">
        <f t="shared" ref="L27:L29" si="40">I27*K27</f>
        <v>551366.44799999997</v>
      </c>
      <c r="M27" s="599">
        <f t="shared" ref="M27:M29" si="41">J27+L27</f>
        <v>751366.44799999997</v>
      </c>
      <c r="N27" s="599">
        <f t="shared" si="18"/>
        <v>1126005.4080000001</v>
      </c>
      <c r="O27" s="599">
        <f t="shared" si="19"/>
        <v>2005465.7919999999</v>
      </c>
      <c r="P27" s="599">
        <f t="shared" ref="P27:P29" si="42">IF(O27&lt;300000,0.07*O27,21000)</f>
        <v>21000</v>
      </c>
      <c r="Q27" s="599">
        <f t="shared" ref="Q27:Q29" si="43">IF((O27-300000)&lt;0,0,IF((O27-300000)&lt;300000,0.11*(O27-300000),33000))</f>
        <v>33000</v>
      </c>
      <c r="R27" s="599">
        <f t="shared" ref="R27:R29" si="44">IF((O27-600000)&lt;0,0,IF((O27-600000)&lt;500000,0.15*(O27-600000),75000))</f>
        <v>75000</v>
      </c>
      <c r="S27" s="599">
        <f t="shared" ref="S27:S29" si="45">IF((O27-1100000)&lt;0,0,IF((O27-1100000)&lt;500000,0.19*(O27-1100000),95000))</f>
        <v>95000</v>
      </c>
      <c r="T27" s="599">
        <f t="shared" ref="T27:T29" si="46">IF((O27-1600000)&lt;0,0,IF((O27-1600000)&lt;1600000,0.21*(O27-1600000),336000))</f>
        <v>85147.816319999794</v>
      </c>
      <c r="U27" s="446"/>
      <c r="V27" s="599">
        <f t="shared" ref="V27:V29" si="47">P27+Q27+R27+S27+T27+U27</f>
        <v>309147.81631999998</v>
      </c>
      <c r="W27" s="602">
        <v>12</v>
      </c>
      <c r="X27" s="599">
        <f t="shared" ref="X27:X29" si="48">V27/W27</f>
        <v>25762.318026666599</v>
      </c>
      <c r="Y27" s="599"/>
      <c r="Z27" s="457">
        <f t="shared" ref="Z27:Z29" si="49">X27</f>
        <v>25762.318026666599</v>
      </c>
    </row>
    <row r="28" spans="1:26" ht="36">
      <c r="A28" s="443">
        <v>9</v>
      </c>
      <c r="B28" s="17" t="s">
        <v>64</v>
      </c>
      <c r="C28" s="444">
        <v>260955.933333333</v>
      </c>
      <c r="D28" s="445">
        <v>12</v>
      </c>
      <c r="E28" s="446">
        <f t="shared" si="39"/>
        <v>3131471.2</v>
      </c>
      <c r="F28" s="446"/>
      <c r="G28" s="446">
        <v>209556.08</v>
      </c>
      <c r="H28" s="446"/>
      <c r="I28" s="446">
        <f t="shared" si="15"/>
        <v>2921915.12</v>
      </c>
      <c r="J28" s="446">
        <v>200000</v>
      </c>
      <c r="K28" s="446">
        <v>0.2</v>
      </c>
      <c r="L28" s="446">
        <f t="shared" si="40"/>
        <v>584383.02399999998</v>
      </c>
      <c r="M28" s="446">
        <f t="shared" si="41"/>
        <v>784383.02399999998</v>
      </c>
      <c r="N28" s="446">
        <f t="shared" si="18"/>
        <v>993939.10400000005</v>
      </c>
      <c r="O28" s="446">
        <f t="shared" si="19"/>
        <v>2137532.0959999999</v>
      </c>
      <c r="P28" s="446">
        <f t="shared" si="42"/>
        <v>21000</v>
      </c>
      <c r="Q28" s="446">
        <f t="shared" si="43"/>
        <v>33000</v>
      </c>
      <c r="R28" s="446">
        <f t="shared" si="44"/>
        <v>75000</v>
      </c>
      <c r="S28" s="446">
        <f t="shared" si="45"/>
        <v>95000</v>
      </c>
      <c r="T28" s="446">
        <f t="shared" si="46"/>
        <v>112881.74016</v>
      </c>
      <c r="U28" s="446"/>
      <c r="V28" s="446">
        <f t="shared" si="47"/>
        <v>336881.74015999999</v>
      </c>
      <c r="W28" s="453">
        <v>12</v>
      </c>
      <c r="X28" s="446">
        <f t="shared" si="48"/>
        <v>28073.4783466667</v>
      </c>
      <c r="Y28" s="446"/>
      <c r="Z28" s="457">
        <f t="shared" si="49"/>
        <v>28073.4783466667</v>
      </c>
    </row>
    <row r="29" spans="1:26" ht="18">
      <c r="A29" s="595">
        <v>10</v>
      </c>
      <c r="B29" s="17" t="s">
        <v>65</v>
      </c>
      <c r="C29" s="597">
        <v>212191.72222222199</v>
      </c>
      <c r="D29" s="598">
        <v>12</v>
      </c>
      <c r="E29" s="599">
        <f t="shared" si="39"/>
        <v>2546300.66666666</v>
      </c>
      <c r="F29" s="599"/>
      <c r="G29" s="599">
        <v>209556.08</v>
      </c>
      <c r="H29" s="599"/>
      <c r="I29" s="599">
        <f t="shared" si="15"/>
        <v>2336744.5866666599</v>
      </c>
      <c r="J29" s="599">
        <v>200000</v>
      </c>
      <c r="K29" s="599">
        <v>0.2</v>
      </c>
      <c r="L29" s="599">
        <f t="shared" si="40"/>
        <v>467348.917333333</v>
      </c>
      <c r="M29" s="599">
        <f t="shared" si="41"/>
        <v>667348.91733333305</v>
      </c>
      <c r="N29" s="599">
        <f t="shared" si="18"/>
        <v>876904.99733333196</v>
      </c>
      <c r="O29" s="599">
        <f t="shared" si="19"/>
        <v>1669395.6693333299</v>
      </c>
      <c r="P29" s="599">
        <f t="shared" si="42"/>
        <v>21000</v>
      </c>
      <c r="Q29" s="599">
        <f t="shared" si="43"/>
        <v>33000</v>
      </c>
      <c r="R29" s="599">
        <f t="shared" si="44"/>
        <v>75000</v>
      </c>
      <c r="S29" s="599">
        <f t="shared" si="45"/>
        <v>95000</v>
      </c>
      <c r="T29" s="599">
        <f t="shared" si="46"/>
        <v>14573.0905599996</v>
      </c>
      <c r="U29" s="446"/>
      <c r="V29" s="599">
        <f t="shared" si="47"/>
        <v>238573.09056000001</v>
      </c>
      <c r="W29" s="602">
        <v>12</v>
      </c>
      <c r="X29" s="599">
        <f t="shared" si="48"/>
        <v>19881.09088</v>
      </c>
      <c r="Y29" s="599"/>
      <c r="Z29" s="457">
        <f t="shared" si="49"/>
        <v>19881.09088</v>
      </c>
    </row>
    <row r="30" spans="1:26" ht="18">
      <c r="A30" s="443"/>
      <c r="B30" s="10"/>
      <c r="C30" s="444"/>
      <c r="D30" s="445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53"/>
      <c r="X30" s="446"/>
      <c r="Y30" s="446"/>
      <c r="Z30" s="457"/>
    </row>
    <row r="31" spans="1:26" ht="18">
      <c r="A31" s="595">
        <v>7</v>
      </c>
      <c r="B31" s="17" t="s">
        <v>68</v>
      </c>
      <c r="C31" s="597">
        <v>196744.227777778</v>
      </c>
      <c r="D31" s="598">
        <v>12</v>
      </c>
      <c r="E31" s="599">
        <f t="shared" si="39"/>
        <v>2360930.7333333301</v>
      </c>
      <c r="F31" s="599"/>
      <c r="G31" s="599">
        <v>281308.48</v>
      </c>
      <c r="H31" s="599"/>
      <c r="I31" s="599">
        <f t="shared" ref="I31:I35" si="50">E31-F31-G31-H31</f>
        <v>2079622.2533333299</v>
      </c>
      <c r="J31" s="599">
        <v>200000</v>
      </c>
      <c r="K31" s="599">
        <v>0.2</v>
      </c>
      <c r="L31" s="599">
        <f t="shared" ref="L31:L35" si="51">I31*K31</f>
        <v>415924.45066666597</v>
      </c>
      <c r="M31" s="599">
        <f t="shared" ref="M31:M35" si="52">J31+L31</f>
        <v>615924.45066666603</v>
      </c>
      <c r="N31" s="599">
        <f t="shared" ref="N31:N35" si="53">F31+G31+H31+M31</f>
        <v>897232.93066666601</v>
      </c>
      <c r="O31" s="599">
        <f t="shared" ref="O31:O35" si="54">E31-N31</f>
        <v>1463697.8026666599</v>
      </c>
      <c r="P31" s="599">
        <f t="shared" ref="P31:P35" si="55">IF(O31&lt;300000,0.07*O31,21000)</f>
        <v>21000</v>
      </c>
      <c r="Q31" s="599">
        <f t="shared" ref="Q31:Q35" si="56">IF((O31-300000)&lt;0,0,IF((O31-300000)&lt;300000,0.11*(O31-300000),33000))</f>
        <v>33000</v>
      </c>
      <c r="R31" s="599">
        <f t="shared" ref="R31:R35" si="57">IF((O31-600000)&lt;0,0,IF((O31-600000)&lt;500000,0.15*(O31-600000),75000))</f>
        <v>75000</v>
      </c>
      <c r="S31" s="599">
        <f t="shared" ref="S31:S35" si="58">IF((O31-1100000)&lt;0,0,IF((O31-1100000)&lt;500000,0.19*(O31-1100000),95000))</f>
        <v>69102.582506666105</v>
      </c>
      <c r="T31" s="599">
        <f t="shared" ref="T31:T35" si="59">IF((O31-1600000)&lt;0,0,IF((O31-1600000)&lt;1600000,0.21*(O31-1600000),336000))</f>
        <v>0</v>
      </c>
      <c r="U31" s="446"/>
      <c r="V31" s="599">
        <f t="shared" ref="V31:V35" si="60">P31+Q31+R31+S31+T31+U31</f>
        <v>198102.58250666599</v>
      </c>
      <c r="W31" s="602">
        <v>12</v>
      </c>
      <c r="X31" s="599">
        <f t="shared" ref="X31:X35" si="61">V31/W31</f>
        <v>16508.548542222201</v>
      </c>
      <c r="Y31" s="599"/>
      <c r="Z31" s="457">
        <f t="shared" ref="Z31:Z35" si="62">X31</f>
        <v>16508.548542222201</v>
      </c>
    </row>
    <row r="32" spans="1:26" ht="18">
      <c r="A32" s="595"/>
      <c r="B32" s="10"/>
      <c r="C32" s="597"/>
      <c r="D32" s="598"/>
      <c r="E32" s="599"/>
      <c r="F32" s="599"/>
      <c r="G32" s="599"/>
      <c r="H32" s="599"/>
      <c r="I32" s="599"/>
      <c r="J32" s="599"/>
      <c r="K32" s="599"/>
      <c r="L32" s="599"/>
      <c r="M32" s="599"/>
      <c r="N32" s="599"/>
      <c r="O32" s="599"/>
      <c r="P32" s="599"/>
      <c r="Q32" s="599"/>
      <c r="R32" s="599"/>
      <c r="S32" s="599"/>
      <c r="T32" s="599"/>
      <c r="U32" s="446"/>
      <c r="V32" s="599"/>
      <c r="W32" s="602"/>
      <c r="X32" s="599"/>
      <c r="Y32" s="599"/>
      <c r="Z32" s="457"/>
    </row>
    <row r="33" spans="1:26" ht="18">
      <c r="A33" s="443">
        <v>9</v>
      </c>
      <c r="B33" s="17" t="s">
        <v>72</v>
      </c>
      <c r="C33" s="444">
        <v>353029.67</v>
      </c>
      <c r="D33" s="445">
        <v>12</v>
      </c>
      <c r="E33" s="446">
        <f t="shared" si="39"/>
        <v>4236356.04</v>
      </c>
      <c r="F33" s="446"/>
      <c r="G33" s="446">
        <v>209556.08</v>
      </c>
      <c r="H33" s="446"/>
      <c r="I33" s="446">
        <f t="shared" si="50"/>
        <v>4026799.96</v>
      </c>
      <c r="J33" s="446">
        <v>200000</v>
      </c>
      <c r="K33" s="446">
        <v>0.2</v>
      </c>
      <c r="L33" s="446">
        <f t="shared" si="51"/>
        <v>805359.99199999997</v>
      </c>
      <c r="M33" s="446">
        <f t="shared" si="52"/>
        <v>1005359.992</v>
      </c>
      <c r="N33" s="446">
        <f t="shared" si="53"/>
        <v>1214916.0719999999</v>
      </c>
      <c r="O33" s="446">
        <f t="shared" si="54"/>
        <v>3021439.9679999999</v>
      </c>
      <c r="P33" s="446">
        <f t="shared" si="55"/>
        <v>21000</v>
      </c>
      <c r="Q33" s="446">
        <f t="shared" si="56"/>
        <v>33000</v>
      </c>
      <c r="R33" s="446">
        <f t="shared" si="57"/>
        <v>75000</v>
      </c>
      <c r="S33" s="446">
        <f t="shared" si="58"/>
        <v>95000</v>
      </c>
      <c r="T33" s="446">
        <f t="shared" si="59"/>
        <v>298502.39328000002</v>
      </c>
      <c r="U33" s="446"/>
      <c r="V33" s="446">
        <f t="shared" si="60"/>
        <v>522502.39328000002</v>
      </c>
      <c r="W33" s="453">
        <v>12</v>
      </c>
      <c r="X33" s="446">
        <f t="shared" si="61"/>
        <v>43541.866106666697</v>
      </c>
      <c r="Y33" s="446"/>
      <c r="Z33" s="457">
        <f t="shared" si="62"/>
        <v>43541.866106666697</v>
      </c>
    </row>
    <row r="34" spans="1:26" ht="18">
      <c r="A34" s="595">
        <v>10</v>
      </c>
      <c r="B34" s="17" t="s">
        <v>74</v>
      </c>
      <c r="C34" s="597">
        <v>169915.469444444</v>
      </c>
      <c r="D34" s="598">
        <v>12</v>
      </c>
      <c r="E34" s="599">
        <f t="shared" si="39"/>
        <v>2038985.63333333</v>
      </c>
      <c r="F34" s="599"/>
      <c r="G34" s="599">
        <v>209556.08</v>
      </c>
      <c r="H34" s="599"/>
      <c r="I34" s="599">
        <f t="shared" si="50"/>
        <v>1829429.55333333</v>
      </c>
      <c r="J34" s="599">
        <v>200000</v>
      </c>
      <c r="K34" s="599">
        <v>0.2</v>
      </c>
      <c r="L34" s="599">
        <f t="shared" si="51"/>
        <v>365885.91066666599</v>
      </c>
      <c r="M34" s="599">
        <f t="shared" si="52"/>
        <v>565885.91066666599</v>
      </c>
      <c r="N34" s="599">
        <f t="shared" si="53"/>
        <v>775441.99066666595</v>
      </c>
      <c r="O34" s="599">
        <f t="shared" si="54"/>
        <v>1263543.64266666</v>
      </c>
      <c r="P34" s="599">
        <f t="shared" si="55"/>
        <v>21000</v>
      </c>
      <c r="Q34" s="599">
        <f t="shared" si="56"/>
        <v>33000</v>
      </c>
      <c r="R34" s="599">
        <f t="shared" si="57"/>
        <v>75000</v>
      </c>
      <c r="S34" s="599">
        <f t="shared" si="58"/>
        <v>31073.2921066663</v>
      </c>
      <c r="T34" s="599">
        <f t="shared" si="59"/>
        <v>0</v>
      </c>
      <c r="U34" s="446"/>
      <c r="V34" s="599">
        <f t="shared" si="60"/>
        <v>160073.29210666599</v>
      </c>
      <c r="W34" s="602">
        <v>12</v>
      </c>
      <c r="X34" s="599">
        <f t="shared" si="61"/>
        <v>13339.4410088889</v>
      </c>
      <c r="Y34" s="599"/>
      <c r="Z34" s="457">
        <f t="shared" si="62"/>
        <v>13339.4410088889</v>
      </c>
    </row>
    <row r="35" spans="1:26" ht="18">
      <c r="A35" s="443">
        <v>3</v>
      </c>
      <c r="B35" s="17" t="s">
        <v>76</v>
      </c>
      <c r="C35" s="444">
        <v>268287.58333333302</v>
      </c>
      <c r="D35" s="445">
        <v>12</v>
      </c>
      <c r="E35" s="446">
        <f t="shared" si="39"/>
        <v>3219451</v>
      </c>
      <c r="F35" s="446"/>
      <c r="G35" s="446">
        <v>209556.08</v>
      </c>
      <c r="H35" s="446"/>
      <c r="I35" s="446">
        <f t="shared" si="50"/>
        <v>3009894.92</v>
      </c>
      <c r="J35" s="446">
        <v>200000</v>
      </c>
      <c r="K35" s="446">
        <v>0.2</v>
      </c>
      <c r="L35" s="446">
        <f t="shared" si="51"/>
        <v>601978.98400000005</v>
      </c>
      <c r="M35" s="446">
        <f t="shared" si="52"/>
        <v>801978.98400000005</v>
      </c>
      <c r="N35" s="446">
        <f t="shared" si="53"/>
        <v>1011535.064</v>
      </c>
      <c r="O35" s="446">
        <f t="shared" si="54"/>
        <v>2207915.9360000002</v>
      </c>
      <c r="P35" s="446">
        <f t="shared" si="55"/>
        <v>21000</v>
      </c>
      <c r="Q35" s="446">
        <f t="shared" si="56"/>
        <v>33000</v>
      </c>
      <c r="R35" s="446">
        <f t="shared" si="57"/>
        <v>75000</v>
      </c>
      <c r="S35" s="446">
        <f t="shared" si="58"/>
        <v>95000</v>
      </c>
      <c r="T35" s="446">
        <f t="shared" si="59"/>
        <v>127662.34656000001</v>
      </c>
      <c r="U35" s="446"/>
      <c r="V35" s="446">
        <f t="shared" si="60"/>
        <v>351662.34655999998</v>
      </c>
      <c r="W35" s="453">
        <v>12</v>
      </c>
      <c r="X35" s="446">
        <f t="shared" si="61"/>
        <v>29305.195546666699</v>
      </c>
      <c r="Y35" s="446"/>
      <c r="Z35" s="457">
        <f t="shared" si="62"/>
        <v>29305.195546666699</v>
      </c>
    </row>
    <row r="37" spans="1:26" ht="13">
      <c r="V37" s="643" t="s">
        <v>167</v>
      </c>
      <c r="X37" s="688">
        <f>SUM(X6:X36)</f>
        <v>575190.05136888905</v>
      </c>
      <c r="Y37" s="688">
        <f t="shared" ref="Y37:Z37" si="63">SUM(Y6:Y36)</f>
        <v>0</v>
      </c>
      <c r="Z37" s="688">
        <f t="shared" si="63"/>
        <v>575190.05136888905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F14" sqref="F14"/>
    </sheetView>
  </sheetViews>
  <sheetFormatPr defaultColWidth="9" defaultRowHeight="12.5"/>
  <cols>
    <col min="1" max="1" width="5.453125" customWidth="1"/>
    <col min="2" max="2" width="23.36328125" customWidth="1"/>
    <col min="3" max="3" width="20.36328125" customWidth="1"/>
    <col min="5" max="5" width="12.08984375" customWidth="1"/>
    <col min="7" max="7" width="12.08984375" customWidth="1"/>
    <col min="10" max="10" width="12.08984375" customWidth="1"/>
    <col min="15" max="17" width="11" customWidth="1"/>
    <col min="18" max="19" width="12.08984375" customWidth="1"/>
  </cols>
  <sheetData>
    <row r="1" spans="1:20" s="1" customFormat="1" ht="49.5" customHeight="1">
      <c r="A1" s="260"/>
      <c r="B1" s="674" t="s">
        <v>2</v>
      </c>
      <c r="C1" s="675" t="s">
        <v>3</v>
      </c>
      <c r="D1" s="676" t="s">
        <v>4</v>
      </c>
      <c r="E1" s="677" t="s">
        <v>5</v>
      </c>
      <c r="F1" s="677" t="s">
        <v>6</v>
      </c>
      <c r="G1" s="677" t="s">
        <v>7</v>
      </c>
      <c r="H1" s="677" t="s">
        <v>7</v>
      </c>
      <c r="I1" s="677" t="s">
        <v>8</v>
      </c>
      <c r="J1" s="682" t="s">
        <v>9</v>
      </c>
      <c r="K1" s="677" t="s">
        <v>10</v>
      </c>
      <c r="L1" s="677" t="s">
        <v>11</v>
      </c>
      <c r="M1" s="677" t="s">
        <v>12</v>
      </c>
      <c r="N1" s="677" t="s">
        <v>13</v>
      </c>
      <c r="O1" s="683" t="s">
        <v>14</v>
      </c>
      <c r="P1" s="677" t="s">
        <v>15</v>
      </c>
      <c r="Q1" s="682" t="s">
        <v>17</v>
      </c>
      <c r="R1" s="685" t="s">
        <v>168</v>
      </c>
      <c r="S1" s="686" t="s">
        <v>18</v>
      </c>
    </row>
    <row r="2" spans="1:20" s="1" customFormat="1" ht="17.25" customHeight="1">
      <c r="A2" s="678"/>
      <c r="B2" s="678"/>
      <c r="C2" s="679"/>
      <c r="D2" s="679"/>
      <c r="E2" s="680" t="s">
        <v>20</v>
      </c>
      <c r="F2" s="680" t="s">
        <v>20</v>
      </c>
      <c r="G2" s="680" t="s">
        <v>20</v>
      </c>
      <c r="H2" s="680" t="s">
        <v>20</v>
      </c>
      <c r="I2" s="680" t="s">
        <v>20</v>
      </c>
      <c r="J2" s="684" t="s">
        <v>20</v>
      </c>
      <c r="K2" s="680" t="s">
        <v>20</v>
      </c>
      <c r="L2" s="680" t="s">
        <v>20</v>
      </c>
      <c r="M2" s="680" t="s">
        <v>20</v>
      </c>
      <c r="N2" s="680" t="s">
        <v>20</v>
      </c>
      <c r="O2" s="680" t="s">
        <v>20</v>
      </c>
      <c r="P2" s="680" t="s">
        <v>20</v>
      </c>
      <c r="Q2" s="684" t="s">
        <v>20</v>
      </c>
      <c r="R2" s="680" t="s">
        <v>20</v>
      </c>
      <c r="S2" s="684" t="s">
        <v>20</v>
      </c>
    </row>
    <row r="3" spans="1:20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</row>
    <row r="5" spans="1:20" s="1" customFormat="1" ht="20.149999999999999" customHeight="1">
      <c r="A5" s="681">
        <v>1</v>
      </c>
      <c r="B5" s="328" t="s">
        <v>40</v>
      </c>
      <c r="C5" s="72" t="s">
        <v>41</v>
      </c>
      <c r="D5" s="624" t="s">
        <v>42</v>
      </c>
      <c r="E5" s="626">
        <f>353512.5</f>
        <v>353512.5</v>
      </c>
      <c r="F5" s="625"/>
      <c r="G5" s="626">
        <f>110000</f>
        <v>110000</v>
      </c>
      <c r="H5" s="626"/>
      <c r="I5" s="625"/>
      <c r="J5" s="636">
        <f t="shared" ref="J5" si="0">SUM(E5:I5)</f>
        <v>463512.5</v>
      </c>
      <c r="K5" s="625"/>
      <c r="L5" s="625"/>
      <c r="M5" s="625"/>
      <c r="N5" s="625"/>
      <c r="O5" s="625">
        <v>62231.114666666697</v>
      </c>
      <c r="P5" s="625">
        <v>28281</v>
      </c>
      <c r="Q5" s="636">
        <f t="shared" ref="Q5" si="1">O5+N5+M5+L5+K5+P5</f>
        <v>90512.114666666705</v>
      </c>
      <c r="R5" s="625">
        <v>262318.46544</v>
      </c>
      <c r="S5" s="687">
        <v>262318.46999999997</v>
      </c>
      <c r="T5" s="1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C15" sqref="C15"/>
    </sheetView>
  </sheetViews>
  <sheetFormatPr defaultColWidth="9"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" customFormat="1" ht="49.5" customHeight="1">
      <c r="B4" s="668" t="s">
        <v>2</v>
      </c>
      <c r="C4" s="669" t="s">
        <v>3</v>
      </c>
      <c r="D4" s="670" t="s">
        <v>4</v>
      </c>
      <c r="E4" s="661" t="s">
        <v>5</v>
      </c>
      <c r="F4" s="661" t="s">
        <v>7</v>
      </c>
      <c r="G4" s="661" t="s">
        <v>8</v>
      </c>
      <c r="H4" s="671" t="s">
        <v>9</v>
      </c>
      <c r="I4" s="661" t="s">
        <v>169</v>
      </c>
      <c r="J4" s="661" t="s">
        <v>15</v>
      </c>
      <c r="K4" s="672" t="s">
        <v>17</v>
      </c>
      <c r="L4" s="673" t="s">
        <v>170</v>
      </c>
    </row>
    <row r="5" spans="1:13" s="1" customFormat="1" ht="37.5" customHeight="1">
      <c r="A5" s="1">
        <v>1</v>
      </c>
      <c r="B5" s="328" t="s">
        <v>171</v>
      </c>
      <c r="C5" s="69" t="s">
        <v>172</v>
      </c>
      <c r="D5" s="14" t="s">
        <v>173</v>
      </c>
      <c r="E5" s="71">
        <v>83955</v>
      </c>
      <c r="F5" s="201">
        <f>20000</f>
        <v>20000</v>
      </c>
      <c r="G5" s="71">
        <f>4000+3000</f>
        <v>7000</v>
      </c>
      <c r="H5" s="488">
        <f>SUM(E5:G5)</f>
        <v>110955</v>
      </c>
      <c r="I5" s="71">
        <v>5719.04</v>
      </c>
      <c r="J5" s="71"/>
      <c r="K5" s="489">
        <v>5719.04</v>
      </c>
      <c r="L5" s="488">
        <f>H5-K5</f>
        <v>105235.96</v>
      </c>
      <c r="M5" s="12"/>
    </row>
    <row r="6" spans="1:13" ht="31.5">
      <c r="B6" s="328" t="s">
        <v>174</v>
      </c>
      <c r="C6" s="69"/>
      <c r="D6" s="14"/>
      <c r="E6" s="71">
        <v>83955</v>
      </c>
      <c r="F6" s="201">
        <f>20000</f>
        <v>20000</v>
      </c>
      <c r="G6" s="71">
        <f t="shared" ref="G6" si="0">4000+3000</f>
        <v>7000</v>
      </c>
      <c r="H6" s="488">
        <f>SUM(E6:G6)*(12/31)</f>
        <v>42950.322580645203</v>
      </c>
      <c r="I6" s="71">
        <v>3127.74</v>
      </c>
      <c r="J6" s="71">
        <v>0</v>
      </c>
      <c r="K6" s="489">
        <v>3127.74</v>
      </c>
      <c r="L6" s="488">
        <f t="shared" ref="L6:L7" si="1">H6-K6</f>
        <v>39822.582580645198</v>
      </c>
    </row>
    <row r="7" spans="1:13" ht="31.5">
      <c r="A7" s="1">
        <v>2</v>
      </c>
      <c r="B7" s="328" t="s">
        <v>175</v>
      </c>
      <c r="C7" s="69" t="s">
        <v>176</v>
      </c>
      <c r="D7" s="14" t="s">
        <v>177</v>
      </c>
      <c r="E7" s="71">
        <v>255849</v>
      </c>
      <c r="F7" s="201">
        <v>60000</v>
      </c>
      <c r="G7" s="71"/>
      <c r="H7" s="488">
        <f>SUM(E7:G7)</f>
        <v>315849</v>
      </c>
      <c r="I7" s="71">
        <f>36790.6881</f>
        <v>36790.688099999999</v>
      </c>
      <c r="J7" s="71" t="e">
        <f>'NOV 2024 NEW'!#REF!</f>
        <v>#REF!</v>
      </c>
      <c r="K7" s="489" t="e">
        <f>I7+J7</f>
        <v>#REF!</v>
      </c>
      <c r="L7" s="488" t="e">
        <f t="shared" si="1"/>
        <v>#REF!</v>
      </c>
    </row>
    <row r="8" spans="1:13" ht="28.5" customHeight="1">
      <c r="A8" s="1"/>
      <c r="B8" s="21" t="s">
        <v>34</v>
      </c>
      <c r="C8" s="11"/>
      <c r="D8" s="14"/>
      <c r="E8" s="71"/>
      <c r="F8" s="201"/>
      <c r="G8" s="71"/>
      <c r="H8" s="488"/>
      <c r="I8" s="71"/>
      <c r="J8" s="71"/>
      <c r="K8" s="489"/>
      <c r="L8" s="495" t="e">
        <f>SUM(L6:L7)</f>
        <v>#REF!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782" t="s">
        <v>178</v>
      </c>
      <c r="B1" s="782"/>
      <c r="C1" s="782"/>
      <c r="D1" s="782"/>
      <c r="E1" s="782"/>
      <c r="F1" s="782"/>
    </row>
    <row r="2" spans="1:6" ht="49" customHeight="1">
      <c r="A2" s="56" t="s">
        <v>21</v>
      </c>
      <c r="B2" s="41" t="s">
        <v>146</v>
      </c>
      <c r="C2" s="666" t="s">
        <v>4</v>
      </c>
      <c r="D2" s="240" t="s">
        <v>179</v>
      </c>
      <c r="E2" s="240" t="s">
        <v>180</v>
      </c>
      <c r="F2" s="240" t="s">
        <v>181</v>
      </c>
    </row>
    <row r="3" spans="1:6" ht="30" customHeight="1">
      <c r="A3" s="46">
        <v>1</v>
      </c>
      <c r="B3" s="42" t="s">
        <v>182</v>
      </c>
      <c r="C3" s="46">
        <v>13</v>
      </c>
      <c r="D3" s="242">
        <f>25000*28</f>
        <v>700000</v>
      </c>
      <c r="E3" s="242">
        <v>104125.33</v>
      </c>
      <c r="F3" s="242">
        <f>D3-E3</f>
        <v>595874.67000000004</v>
      </c>
    </row>
    <row r="4" spans="1:6" ht="30" customHeight="1">
      <c r="A4" s="46">
        <v>2</v>
      </c>
      <c r="B4" s="243" t="s">
        <v>183</v>
      </c>
      <c r="C4" s="46">
        <v>13</v>
      </c>
      <c r="D4" s="242">
        <f>25000*28</f>
        <v>700000</v>
      </c>
      <c r="E4" s="242">
        <v>104125.33</v>
      </c>
      <c r="F4" s="242">
        <f t="shared" ref="F4:F10" si="0">D4-E4</f>
        <v>595874.67000000004</v>
      </c>
    </row>
    <row r="5" spans="1:6" ht="30" customHeight="1">
      <c r="A5" s="46">
        <v>3</v>
      </c>
      <c r="B5" s="243" t="s">
        <v>184</v>
      </c>
      <c r="C5" s="46">
        <v>10</v>
      </c>
      <c r="D5" s="242">
        <f t="shared" ref="D5:D10" si="1">20000*28</f>
        <v>560000</v>
      </c>
      <c r="E5" s="242">
        <f t="shared" ref="E5:E10" si="2">86186.67</f>
        <v>86186.67</v>
      </c>
      <c r="F5" s="242">
        <f t="shared" si="0"/>
        <v>473813.33</v>
      </c>
    </row>
    <row r="6" spans="1:6" ht="35.5" customHeight="1">
      <c r="A6" s="46">
        <v>4</v>
      </c>
      <c r="B6" s="243" t="s">
        <v>185</v>
      </c>
      <c r="C6" s="756" t="s">
        <v>186</v>
      </c>
      <c r="D6" s="242">
        <f t="shared" si="1"/>
        <v>560000</v>
      </c>
      <c r="E6" s="242">
        <f t="shared" si="2"/>
        <v>86186.67</v>
      </c>
      <c r="F6" s="242">
        <f t="shared" si="0"/>
        <v>473813.33</v>
      </c>
    </row>
    <row r="7" spans="1:6" ht="30" customHeight="1">
      <c r="A7" s="46">
        <v>5</v>
      </c>
      <c r="B7" s="243" t="s">
        <v>187</v>
      </c>
      <c r="C7" s="756" t="s">
        <v>188</v>
      </c>
      <c r="D7" s="242">
        <f t="shared" si="1"/>
        <v>560000</v>
      </c>
      <c r="E7" s="242">
        <f t="shared" si="2"/>
        <v>86186.67</v>
      </c>
      <c r="F7" s="242">
        <f t="shared" si="0"/>
        <v>473813.33</v>
      </c>
    </row>
    <row r="8" spans="1:6" ht="36" customHeight="1">
      <c r="A8" s="46">
        <v>6</v>
      </c>
      <c r="B8" s="243" t="s">
        <v>189</v>
      </c>
      <c r="C8" s="756" t="s">
        <v>188</v>
      </c>
      <c r="D8" s="242">
        <f t="shared" si="1"/>
        <v>560000</v>
      </c>
      <c r="E8" s="242">
        <f t="shared" si="2"/>
        <v>86186.67</v>
      </c>
      <c r="F8" s="242">
        <f t="shared" si="0"/>
        <v>473813.33</v>
      </c>
    </row>
    <row r="9" spans="1:6" ht="30" customHeight="1">
      <c r="A9" s="46">
        <v>7</v>
      </c>
      <c r="B9" s="42" t="s">
        <v>190</v>
      </c>
      <c r="C9" s="756" t="s">
        <v>188</v>
      </c>
      <c r="D9" s="242">
        <f t="shared" si="1"/>
        <v>560000</v>
      </c>
      <c r="E9" s="242">
        <f t="shared" si="2"/>
        <v>86186.67</v>
      </c>
      <c r="F9" s="242">
        <f t="shared" si="0"/>
        <v>473813.33</v>
      </c>
    </row>
    <row r="10" spans="1:6" ht="30" customHeight="1">
      <c r="A10" s="46">
        <v>8</v>
      </c>
      <c r="B10" s="243" t="s">
        <v>191</v>
      </c>
      <c r="C10" s="756" t="s">
        <v>188</v>
      </c>
      <c r="D10" s="242">
        <f t="shared" si="1"/>
        <v>560000</v>
      </c>
      <c r="E10" s="242">
        <f t="shared" si="2"/>
        <v>86186.67</v>
      </c>
      <c r="F10" s="242">
        <f t="shared" si="0"/>
        <v>473813.33</v>
      </c>
    </row>
    <row r="11" spans="1:6" ht="30" customHeight="1">
      <c r="A11" s="42"/>
      <c r="B11" s="41" t="s">
        <v>34</v>
      </c>
      <c r="C11" s="41"/>
      <c r="D11" s="667">
        <f>SUM(D3:D10)</f>
        <v>4760000</v>
      </c>
      <c r="E11" s="667">
        <f t="shared" ref="E11:F11" si="3">SUM(E3:E10)</f>
        <v>725370.68</v>
      </c>
      <c r="F11" s="667">
        <f t="shared" si="3"/>
        <v>4034629.32</v>
      </c>
    </row>
    <row r="14" spans="1:6" ht="52.5">
      <c r="A14" s="56" t="s">
        <v>21</v>
      </c>
      <c r="B14" s="41" t="s">
        <v>146</v>
      </c>
      <c r="C14" s="666" t="s">
        <v>4</v>
      </c>
      <c r="D14" s="240" t="s">
        <v>179</v>
      </c>
      <c r="E14" s="240" t="s">
        <v>180</v>
      </c>
      <c r="F14" s="240" t="s">
        <v>181</v>
      </c>
    </row>
    <row r="15" spans="1:6" ht="36">
      <c r="B15" s="243" t="s">
        <v>192</v>
      </c>
      <c r="C15" s="756" t="s">
        <v>186</v>
      </c>
      <c r="D15" s="242">
        <f t="shared" ref="D15" si="4">20000*28</f>
        <v>560000</v>
      </c>
      <c r="E15" s="242">
        <f t="shared" ref="E15" si="5">86186.67</f>
        <v>86186.67</v>
      </c>
      <c r="F15" s="242">
        <f t="shared" ref="F15" si="6">D15-E15</f>
        <v>473813.33</v>
      </c>
    </row>
    <row r="16" spans="1:6" ht="18">
      <c r="B16" s="243" t="s">
        <v>193</v>
      </c>
      <c r="C16" s="756" t="s">
        <v>194</v>
      </c>
      <c r="D16" s="242">
        <f>10000*28</f>
        <v>280000</v>
      </c>
      <c r="E16" s="242">
        <v>31272.880000000001</v>
      </c>
      <c r="F16" s="242">
        <f t="shared" ref="F16" si="7">D16-E16</f>
        <v>248727.12</v>
      </c>
    </row>
    <row r="17" spans="2:6" ht="17.5">
      <c r="B17" s="41" t="s">
        <v>34</v>
      </c>
      <c r="C17" s="41"/>
      <c r="D17" s="667">
        <f>SUM(D15:D16)</f>
        <v>840000</v>
      </c>
      <c r="E17" s="667">
        <f t="shared" ref="E17:F17" si="8">SUM(E15:E16)</f>
        <v>117459.55</v>
      </c>
      <c r="F17" s="667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6953125" customWidth="1"/>
    <col min="3" max="3" width="17.1796875" customWidth="1"/>
    <col min="4" max="4" width="14.6328125" customWidth="1"/>
    <col min="5" max="5" width="15.6328125" customWidth="1"/>
    <col min="6" max="6" width="14.54296875" customWidth="1"/>
    <col min="8" max="8" width="15.6328125" customWidth="1"/>
    <col min="9" max="9" width="13.26953125" customWidth="1"/>
    <col min="10" max="10" width="9.90625" customWidth="1"/>
    <col min="11" max="11" width="13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650" t="s">
        <v>21</v>
      </c>
      <c r="B1" s="76" t="s">
        <v>2</v>
      </c>
      <c r="C1" s="76" t="s">
        <v>3</v>
      </c>
      <c r="D1" s="651" t="s">
        <v>4</v>
      </c>
      <c r="E1" s="76" t="s">
        <v>195</v>
      </c>
      <c r="F1" s="651" t="s">
        <v>196</v>
      </c>
      <c r="G1" s="651" t="s">
        <v>197</v>
      </c>
      <c r="H1" s="651" t="s">
        <v>9</v>
      </c>
      <c r="I1" s="783" t="s">
        <v>101</v>
      </c>
      <c r="J1" s="783"/>
      <c r="K1" s="783"/>
      <c r="L1" s="783"/>
      <c r="M1" s="783"/>
      <c r="N1" s="784" t="s">
        <v>198</v>
      </c>
    </row>
    <row r="2" spans="1:14" ht="55" customHeight="1">
      <c r="A2" s="650"/>
      <c r="B2" s="76"/>
      <c r="C2" s="76"/>
      <c r="D2" s="76"/>
      <c r="E2" s="76"/>
      <c r="F2" s="651"/>
      <c r="G2" s="651"/>
      <c r="H2" s="76"/>
      <c r="I2" s="661" t="s">
        <v>199</v>
      </c>
      <c r="J2" s="661" t="s">
        <v>200</v>
      </c>
      <c r="K2" s="661" t="s">
        <v>201</v>
      </c>
      <c r="L2" s="661" t="s">
        <v>202</v>
      </c>
      <c r="M2" s="661" t="s">
        <v>17</v>
      </c>
      <c r="N2" s="784"/>
    </row>
    <row r="3" spans="1:14" ht="17.5">
      <c r="A3" s="8"/>
      <c r="B3" s="4"/>
      <c r="C3" s="4"/>
      <c r="D3" s="4"/>
      <c r="E3" s="4"/>
      <c r="F3" s="652"/>
      <c r="G3" s="652"/>
      <c r="H3" s="4"/>
      <c r="I3" s="652"/>
      <c r="J3" s="652"/>
      <c r="K3" s="652"/>
      <c r="L3" s="652"/>
      <c r="M3" s="652"/>
      <c r="N3" s="662"/>
    </row>
    <row r="4" spans="1:14" ht="18">
      <c r="A4" s="3"/>
      <c r="B4" s="3"/>
      <c r="C4" s="3"/>
      <c r="D4" s="3"/>
      <c r="E4" s="653" t="s">
        <v>20</v>
      </c>
      <c r="F4" s="653" t="s">
        <v>20</v>
      </c>
      <c r="G4" s="653" t="s">
        <v>20</v>
      </c>
      <c r="H4" s="653" t="s">
        <v>20</v>
      </c>
      <c r="I4" s="653" t="s">
        <v>20</v>
      </c>
      <c r="J4" s="653" t="s">
        <v>20</v>
      </c>
      <c r="K4" s="653" t="s">
        <v>20</v>
      </c>
      <c r="L4" s="653" t="s">
        <v>20</v>
      </c>
      <c r="M4" s="653" t="s">
        <v>20</v>
      </c>
      <c r="N4" s="663" t="s">
        <v>20</v>
      </c>
    </row>
    <row r="5" spans="1:14" ht="18">
      <c r="A5" s="3">
        <v>1</v>
      </c>
      <c r="B5" s="10" t="s">
        <v>203</v>
      </c>
      <c r="C5" s="42" t="s">
        <v>204</v>
      </c>
      <c r="D5" s="42" t="s">
        <v>31</v>
      </c>
      <c r="E5" s="654">
        <f>'[2]Annual &amp; Monthly'!$H$36</f>
        <v>218287.58333333299</v>
      </c>
      <c r="F5" s="655">
        <v>50000</v>
      </c>
      <c r="G5" s="655"/>
      <c r="H5" s="656">
        <f t="shared" ref="H5:H12" si="0">E5+F5+G5</f>
        <v>268287.58333333302</v>
      </c>
      <c r="I5" s="656">
        <f>50000</f>
        <v>50000</v>
      </c>
      <c r="J5" s="656"/>
      <c r="K5" s="656">
        <v>29305.195546666699</v>
      </c>
      <c r="L5" s="657">
        <f>218287.583333333*0.08</f>
        <v>17463.006666666599</v>
      </c>
      <c r="M5" s="657">
        <f>I5+J5+K5+L5</f>
        <v>96768.202213333294</v>
      </c>
      <c r="N5" s="664">
        <f t="shared" ref="N5:N12" si="1">H5-M5</f>
        <v>171519.38112000001</v>
      </c>
    </row>
    <row r="6" spans="1:14" ht="18">
      <c r="A6" s="3">
        <v>2</v>
      </c>
      <c r="B6" s="10" t="s">
        <v>183</v>
      </c>
      <c r="C6" s="42" t="s">
        <v>205</v>
      </c>
      <c r="D6" s="42" t="s">
        <v>48</v>
      </c>
      <c r="E6" s="654">
        <f>'[2]Annual &amp; Monthly'!$H$40</f>
        <v>390248.91666666698</v>
      </c>
      <c r="F6" s="655">
        <f>70000</f>
        <v>70000</v>
      </c>
      <c r="G6" s="655"/>
      <c r="H6" s="657">
        <f t="shared" si="0"/>
        <v>460248.91666666698</v>
      </c>
      <c r="I6" s="656">
        <v>50000</v>
      </c>
      <c r="J6" s="656"/>
      <c r="K6" s="656">
        <v>61040.235306666698</v>
      </c>
      <c r="L6" s="71">
        <f>390248.916666667*0.08</f>
        <v>31219.913333333399</v>
      </c>
      <c r="M6" s="657">
        <f t="shared" ref="M6:M12" si="2">I6+J6+K6+L6</f>
        <v>142260.14864</v>
      </c>
      <c r="N6" s="664">
        <f t="shared" si="1"/>
        <v>317988.76802666701</v>
      </c>
    </row>
    <row r="7" spans="1:14" ht="18">
      <c r="A7" s="3">
        <v>3</v>
      </c>
      <c r="B7" s="10" t="s">
        <v>206</v>
      </c>
      <c r="C7" s="42" t="s">
        <v>207</v>
      </c>
      <c r="D7" s="42" t="s">
        <v>25</v>
      </c>
      <c r="E7" s="654">
        <f>'[2]Annual &amp; Monthly'!$H$37</f>
        <v>255849</v>
      </c>
      <c r="F7" s="655">
        <f>60000</f>
        <v>60000</v>
      </c>
      <c r="G7" s="655"/>
      <c r="H7" s="657">
        <f t="shared" si="0"/>
        <v>315849</v>
      </c>
      <c r="I7" s="656">
        <v>20000</v>
      </c>
      <c r="J7" s="656"/>
      <c r="K7" s="656">
        <v>36790.688106666697</v>
      </c>
      <c r="L7" s="657">
        <f>255849*0.08</f>
        <v>20467.919999999998</v>
      </c>
      <c r="M7" s="657">
        <f t="shared" si="2"/>
        <v>77258.608106666696</v>
      </c>
      <c r="N7" s="664">
        <f t="shared" si="1"/>
        <v>238590.391893333</v>
      </c>
    </row>
    <row r="8" spans="1:14" ht="36">
      <c r="A8" s="3">
        <v>4</v>
      </c>
      <c r="B8" s="10" t="s">
        <v>208</v>
      </c>
      <c r="C8" s="42" t="s">
        <v>209</v>
      </c>
      <c r="D8" s="42" t="s">
        <v>31</v>
      </c>
      <c r="E8" s="654">
        <v>218287.58333333299</v>
      </c>
      <c r="F8" s="655">
        <f>50000</f>
        <v>50000</v>
      </c>
      <c r="G8" s="655"/>
      <c r="H8" s="657">
        <f t="shared" si="0"/>
        <v>268287.58333333302</v>
      </c>
      <c r="I8" s="656">
        <v>100000</v>
      </c>
      <c r="J8" s="656"/>
      <c r="K8" s="656">
        <v>29305.195546666699</v>
      </c>
      <c r="L8" s="657">
        <f>218287.583333333*0.08</f>
        <v>17463.006666666599</v>
      </c>
      <c r="M8" s="657">
        <f t="shared" si="2"/>
        <v>146768.20221333299</v>
      </c>
      <c r="N8" s="664">
        <f t="shared" si="1"/>
        <v>121519.38112000001</v>
      </c>
    </row>
    <row r="9" spans="1:14" ht="18">
      <c r="A9" s="3">
        <v>5</v>
      </c>
      <c r="B9" s="10" t="s">
        <v>210</v>
      </c>
      <c r="C9" s="42" t="s">
        <v>211</v>
      </c>
      <c r="D9" s="42" t="s">
        <v>38</v>
      </c>
      <c r="E9" s="654">
        <f>'[2]Annual &amp; Monthly'!$H$38</f>
        <v>293029.66666666698</v>
      </c>
      <c r="F9" s="655">
        <f>60000</f>
        <v>60000</v>
      </c>
      <c r="G9" s="655"/>
      <c r="H9" s="657">
        <f t="shared" si="0"/>
        <v>353029.66666666698</v>
      </c>
      <c r="I9" s="656">
        <v>40000</v>
      </c>
      <c r="J9" s="656"/>
      <c r="K9" s="656">
        <v>42537.331946666702</v>
      </c>
      <c r="L9" s="657">
        <f>293029.666666667*0.08</f>
        <v>23442.373333333398</v>
      </c>
      <c r="M9" s="657">
        <f t="shared" si="2"/>
        <v>105979.70527999999</v>
      </c>
      <c r="N9" s="664">
        <f t="shared" si="1"/>
        <v>247049.96138666701</v>
      </c>
    </row>
    <row r="10" spans="1:14" ht="36">
      <c r="A10" s="3">
        <v>6</v>
      </c>
      <c r="B10" s="10" t="s">
        <v>212</v>
      </c>
      <c r="C10" s="42" t="s">
        <v>213</v>
      </c>
      <c r="D10" s="42" t="s">
        <v>48</v>
      </c>
      <c r="E10" s="654">
        <v>390248.91666666698</v>
      </c>
      <c r="F10" s="655">
        <f>120000</f>
        <v>120000</v>
      </c>
      <c r="G10" s="655"/>
      <c r="H10" s="657">
        <f t="shared" si="0"/>
        <v>510248.91666666698</v>
      </c>
      <c r="I10" s="656"/>
      <c r="J10" s="656"/>
      <c r="K10" s="656">
        <v>70640.235306666698</v>
      </c>
      <c r="L10" s="71">
        <f>390248.916666667*0.08</f>
        <v>31219.913333333399</v>
      </c>
      <c r="M10" s="657">
        <f t="shared" si="2"/>
        <v>101860.14864</v>
      </c>
      <c r="N10" s="664">
        <f t="shared" si="1"/>
        <v>408388.76802666701</v>
      </c>
    </row>
    <row r="11" spans="1:14" ht="18">
      <c r="A11" s="3">
        <v>7</v>
      </c>
      <c r="B11" s="10" t="s">
        <v>190</v>
      </c>
      <c r="C11" s="42" t="s">
        <v>214</v>
      </c>
      <c r="D11" s="42" t="s">
        <v>31</v>
      </c>
      <c r="E11" s="654">
        <f>218287.583333333</f>
        <v>218287.58333333299</v>
      </c>
      <c r="F11" s="658">
        <f>50000</f>
        <v>50000</v>
      </c>
      <c r="G11" s="658"/>
      <c r="H11" s="657">
        <f t="shared" si="0"/>
        <v>268287.58333333302</v>
      </c>
      <c r="I11" s="656"/>
      <c r="J11" s="656"/>
      <c r="K11" s="656">
        <v>29305.1955466666</v>
      </c>
      <c r="L11" s="657">
        <f t="shared" ref="L11:L12" si="3">218287.583333333*0.08</f>
        <v>17463.006666666599</v>
      </c>
      <c r="M11" s="657">
        <f t="shared" si="2"/>
        <v>46768.202213333301</v>
      </c>
      <c r="N11" s="664">
        <f t="shared" si="1"/>
        <v>221519.38112000001</v>
      </c>
    </row>
    <row r="12" spans="1:14" ht="36">
      <c r="A12" s="3">
        <v>8</v>
      </c>
      <c r="B12" s="10" t="s">
        <v>191</v>
      </c>
      <c r="C12" s="42" t="s">
        <v>214</v>
      </c>
      <c r="D12" s="42" t="s">
        <v>31</v>
      </c>
      <c r="E12" s="654">
        <f>218287.583333333</f>
        <v>218287.58333333299</v>
      </c>
      <c r="F12" s="658">
        <f>50000</f>
        <v>50000</v>
      </c>
      <c r="G12" s="658"/>
      <c r="H12" s="657">
        <f t="shared" si="0"/>
        <v>268287.58333333302</v>
      </c>
      <c r="I12" s="656"/>
      <c r="J12" s="656"/>
      <c r="K12" s="656">
        <v>29305.1955466666</v>
      </c>
      <c r="L12" s="657">
        <f t="shared" si="3"/>
        <v>17463.006666666599</v>
      </c>
      <c r="M12" s="657">
        <f t="shared" si="2"/>
        <v>46768.202213333301</v>
      </c>
      <c r="N12" s="664">
        <f t="shared" si="1"/>
        <v>221519.38112000001</v>
      </c>
    </row>
    <row r="13" spans="1:14" ht="24" customHeight="1">
      <c r="A13" s="9"/>
      <c r="B13" s="659" t="s">
        <v>34</v>
      </c>
      <c r="C13" s="19"/>
      <c r="D13" s="19"/>
      <c r="E13" s="660">
        <f>SUM(E5:E12)</f>
        <v>2202526.8333333302</v>
      </c>
      <c r="F13" s="660">
        <f t="shared" ref="F13:N13" si="4">SUM(F5:F12)</f>
        <v>510000</v>
      </c>
      <c r="G13" s="660">
        <f t="shared" si="4"/>
        <v>0</v>
      </c>
      <c r="H13" s="660">
        <f t="shared" si="4"/>
        <v>2712526.8333333302</v>
      </c>
      <c r="I13" s="660">
        <f t="shared" si="4"/>
        <v>260000</v>
      </c>
      <c r="J13" s="660">
        <f t="shared" si="4"/>
        <v>0</v>
      </c>
      <c r="K13" s="660">
        <f t="shared" si="4"/>
        <v>328229.27285333298</v>
      </c>
      <c r="L13" s="660">
        <f t="shared" si="4"/>
        <v>176202.14666666699</v>
      </c>
      <c r="M13" s="660">
        <f t="shared" si="4"/>
        <v>764431.41952</v>
      </c>
      <c r="N13" s="665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796875" defaultRowHeight="12.5"/>
  <cols>
    <col min="1" max="1" width="6.81640625" style="274" customWidth="1"/>
    <col min="2" max="2" width="39.1796875" style="274" customWidth="1"/>
    <col min="3" max="3" width="16.81640625" style="274" customWidth="1"/>
    <col min="4" max="4" width="6.7265625" style="274" customWidth="1"/>
    <col min="5" max="5" width="13.1796875" style="274" customWidth="1"/>
    <col min="6" max="6" width="11.1796875" style="274" customWidth="1"/>
    <col min="7" max="7" width="14.453125" style="274" customWidth="1"/>
    <col min="8" max="8" width="5.81640625" style="274" customWidth="1"/>
    <col min="9" max="9" width="12.81640625" style="274" customWidth="1"/>
    <col min="10" max="10" width="11.54296875" style="274" customWidth="1"/>
    <col min="11" max="11" width="6.81640625" style="274" customWidth="1"/>
    <col min="12" max="12" width="10.81640625" style="274" customWidth="1"/>
    <col min="13" max="13" width="12.54296875" style="274" customWidth="1"/>
    <col min="14" max="14" width="11" style="274" customWidth="1"/>
    <col min="15" max="15" width="12.1796875" style="274" customWidth="1"/>
    <col min="16" max="16" width="15.453125" style="274" customWidth="1"/>
    <col min="17" max="17" width="16.54296875" style="274" customWidth="1"/>
    <col min="18" max="18" width="9.81640625" style="274" customWidth="1"/>
    <col min="19" max="19" width="10.54296875" style="274" customWidth="1"/>
    <col min="20" max="20" width="11.54296875" style="274" customWidth="1"/>
    <col min="21" max="21" width="12.453125" style="274" customWidth="1"/>
    <col min="22" max="22" width="14.54296875" style="274" customWidth="1"/>
    <col min="23" max="23" width="9.54296875" style="274" customWidth="1"/>
    <col min="24" max="24" width="15.1796875" style="274" customWidth="1"/>
    <col min="25" max="25" width="9" style="274" customWidth="1"/>
    <col min="26" max="26" width="14.1796875" style="274" customWidth="1"/>
    <col min="27" max="27" width="27.453125" style="274" customWidth="1"/>
    <col min="28" max="16384" width="9.1796875" style="274"/>
  </cols>
  <sheetData>
    <row r="1" spans="1:29" ht="13" hidden="1">
      <c r="A1" s="779" t="s">
        <v>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454"/>
    </row>
    <row r="2" spans="1:29" ht="13" hidden="1">
      <c r="A2" s="780" t="s">
        <v>143</v>
      </c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454"/>
    </row>
    <row r="3" spans="1:29" ht="13" hidden="1">
      <c r="A3" s="781" t="s">
        <v>144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454"/>
    </row>
    <row r="4" spans="1:29" ht="83.25" customHeight="1">
      <c r="A4" s="440" t="s">
        <v>145</v>
      </c>
      <c r="B4" s="441" t="s">
        <v>146</v>
      </c>
      <c r="C4" s="442" t="s">
        <v>147</v>
      </c>
      <c r="D4" s="441" t="s">
        <v>148</v>
      </c>
      <c r="E4" s="442" t="s">
        <v>149</v>
      </c>
      <c r="F4" s="442" t="s">
        <v>150</v>
      </c>
      <c r="G4" s="442" t="s">
        <v>151</v>
      </c>
      <c r="H4" s="442" t="s">
        <v>152</v>
      </c>
      <c r="I4" s="442" t="s">
        <v>153</v>
      </c>
      <c r="J4" s="442"/>
      <c r="K4" s="442"/>
      <c r="L4" s="442"/>
      <c r="M4" s="442" t="s">
        <v>154</v>
      </c>
      <c r="N4" s="442" t="s">
        <v>155</v>
      </c>
      <c r="O4" s="442" t="s">
        <v>156</v>
      </c>
      <c r="P4" s="442" t="s">
        <v>157</v>
      </c>
      <c r="Q4" s="442" t="s">
        <v>158</v>
      </c>
      <c r="R4" s="442" t="s">
        <v>159</v>
      </c>
      <c r="S4" s="442" t="s">
        <v>160</v>
      </c>
      <c r="T4" s="442" t="s">
        <v>161</v>
      </c>
      <c r="U4" s="442" t="s">
        <v>162</v>
      </c>
      <c r="V4" s="442" t="s">
        <v>163</v>
      </c>
      <c r="W4" s="442"/>
      <c r="X4" s="442" t="s">
        <v>164</v>
      </c>
      <c r="Y4" s="442" t="s">
        <v>165</v>
      </c>
      <c r="Z4" s="455" t="s">
        <v>166</v>
      </c>
    </row>
    <row r="5" spans="1:29" ht="17.5">
      <c r="A5" s="443">
        <v>1</v>
      </c>
      <c r="B5" s="7"/>
      <c r="C5" s="444"/>
      <c r="D5" s="445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53"/>
      <c r="X5" s="446"/>
      <c r="Y5" s="446"/>
      <c r="Z5" s="457"/>
      <c r="AA5" s="458"/>
      <c r="AB5" s="458"/>
      <c r="AC5" s="458"/>
    </row>
    <row r="6" spans="1:29" ht="18">
      <c r="A6" s="443">
        <v>3</v>
      </c>
      <c r="B6" s="10" t="s">
        <v>203</v>
      </c>
      <c r="C6" s="444">
        <v>268287.58333333302</v>
      </c>
      <c r="D6" s="445">
        <v>12</v>
      </c>
      <c r="E6" s="446">
        <f>C6*D6</f>
        <v>3219451</v>
      </c>
      <c r="F6" s="446"/>
      <c r="G6" s="446">
        <v>209556.08</v>
      </c>
      <c r="H6" s="446"/>
      <c r="I6" s="446">
        <f t="shared" ref="I6:I13" si="0">E6-F6-G6-H6</f>
        <v>3009894.92</v>
      </c>
      <c r="J6" s="446">
        <v>200000</v>
      </c>
      <c r="K6" s="446">
        <v>0.2</v>
      </c>
      <c r="L6" s="446">
        <f t="shared" ref="L6:L13" si="1">I6*K6</f>
        <v>601978.98400000005</v>
      </c>
      <c r="M6" s="446">
        <f t="shared" ref="M6:M13" si="2">J6+L6</f>
        <v>801978.98400000005</v>
      </c>
      <c r="N6" s="446">
        <f t="shared" ref="N6:N13" si="3">F6+G6+H6+M6</f>
        <v>1011535.064</v>
      </c>
      <c r="O6" s="446">
        <f t="shared" ref="O6:O13" si="4">E6-N6</f>
        <v>2207915.9360000002</v>
      </c>
      <c r="P6" s="446">
        <f t="shared" ref="P6:P13" si="5">IF(O6&lt;300000,0.07*O6,21000)</f>
        <v>21000</v>
      </c>
      <c r="Q6" s="446">
        <f t="shared" ref="Q6:Q13" si="6">IF((O6-300000)&lt;0,0,IF((O6-300000)&lt;300000,0.11*(O6-300000),33000))</f>
        <v>33000</v>
      </c>
      <c r="R6" s="446">
        <f t="shared" ref="R6:R13" si="7">IF((O6-600000)&lt;0,0,IF((O6-600000)&lt;500000,0.15*(O6-600000),75000))</f>
        <v>75000</v>
      </c>
      <c r="S6" s="446">
        <f t="shared" ref="S6:S13" si="8">IF((O6-1100000)&lt;0,0,IF((O6-1100000)&lt;500000,0.19*(O6-1100000),95000))</f>
        <v>95000</v>
      </c>
      <c r="T6" s="446">
        <f t="shared" ref="T6:T13" si="9">IF((O6-1600000)&lt;0,0,IF((O6-1600000)&lt;1600000,0.21*(O6-1600000),336000))</f>
        <v>127662.34656000001</v>
      </c>
      <c r="U6" s="446"/>
      <c r="V6" s="446">
        <f t="shared" ref="V6:V13" si="10">P6+Q6+R6+S6+T6+U6</f>
        <v>351662.34655999998</v>
      </c>
      <c r="W6" s="453">
        <v>12</v>
      </c>
      <c r="X6" s="446">
        <f t="shared" ref="X6:X13" si="11">V6/W6</f>
        <v>29305.195546666699</v>
      </c>
      <c r="Y6" s="446"/>
      <c r="Z6" s="457">
        <f t="shared" ref="Z6:Z13" si="12">X6</f>
        <v>29305.195546666699</v>
      </c>
      <c r="AA6" s="458"/>
      <c r="AB6" s="458"/>
      <c r="AC6" s="458"/>
    </row>
    <row r="7" spans="1:29" s="594" customFormat="1" ht="18">
      <c r="A7" s="595">
        <v>4</v>
      </c>
      <c r="B7" s="10" t="s">
        <v>183</v>
      </c>
      <c r="C7" s="597">
        <v>460248.91666666698</v>
      </c>
      <c r="D7" s="598">
        <v>12</v>
      </c>
      <c r="E7" s="599">
        <f t="shared" ref="E7:E13" si="13">C7*D7</f>
        <v>5522987</v>
      </c>
      <c r="F7" s="599"/>
      <c r="G7" s="599">
        <v>374638.96</v>
      </c>
      <c r="H7" s="599"/>
      <c r="I7" s="599">
        <f t="shared" si="0"/>
        <v>5148348.04</v>
      </c>
      <c r="J7" s="599">
        <v>200000</v>
      </c>
      <c r="K7" s="599">
        <v>0.2</v>
      </c>
      <c r="L7" s="599">
        <f t="shared" si="1"/>
        <v>1029669.608</v>
      </c>
      <c r="M7" s="599">
        <f t="shared" si="2"/>
        <v>1229669.608</v>
      </c>
      <c r="N7" s="599">
        <f t="shared" si="3"/>
        <v>1604308.568</v>
      </c>
      <c r="O7" s="599">
        <f t="shared" si="4"/>
        <v>3918678.432</v>
      </c>
      <c r="P7" s="599">
        <f t="shared" si="5"/>
        <v>21000</v>
      </c>
      <c r="Q7" s="599">
        <f t="shared" si="6"/>
        <v>33000</v>
      </c>
      <c r="R7" s="599">
        <f t="shared" si="7"/>
        <v>75000</v>
      </c>
      <c r="S7" s="599">
        <f t="shared" si="8"/>
        <v>95000</v>
      </c>
      <c r="T7" s="599">
        <f t="shared" si="9"/>
        <v>336000</v>
      </c>
      <c r="U7" s="599">
        <f t="shared" ref="U7:U11" si="14">24%*(O7-3200000)</f>
        <v>172482.82368</v>
      </c>
      <c r="V7" s="599">
        <f t="shared" si="10"/>
        <v>732482.82368000003</v>
      </c>
      <c r="W7" s="602">
        <v>12</v>
      </c>
      <c r="X7" s="599">
        <f t="shared" si="11"/>
        <v>61040.235306666698</v>
      </c>
      <c r="Y7" s="599"/>
      <c r="Z7" s="457">
        <f t="shared" si="12"/>
        <v>61040.235306666698</v>
      </c>
      <c r="AA7" s="603"/>
      <c r="AB7" s="603"/>
      <c r="AC7" s="603"/>
    </row>
    <row r="8" spans="1:29" s="594" customFormat="1" ht="18">
      <c r="A8" s="595">
        <v>5</v>
      </c>
      <c r="B8" s="10" t="s">
        <v>206</v>
      </c>
      <c r="C8" s="597">
        <v>315849</v>
      </c>
      <c r="D8" s="598">
        <v>12</v>
      </c>
      <c r="E8" s="599">
        <f t="shared" si="13"/>
        <v>3790188</v>
      </c>
      <c r="F8" s="599"/>
      <c r="G8" s="599">
        <v>245615.04</v>
      </c>
      <c r="H8" s="599"/>
      <c r="I8" s="599">
        <f t="shared" si="0"/>
        <v>3544572.96</v>
      </c>
      <c r="J8" s="599">
        <v>200000</v>
      </c>
      <c r="K8" s="599">
        <v>0.2</v>
      </c>
      <c r="L8" s="599">
        <f t="shared" si="1"/>
        <v>708914.59199999995</v>
      </c>
      <c r="M8" s="599">
        <f t="shared" si="2"/>
        <v>908914.59199999995</v>
      </c>
      <c r="N8" s="599">
        <f t="shared" si="3"/>
        <v>1154529.632</v>
      </c>
      <c r="O8" s="599">
        <f t="shared" si="4"/>
        <v>2635658.3679999998</v>
      </c>
      <c r="P8" s="599">
        <f t="shared" si="5"/>
        <v>21000</v>
      </c>
      <c r="Q8" s="599">
        <f t="shared" si="6"/>
        <v>33000</v>
      </c>
      <c r="R8" s="599">
        <f t="shared" si="7"/>
        <v>75000</v>
      </c>
      <c r="S8" s="599">
        <f t="shared" si="8"/>
        <v>95000</v>
      </c>
      <c r="T8" s="599">
        <f t="shared" si="9"/>
        <v>217488.25727999999</v>
      </c>
      <c r="U8" s="599"/>
      <c r="V8" s="599">
        <f t="shared" si="10"/>
        <v>441488.25728000002</v>
      </c>
      <c r="W8" s="602">
        <v>12</v>
      </c>
      <c r="X8" s="599">
        <f t="shared" si="11"/>
        <v>36790.688106666697</v>
      </c>
      <c r="Y8" s="599"/>
      <c r="Z8" s="457">
        <f t="shared" si="12"/>
        <v>36790.688106666697</v>
      </c>
      <c r="AA8" s="603"/>
      <c r="AB8" s="603"/>
      <c r="AC8" s="603"/>
    </row>
    <row r="9" spans="1:29" ht="18">
      <c r="A9" s="443">
        <v>6</v>
      </c>
      <c r="B9" s="10" t="s">
        <v>208</v>
      </c>
      <c r="C9" s="444">
        <v>268287.58333333302</v>
      </c>
      <c r="D9" s="445">
        <v>12</v>
      </c>
      <c r="E9" s="446">
        <f t="shared" si="13"/>
        <v>3219451</v>
      </c>
      <c r="F9" s="446"/>
      <c r="G9" s="446">
        <v>209556.08</v>
      </c>
      <c r="H9" s="446"/>
      <c r="I9" s="446">
        <f t="shared" si="0"/>
        <v>3009894.92</v>
      </c>
      <c r="J9" s="446">
        <v>200000</v>
      </c>
      <c r="K9" s="446">
        <v>0.2</v>
      </c>
      <c r="L9" s="446">
        <f t="shared" si="1"/>
        <v>601978.98400000005</v>
      </c>
      <c r="M9" s="446">
        <f t="shared" si="2"/>
        <v>801978.98400000005</v>
      </c>
      <c r="N9" s="446">
        <f t="shared" si="3"/>
        <v>1011535.064</v>
      </c>
      <c r="O9" s="446">
        <f t="shared" si="4"/>
        <v>2207915.9360000002</v>
      </c>
      <c r="P9" s="446">
        <f t="shared" si="5"/>
        <v>21000</v>
      </c>
      <c r="Q9" s="446">
        <f t="shared" si="6"/>
        <v>33000</v>
      </c>
      <c r="R9" s="446">
        <f t="shared" si="7"/>
        <v>75000</v>
      </c>
      <c r="S9" s="446">
        <f t="shared" si="8"/>
        <v>95000</v>
      </c>
      <c r="T9" s="446">
        <f t="shared" si="9"/>
        <v>127662.34656000001</v>
      </c>
      <c r="U9" s="446"/>
      <c r="V9" s="446">
        <f t="shared" si="10"/>
        <v>351662.34655999998</v>
      </c>
      <c r="W9" s="453">
        <v>12</v>
      </c>
      <c r="X9" s="446">
        <f t="shared" si="11"/>
        <v>29305.195546666699</v>
      </c>
      <c r="Y9" s="446"/>
      <c r="Z9" s="457">
        <f t="shared" si="12"/>
        <v>29305.195546666699</v>
      </c>
      <c r="AA9" s="458"/>
      <c r="AB9" s="458"/>
      <c r="AC9" s="458"/>
    </row>
    <row r="10" spans="1:29" s="594" customFormat="1" ht="18">
      <c r="A10" s="595">
        <v>7</v>
      </c>
      <c r="B10" s="10" t="s">
        <v>210</v>
      </c>
      <c r="C10" s="597">
        <v>353029.66666666698</v>
      </c>
      <c r="D10" s="598">
        <v>12</v>
      </c>
      <c r="E10" s="599">
        <f t="shared" si="13"/>
        <v>4236356</v>
      </c>
      <c r="F10" s="599"/>
      <c r="G10" s="599">
        <v>281308.48</v>
      </c>
      <c r="H10" s="599"/>
      <c r="I10" s="599">
        <f t="shared" si="0"/>
        <v>3955047.52</v>
      </c>
      <c r="J10" s="599">
        <v>200000</v>
      </c>
      <c r="K10" s="599">
        <v>0.2</v>
      </c>
      <c r="L10" s="599">
        <f t="shared" si="1"/>
        <v>791009.50399999996</v>
      </c>
      <c r="M10" s="599">
        <f t="shared" si="2"/>
        <v>991009.50399999996</v>
      </c>
      <c r="N10" s="599">
        <f t="shared" si="3"/>
        <v>1272317.9839999999</v>
      </c>
      <c r="O10" s="599">
        <f t="shared" si="4"/>
        <v>2964038.0159999998</v>
      </c>
      <c r="P10" s="599">
        <f t="shared" si="5"/>
        <v>21000</v>
      </c>
      <c r="Q10" s="599">
        <f t="shared" si="6"/>
        <v>33000</v>
      </c>
      <c r="R10" s="599">
        <f t="shared" si="7"/>
        <v>75000</v>
      </c>
      <c r="S10" s="599">
        <f t="shared" si="8"/>
        <v>95000</v>
      </c>
      <c r="T10" s="599">
        <f t="shared" si="9"/>
        <v>286447.98336000001</v>
      </c>
      <c r="U10" s="599"/>
      <c r="V10" s="599">
        <f t="shared" si="10"/>
        <v>510447.98336000001</v>
      </c>
      <c r="W10" s="602">
        <v>12</v>
      </c>
      <c r="X10" s="599">
        <f t="shared" si="11"/>
        <v>42537.331946666702</v>
      </c>
      <c r="Y10" s="599"/>
      <c r="Z10" s="457">
        <f t="shared" si="12"/>
        <v>42537.331946666702</v>
      </c>
      <c r="AA10" s="603"/>
      <c r="AB10" s="603"/>
      <c r="AC10" s="603"/>
    </row>
    <row r="11" spans="1:29" s="594" customFormat="1" ht="18">
      <c r="A11" s="595">
        <v>8</v>
      </c>
      <c r="B11" s="10" t="s">
        <v>212</v>
      </c>
      <c r="C11" s="597">
        <v>510248.91666666698</v>
      </c>
      <c r="D11" s="598">
        <v>12</v>
      </c>
      <c r="E11" s="599">
        <f t="shared" si="13"/>
        <v>6122987</v>
      </c>
      <c r="F11" s="599"/>
      <c r="G11" s="599">
        <v>374638.96</v>
      </c>
      <c r="H11" s="599"/>
      <c r="I11" s="599">
        <f t="shared" si="0"/>
        <v>5748348.04</v>
      </c>
      <c r="J11" s="599">
        <v>200000</v>
      </c>
      <c r="K11" s="599">
        <v>0.2</v>
      </c>
      <c r="L11" s="599">
        <f t="shared" si="1"/>
        <v>1149669.608</v>
      </c>
      <c r="M11" s="599">
        <f t="shared" si="2"/>
        <v>1349669.608</v>
      </c>
      <c r="N11" s="599">
        <f t="shared" si="3"/>
        <v>1724308.568</v>
      </c>
      <c r="O11" s="599">
        <f t="shared" si="4"/>
        <v>4398678.432</v>
      </c>
      <c r="P11" s="599">
        <f t="shared" si="5"/>
        <v>21000</v>
      </c>
      <c r="Q11" s="599">
        <f t="shared" si="6"/>
        <v>33000</v>
      </c>
      <c r="R11" s="599">
        <f t="shared" si="7"/>
        <v>75000</v>
      </c>
      <c r="S11" s="599">
        <f t="shared" si="8"/>
        <v>95000</v>
      </c>
      <c r="T11" s="599">
        <f t="shared" si="9"/>
        <v>336000</v>
      </c>
      <c r="U11" s="599">
        <f t="shared" si="14"/>
        <v>287682.82367999997</v>
      </c>
      <c r="V11" s="599">
        <f t="shared" si="10"/>
        <v>847682.82368000003</v>
      </c>
      <c r="W11" s="602">
        <v>12</v>
      </c>
      <c r="X11" s="599">
        <f t="shared" si="11"/>
        <v>70640.235306666698</v>
      </c>
      <c r="Y11" s="599"/>
      <c r="Z11" s="457">
        <f t="shared" si="12"/>
        <v>70640.235306666698</v>
      </c>
      <c r="AA11" s="603"/>
      <c r="AB11" s="603"/>
      <c r="AC11" s="603"/>
    </row>
    <row r="12" spans="1:29" ht="18">
      <c r="A12" s="443">
        <v>9</v>
      </c>
      <c r="B12" s="10" t="s">
        <v>190</v>
      </c>
      <c r="C12" s="444">
        <v>268287.58333333302</v>
      </c>
      <c r="D12" s="445">
        <v>12</v>
      </c>
      <c r="E12" s="446">
        <f t="shared" si="13"/>
        <v>3219451</v>
      </c>
      <c r="F12" s="446"/>
      <c r="G12" s="446">
        <v>209556.08</v>
      </c>
      <c r="H12" s="446"/>
      <c r="I12" s="446">
        <f t="shared" si="0"/>
        <v>3009894.92</v>
      </c>
      <c r="J12" s="446">
        <v>200000</v>
      </c>
      <c r="K12" s="446">
        <v>0.2</v>
      </c>
      <c r="L12" s="446">
        <f t="shared" si="1"/>
        <v>601978.98399999901</v>
      </c>
      <c r="M12" s="446">
        <f t="shared" si="2"/>
        <v>801978.98399999901</v>
      </c>
      <c r="N12" s="446">
        <f t="shared" si="3"/>
        <v>1011535.064</v>
      </c>
      <c r="O12" s="446">
        <f t="shared" si="4"/>
        <v>2207915.9360000002</v>
      </c>
      <c r="P12" s="446">
        <f t="shared" si="5"/>
        <v>21000</v>
      </c>
      <c r="Q12" s="446">
        <f t="shared" si="6"/>
        <v>33000</v>
      </c>
      <c r="R12" s="446">
        <f t="shared" si="7"/>
        <v>75000</v>
      </c>
      <c r="S12" s="446">
        <f t="shared" si="8"/>
        <v>95000</v>
      </c>
      <c r="T12" s="446">
        <f t="shared" si="9"/>
        <v>127662.346559999</v>
      </c>
      <c r="U12" s="446"/>
      <c r="V12" s="446">
        <f t="shared" si="10"/>
        <v>351662.34655999899</v>
      </c>
      <c r="W12" s="453">
        <v>12</v>
      </c>
      <c r="X12" s="446">
        <f t="shared" si="11"/>
        <v>29305.1955466666</v>
      </c>
      <c r="Y12" s="446"/>
      <c r="Z12" s="457">
        <f t="shared" si="12"/>
        <v>29305.1955466666</v>
      </c>
      <c r="AA12" s="458"/>
      <c r="AB12" s="458"/>
      <c r="AC12" s="458"/>
    </row>
    <row r="13" spans="1:29" s="594" customFormat="1" ht="18">
      <c r="A13" s="595">
        <v>10</v>
      </c>
      <c r="B13" s="10" t="s">
        <v>191</v>
      </c>
      <c r="C13" s="597">
        <v>268287.58333333302</v>
      </c>
      <c r="D13" s="598">
        <v>12</v>
      </c>
      <c r="E13" s="599">
        <f t="shared" si="13"/>
        <v>3219451</v>
      </c>
      <c r="F13" s="599"/>
      <c r="G13" s="599">
        <v>209556.08</v>
      </c>
      <c r="H13" s="599"/>
      <c r="I13" s="599">
        <f t="shared" si="0"/>
        <v>3009894.92</v>
      </c>
      <c r="J13" s="599">
        <v>200000</v>
      </c>
      <c r="K13" s="599">
        <v>0.2</v>
      </c>
      <c r="L13" s="599">
        <f t="shared" si="1"/>
        <v>601978.98399999901</v>
      </c>
      <c r="M13" s="599">
        <f t="shared" si="2"/>
        <v>801978.98399999901</v>
      </c>
      <c r="N13" s="599">
        <f t="shared" si="3"/>
        <v>1011535.064</v>
      </c>
      <c r="O13" s="599">
        <f t="shared" si="4"/>
        <v>2207915.9360000002</v>
      </c>
      <c r="P13" s="599">
        <f t="shared" si="5"/>
        <v>21000</v>
      </c>
      <c r="Q13" s="599">
        <f t="shared" si="6"/>
        <v>33000</v>
      </c>
      <c r="R13" s="599">
        <f t="shared" si="7"/>
        <v>75000</v>
      </c>
      <c r="S13" s="599">
        <f t="shared" si="8"/>
        <v>95000</v>
      </c>
      <c r="T13" s="599">
        <f t="shared" si="9"/>
        <v>127662.346559999</v>
      </c>
      <c r="U13" s="599"/>
      <c r="V13" s="599">
        <f t="shared" si="10"/>
        <v>351662.34655999899</v>
      </c>
      <c r="W13" s="602">
        <v>12</v>
      </c>
      <c r="X13" s="599">
        <f t="shared" si="11"/>
        <v>29305.1955466666</v>
      </c>
      <c r="Y13" s="599"/>
      <c r="Z13" s="457">
        <f t="shared" si="12"/>
        <v>29305.1955466666</v>
      </c>
      <c r="AA13" s="603"/>
      <c r="AB13" s="603"/>
      <c r="AC13" s="603"/>
    </row>
    <row r="14" spans="1:29" ht="26.25" customHeight="1">
      <c r="B14" s="475" t="s">
        <v>215</v>
      </c>
      <c r="C14" s="470"/>
      <c r="D14" s="471"/>
      <c r="E14" s="471"/>
      <c r="F14" s="476"/>
      <c r="G14" s="476"/>
      <c r="H14" s="474"/>
      <c r="I14" s="474"/>
      <c r="J14" s="474"/>
      <c r="K14" s="474"/>
      <c r="L14" s="474"/>
      <c r="M14" s="474"/>
      <c r="N14" s="474"/>
      <c r="O14" s="474"/>
      <c r="P14" s="474"/>
      <c r="Q14" s="474"/>
      <c r="R14" s="474"/>
      <c r="S14" s="474"/>
      <c r="T14" s="474"/>
      <c r="U14" s="474"/>
      <c r="V14" s="476"/>
      <c r="W14" s="471"/>
      <c r="X14" s="471"/>
      <c r="Y14" s="471"/>
      <c r="Z14" s="473">
        <f>SUM(Z6:Z13)</f>
        <v>328229.27285333298</v>
      </c>
    </row>
    <row r="15" spans="1:29" ht="26.25" customHeight="1">
      <c r="B15" s="638"/>
      <c r="C15" s="639"/>
      <c r="D15" s="640"/>
      <c r="E15" s="640"/>
      <c r="F15" s="641"/>
      <c r="G15" s="641"/>
      <c r="H15" s="642"/>
      <c r="I15" s="642"/>
      <c r="J15" s="642"/>
      <c r="K15" s="642"/>
      <c r="L15" s="642"/>
      <c r="M15" s="642"/>
      <c r="N15" s="642"/>
      <c r="O15" s="642"/>
      <c r="P15" s="642"/>
      <c r="Q15" s="642"/>
      <c r="R15" s="642"/>
      <c r="S15" s="642"/>
      <c r="T15" s="642"/>
      <c r="U15" s="642"/>
      <c r="V15" s="641"/>
      <c r="W15" s="640"/>
      <c r="X15" s="640"/>
      <c r="Y15" s="640"/>
      <c r="Z15" s="640"/>
    </row>
    <row r="16" spans="1:29" ht="17.5">
      <c r="B16" s="32"/>
      <c r="C16" s="643" t="s">
        <v>216</v>
      </c>
      <c r="D16" s="274">
        <v>12</v>
      </c>
      <c r="E16" s="644" t="s">
        <v>217</v>
      </c>
      <c r="F16" s="477"/>
    </row>
    <row r="17" spans="1:26" ht="18">
      <c r="A17" s="645"/>
      <c r="B17" s="10" t="s">
        <v>203</v>
      </c>
      <c r="C17" s="646">
        <f>218287.583333333*0.08</f>
        <v>17463.006666666599</v>
      </c>
      <c r="D17" s="647">
        <v>12</v>
      </c>
      <c r="E17" s="648">
        <f>C17*D17</f>
        <v>209556.08</v>
      </c>
      <c r="F17" s="478"/>
      <c r="Z17" s="473"/>
    </row>
    <row r="18" spans="1:26" ht="18">
      <c r="A18" s="645"/>
      <c r="B18" s="10" t="s">
        <v>183</v>
      </c>
      <c r="C18" s="625">
        <f>390248.916666667*0.08</f>
        <v>31219.913333333399</v>
      </c>
      <c r="D18" s="647">
        <v>12</v>
      </c>
      <c r="E18" s="648">
        <f t="shared" ref="E18:E24" si="15">C18*D18</f>
        <v>374638.96</v>
      </c>
    </row>
    <row r="19" spans="1:26" ht="18">
      <c r="A19" s="645"/>
      <c r="B19" s="10" t="s">
        <v>206</v>
      </c>
      <c r="C19" s="646">
        <f>255849*0.08</f>
        <v>20467.919999999998</v>
      </c>
      <c r="D19" s="647">
        <v>12</v>
      </c>
      <c r="E19" s="648">
        <f t="shared" si="15"/>
        <v>245615.04</v>
      </c>
    </row>
    <row r="20" spans="1:26" ht="18">
      <c r="A20" s="645"/>
      <c r="B20" s="10" t="s">
        <v>208</v>
      </c>
      <c r="C20" s="646">
        <f>218287.583333333*0.08</f>
        <v>17463.006666666599</v>
      </c>
      <c r="D20" s="647">
        <v>12</v>
      </c>
      <c r="E20" s="648">
        <f t="shared" si="15"/>
        <v>209556.08</v>
      </c>
    </row>
    <row r="21" spans="1:26" ht="18">
      <c r="A21" s="645"/>
      <c r="B21" s="10" t="s">
        <v>210</v>
      </c>
      <c r="C21" s="646">
        <f>293029.666666667*0.08</f>
        <v>23442.373333333398</v>
      </c>
      <c r="D21" s="647">
        <v>12</v>
      </c>
      <c r="E21" s="648">
        <f t="shared" si="15"/>
        <v>281308.48</v>
      </c>
    </row>
    <row r="22" spans="1:26" ht="18">
      <c r="A22" s="645"/>
      <c r="B22" s="10" t="s">
        <v>212</v>
      </c>
      <c r="C22" s="625">
        <f>390248.916666667*0.08</f>
        <v>31219.913333333399</v>
      </c>
      <c r="D22" s="647">
        <v>12</v>
      </c>
      <c r="E22" s="648">
        <f t="shared" si="15"/>
        <v>374638.96</v>
      </c>
    </row>
    <row r="23" spans="1:26" ht="18">
      <c r="A23" s="645"/>
      <c r="B23" s="10" t="s">
        <v>190</v>
      </c>
      <c r="C23" s="646">
        <f t="shared" ref="C23:C24" si="16">218287.583333333*0.08</f>
        <v>17463.006666666599</v>
      </c>
      <c r="D23" s="647">
        <v>12</v>
      </c>
      <c r="E23" s="648">
        <f t="shared" si="15"/>
        <v>209556.08</v>
      </c>
    </row>
    <row r="24" spans="1:26" ht="18">
      <c r="A24" s="645"/>
      <c r="B24" s="10" t="s">
        <v>191</v>
      </c>
      <c r="C24" s="646">
        <f t="shared" si="16"/>
        <v>17463.006666666599</v>
      </c>
      <c r="D24" s="647">
        <v>12</v>
      </c>
      <c r="E24" s="648">
        <f t="shared" si="15"/>
        <v>209556.08</v>
      </c>
    </row>
    <row r="25" spans="1:26" ht="15.5">
      <c r="C25" s="649"/>
      <c r="D25" s="649"/>
      <c r="E25" s="64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customWidth="1"/>
    <col min="8" max="8" width="11.08984375" customWidth="1"/>
    <col min="9" max="9" width="9" customWidth="1"/>
    <col min="10" max="10" width="12.54296875" customWidth="1"/>
    <col min="11" max="11" width="8.81640625" customWidth="1"/>
    <col min="12" max="13" width="12.1796875" customWidth="1"/>
    <col min="14" max="14" width="9" customWidth="1"/>
    <col min="15" max="15" width="12.26953125" customWidth="1"/>
    <col min="16" max="16" width="8.81640625" customWidth="1"/>
    <col min="17" max="19" width="12.54296875" customWidth="1"/>
  </cols>
  <sheetData>
    <row r="3" spans="1:20" ht="61">
      <c r="A3" s="3"/>
      <c r="B3" s="76" t="s">
        <v>2</v>
      </c>
      <c r="C3" s="621" t="s">
        <v>3</v>
      </c>
      <c r="D3" s="65" t="s">
        <v>4</v>
      </c>
      <c r="E3" s="622" t="s">
        <v>5</v>
      </c>
      <c r="F3" s="622" t="s">
        <v>6</v>
      </c>
      <c r="G3" s="622" t="s">
        <v>7</v>
      </c>
      <c r="H3" s="622" t="s">
        <v>7</v>
      </c>
      <c r="I3" s="622" t="s">
        <v>8</v>
      </c>
      <c r="J3" s="629" t="s">
        <v>9</v>
      </c>
      <c r="K3" s="622" t="s">
        <v>10</v>
      </c>
      <c r="L3" s="622" t="s">
        <v>11</v>
      </c>
      <c r="M3" s="622" t="s">
        <v>12</v>
      </c>
      <c r="N3" s="622" t="s">
        <v>13</v>
      </c>
      <c r="O3" s="630" t="s">
        <v>14</v>
      </c>
      <c r="P3" s="622" t="s">
        <v>15</v>
      </c>
      <c r="Q3" s="634" t="s">
        <v>17</v>
      </c>
      <c r="R3" s="297" t="s">
        <v>218</v>
      </c>
      <c r="S3" s="635" t="s">
        <v>219</v>
      </c>
    </row>
    <row r="4" spans="1:20" ht="18">
      <c r="A4" s="1"/>
      <c r="B4" s="1"/>
      <c r="C4" s="7"/>
      <c r="D4" s="7"/>
      <c r="E4" s="68" t="s">
        <v>20</v>
      </c>
      <c r="F4" s="68" t="s">
        <v>20</v>
      </c>
      <c r="G4" s="68" t="s">
        <v>20</v>
      </c>
      <c r="H4" s="68" t="s">
        <v>20</v>
      </c>
      <c r="I4" s="68" t="s">
        <v>20</v>
      </c>
      <c r="J4" s="486" t="s">
        <v>20</v>
      </c>
      <c r="K4" s="68" t="s">
        <v>20</v>
      </c>
      <c r="L4" s="68" t="s">
        <v>20</v>
      </c>
      <c r="M4" s="68" t="s">
        <v>20</v>
      </c>
      <c r="N4" s="68" t="s">
        <v>20</v>
      </c>
      <c r="O4" s="68" t="s">
        <v>20</v>
      </c>
      <c r="P4" s="68" t="s">
        <v>20</v>
      </c>
      <c r="Q4" s="487" t="s">
        <v>20</v>
      </c>
      <c r="R4" s="68" t="s">
        <v>20</v>
      </c>
      <c r="S4" s="486" t="s">
        <v>20</v>
      </c>
    </row>
    <row r="5" spans="1:20" s="1" customFormat="1" ht="20.149999999999999" customHeight="1">
      <c r="A5" s="81">
        <v>1</v>
      </c>
      <c r="B5" s="623" t="s">
        <v>220</v>
      </c>
      <c r="C5" s="72" t="s">
        <v>221</v>
      </c>
      <c r="D5" s="624" t="s">
        <v>222</v>
      </c>
      <c r="E5" s="625">
        <v>601396.83333333302</v>
      </c>
      <c r="F5" s="625"/>
      <c r="G5" s="626">
        <f>160000</f>
        <v>160000</v>
      </c>
      <c r="H5" s="626"/>
      <c r="I5" s="631">
        <v>0</v>
      </c>
      <c r="J5" s="632">
        <f t="shared" ref="J5:J6" si="0">SUM(E5:I5)</f>
        <v>761396.83333333302</v>
      </c>
      <c r="K5" s="625"/>
      <c r="L5" s="625"/>
      <c r="M5" s="625"/>
      <c r="N5" s="625">
        <v>0</v>
      </c>
      <c r="O5" s="625">
        <v>124854.858666667</v>
      </c>
      <c r="P5" s="625"/>
      <c r="Q5" s="636">
        <f t="shared" ref="Q5:Q8" si="1">O5+N5+M5+L5+K5+P5</f>
        <v>124854.858666667</v>
      </c>
      <c r="R5" s="625">
        <v>636541.97466666705</v>
      </c>
      <c r="S5" s="632">
        <f t="shared" ref="S5:S8" si="2">J5-Q5</f>
        <v>636541.97466666705</v>
      </c>
      <c r="T5" s="12"/>
    </row>
    <row r="6" spans="1:20" s="1" customFormat="1" ht="32" customHeight="1">
      <c r="A6" s="81">
        <v>2</v>
      </c>
      <c r="B6" s="328" t="s">
        <v>223</v>
      </c>
      <c r="C6" s="69" t="s">
        <v>224</v>
      </c>
      <c r="D6" s="81" t="s">
        <v>225</v>
      </c>
      <c r="E6" s="625">
        <v>620675.58333333302</v>
      </c>
      <c r="F6" s="625"/>
      <c r="G6" s="626">
        <v>160000</v>
      </c>
      <c r="H6" s="626"/>
      <c r="I6" s="631">
        <v>0</v>
      </c>
      <c r="J6" s="632">
        <f t="shared" si="0"/>
        <v>780675.58333333302</v>
      </c>
      <c r="K6" s="625"/>
      <c r="L6" s="625">
        <f>50000</f>
        <v>50000</v>
      </c>
      <c r="M6" s="625">
        <f>59583.33</f>
        <v>59583.33</v>
      </c>
      <c r="N6" s="625"/>
      <c r="O6" s="625">
        <f>128556.38</f>
        <v>128556.38</v>
      </c>
      <c r="P6" s="625"/>
      <c r="Q6" s="636">
        <f t="shared" si="1"/>
        <v>238139.71</v>
      </c>
      <c r="R6" s="625">
        <v>542535.87333333294</v>
      </c>
      <c r="S6" s="632">
        <f t="shared" si="2"/>
        <v>542535.87333333294</v>
      </c>
      <c r="T6" s="12"/>
    </row>
    <row r="7" spans="1:20" s="620" customFormat="1" ht="29" customHeight="1">
      <c r="A7" s="81">
        <v>3</v>
      </c>
      <c r="B7" s="623" t="s">
        <v>226</v>
      </c>
      <c r="C7" s="69" t="s">
        <v>227</v>
      </c>
      <c r="D7" s="624" t="s">
        <v>228</v>
      </c>
      <c r="E7" s="625">
        <v>582118.08333333302</v>
      </c>
      <c r="F7" s="625"/>
      <c r="G7" s="626"/>
      <c r="H7" s="626">
        <f>80000</f>
        <v>80000</v>
      </c>
      <c r="I7" s="625">
        <v>0</v>
      </c>
      <c r="J7" s="632">
        <f t="shared" ref="J7" si="3">SUM(E7:I7)</f>
        <v>662118.08333333302</v>
      </c>
      <c r="K7" s="625"/>
      <c r="L7" s="625">
        <f>100000</f>
        <v>100000</v>
      </c>
      <c r="M7" s="625">
        <f>103000</f>
        <v>103000</v>
      </c>
      <c r="N7" s="625">
        <v>0</v>
      </c>
      <c r="O7" s="625">
        <v>105793.338666667</v>
      </c>
      <c r="P7" s="625"/>
      <c r="Q7" s="636">
        <f t="shared" si="1"/>
        <v>308793.338666667</v>
      </c>
      <c r="R7" s="625">
        <v>353324.74466666701</v>
      </c>
      <c r="S7" s="632">
        <f t="shared" si="2"/>
        <v>353324.74466666701</v>
      </c>
      <c r="T7" s="637"/>
    </row>
    <row r="8" spans="1:20" s="620" customFormat="1" ht="20.149999999999999" customHeight="1">
      <c r="A8" s="81">
        <v>4</v>
      </c>
      <c r="B8" s="627" t="s">
        <v>229</v>
      </c>
      <c r="C8" s="69" t="s">
        <v>230</v>
      </c>
      <c r="D8" s="624" t="s">
        <v>231</v>
      </c>
      <c r="E8" s="625">
        <v>762373.16666666698</v>
      </c>
      <c r="F8" s="625"/>
      <c r="G8" s="626"/>
      <c r="H8" s="626">
        <v>90000</v>
      </c>
      <c r="I8" s="625"/>
      <c r="J8" s="632">
        <f t="shared" ref="J8" si="4">SUM(E8:I8)</f>
        <v>852373.16666666698</v>
      </c>
      <c r="K8" s="625"/>
      <c r="L8" s="633">
        <v>50000</v>
      </c>
      <c r="M8" s="633">
        <v>200000</v>
      </c>
      <c r="O8" s="625">
        <v>142322.31466666699</v>
      </c>
      <c r="P8" s="625"/>
      <c r="Q8" s="636">
        <f t="shared" si="1"/>
        <v>392322.31466666702</v>
      </c>
      <c r="R8" s="625">
        <v>460050.85200000001</v>
      </c>
      <c r="S8" s="632">
        <f t="shared" si="2"/>
        <v>460050.85200000001</v>
      </c>
      <c r="T8" s="637"/>
    </row>
    <row r="9" spans="1:20" ht="29" customHeight="1">
      <c r="E9" s="628">
        <f>SUM(E5:E8)</f>
        <v>2566563.6666666698</v>
      </c>
      <c r="F9" s="628">
        <f t="shared" ref="F9:S9" si="5">SUM(F5:F8)</f>
        <v>0</v>
      </c>
      <c r="G9" s="628">
        <f t="shared" si="5"/>
        <v>320000</v>
      </c>
      <c r="H9" s="628">
        <f t="shared" si="5"/>
        <v>170000</v>
      </c>
      <c r="I9" s="628">
        <f t="shared" si="5"/>
        <v>0</v>
      </c>
      <c r="J9" s="628">
        <f t="shared" si="5"/>
        <v>3056563.6666666698</v>
      </c>
      <c r="K9" s="628">
        <f t="shared" si="5"/>
        <v>0</v>
      </c>
      <c r="L9" s="628">
        <f t="shared" si="5"/>
        <v>200000</v>
      </c>
      <c r="M9" s="628">
        <f t="shared" si="5"/>
        <v>362583.33</v>
      </c>
      <c r="N9" s="628">
        <f t="shared" si="5"/>
        <v>0</v>
      </c>
      <c r="O9" s="628">
        <f t="shared" si="5"/>
        <v>501526.89199999999</v>
      </c>
      <c r="P9" s="628">
        <f t="shared" si="5"/>
        <v>0</v>
      </c>
      <c r="Q9" s="628">
        <f t="shared" si="5"/>
        <v>1064110.2220000001</v>
      </c>
      <c r="R9" s="628">
        <f t="shared" si="5"/>
        <v>1992453.4446666699</v>
      </c>
      <c r="S9" s="628">
        <f t="shared" si="5"/>
        <v>1992453.4446666699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5"/>
  <cols>
    <col min="1" max="1" width="5.90625" customWidth="1"/>
  </cols>
  <sheetData>
    <row r="3" spans="1:20" ht="105.5">
      <c r="A3" s="3"/>
      <c r="B3" s="4" t="s">
        <v>2</v>
      </c>
      <c r="C3" s="5" t="s">
        <v>3</v>
      </c>
      <c r="D3" s="6" t="s">
        <v>4</v>
      </c>
      <c r="E3" s="199" t="s">
        <v>5</v>
      </c>
      <c r="F3" s="199" t="s">
        <v>6</v>
      </c>
      <c r="G3" s="199" t="s">
        <v>7</v>
      </c>
      <c r="H3" s="199" t="s">
        <v>7</v>
      </c>
      <c r="I3" s="199" t="s">
        <v>8</v>
      </c>
      <c r="J3" s="484" t="s">
        <v>9</v>
      </c>
      <c r="K3" s="199" t="s">
        <v>10</v>
      </c>
      <c r="L3" s="199" t="s">
        <v>11</v>
      </c>
      <c r="M3" s="199" t="s">
        <v>12</v>
      </c>
      <c r="N3" s="199" t="s">
        <v>13</v>
      </c>
      <c r="O3" s="23" t="s">
        <v>14</v>
      </c>
      <c r="P3" s="199" t="s">
        <v>15</v>
      </c>
      <c r="Q3" s="485" t="s">
        <v>17</v>
      </c>
      <c r="R3" s="66" t="s">
        <v>218</v>
      </c>
      <c r="S3" s="619" t="s">
        <v>219</v>
      </c>
    </row>
    <row r="4" spans="1:20" ht="18">
      <c r="A4" s="1"/>
      <c r="B4" s="1"/>
      <c r="C4" s="7"/>
      <c r="D4" s="7"/>
      <c r="E4" s="68" t="s">
        <v>20</v>
      </c>
      <c r="F4" s="68" t="s">
        <v>20</v>
      </c>
      <c r="G4" s="68" t="s">
        <v>20</v>
      </c>
      <c r="H4" s="68" t="s">
        <v>20</v>
      </c>
      <c r="I4" s="68" t="s">
        <v>20</v>
      </c>
      <c r="J4" s="486" t="s">
        <v>20</v>
      </c>
      <c r="K4" s="68" t="s">
        <v>20</v>
      </c>
      <c r="L4" s="68" t="s">
        <v>20</v>
      </c>
      <c r="M4" s="68" t="s">
        <v>20</v>
      </c>
      <c r="N4" s="68" t="s">
        <v>20</v>
      </c>
      <c r="O4" s="68" t="s">
        <v>20</v>
      </c>
      <c r="P4" s="68" t="s">
        <v>20</v>
      </c>
      <c r="Q4" s="487" t="s">
        <v>20</v>
      </c>
      <c r="R4" s="68" t="s">
        <v>20</v>
      </c>
      <c r="S4" s="486" t="s">
        <v>20</v>
      </c>
    </row>
    <row r="5" spans="1:20" s="1" customFormat="1" ht="20.149999999999999" customHeight="1">
      <c r="A5" s="9">
        <v>6</v>
      </c>
      <c r="B5" s="17" t="s">
        <v>232</v>
      </c>
      <c r="C5" s="16" t="s">
        <v>233</v>
      </c>
      <c r="D5" s="9" t="s">
        <v>234</v>
      </c>
      <c r="E5" s="71">
        <v>762373.16666666698</v>
      </c>
      <c r="F5" s="71"/>
      <c r="G5" s="201"/>
      <c r="H5" s="201">
        <f>90000</f>
        <v>90000</v>
      </c>
      <c r="I5" s="71">
        <f>100000+100000</f>
        <v>200000</v>
      </c>
      <c r="J5" s="488">
        <f t="shared" ref="J5" si="0">E5+F5+G5+H5+I5</f>
        <v>1052373.16666667</v>
      </c>
      <c r="K5" s="71"/>
      <c r="L5" s="71">
        <f>50000</f>
        <v>50000</v>
      </c>
      <c r="M5" s="71">
        <f>91666.67</f>
        <v>91666.67</v>
      </c>
      <c r="N5" s="71"/>
      <c r="O5" s="71">
        <f>'Additional Leg Duty Allowance'!P3</f>
        <v>0</v>
      </c>
      <c r="P5" s="71"/>
      <c r="Q5" s="489">
        <f t="shared" ref="Q5" si="1">O5+N5+M5+L5+K5+P5</f>
        <v>141666.67000000001</v>
      </c>
      <c r="R5" s="71">
        <v>729984.18200000003</v>
      </c>
      <c r="S5" s="488">
        <f t="shared" ref="S5" si="2">J5-Q5</f>
        <v>910706.49666666705</v>
      </c>
      <c r="T5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796875" defaultRowHeight="20.149999999999999" customHeight="1"/>
  <cols>
    <col min="1" max="1" width="5.453125" style="1" customWidth="1"/>
    <col min="2" max="2" width="39.6328125" style="1" customWidth="1"/>
    <col min="3" max="3" width="35.7265625" style="1" customWidth="1"/>
    <col min="4" max="4" width="12.26953125" style="1" customWidth="1"/>
    <col min="5" max="5" width="15.7265625" style="1" customWidth="1"/>
    <col min="6" max="6" width="21.7265625" style="1" customWidth="1"/>
    <col min="7" max="16384" width="9.1796875" style="1"/>
  </cols>
  <sheetData>
    <row r="1" spans="1:6" ht="27" customHeight="1">
      <c r="A1" s="785" t="s">
        <v>0</v>
      </c>
      <c r="B1" s="785"/>
      <c r="C1" s="785"/>
      <c r="D1" s="785"/>
    </row>
    <row r="2" spans="1:6" ht="33.75" customHeight="1">
      <c r="A2" s="217" t="s">
        <v>235</v>
      </c>
      <c r="B2" s="238"/>
      <c r="C2" s="217"/>
      <c r="D2" s="217"/>
      <c r="E2" s="64"/>
    </row>
    <row r="3" spans="1:6" ht="9.75" customHeight="1">
      <c r="A3" s="2"/>
      <c r="B3" s="2"/>
      <c r="C3" s="2"/>
      <c r="D3" s="2"/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299" t="s">
        <v>134</v>
      </c>
    </row>
    <row r="5" spans="1:6" ht="17.25" customHeight="1">
      <c r="C5" s="7"/>
      <c r="D5" s="7"/>
      <c r="E5" s="211" t="s">
        <v>20</v>
      </c>
    </row>
    <row r="6" spans="1:6" ht="20.149999999999999" customHeight="1">
      <c r="A6" s="8" t="s">
        <v>21</v>
      </c>
      <c r="B6" s="7" t="s">
        <v>22</v>
      </c>
      <c r="C6" s="7"/>
      <c r="D6" s="7"/>
      <c r="E6" s="211"/>
    </row>
    <row r="7" spans="1: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612">
        <v>540000</v>
      </c>
      <c r="F7" s="12"/>
    </row>
    <row r="8" spans="1:6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612">
        <v>180000</v>
      </c>
      <c r="F8" s="12"/>
    </row>
    <row r="9" spans="1:6" ht="20.149999999999999" customHeight="1">
      <c r="A9" s="9">
        <v>3</v>
      </c>
      <c r="B9" s="13" t="s">
        <v>241</v>
      </c>
      <c r="C9" s="3" t="s">
        <v>242</v>
      </c>
      <c r="D9" s="9" t="s">
        <v>234</v>
      </c>
      <c r="E9" s="612">
        <v>180000</v>
      </c>
      <c r="F9" s="12"/>
    </row>
    <row r="10" spans="1:6" ht="20.149999999999999" customHeight="1">
      <c r="A10" s="9">
        <v>4</v>
      </c>
      <c r="B10" s="10" t="s">
        <v>243</v>
      </c>
      <c r="C10" s="16" t="s">
        <v>244</v>
      </c>
      <c r="D10" s="9" t="s">
        <v>234</v>
      </c>
      <c r="E10" s="612">
        <v>180000</v>
      </c>
      <c r="F10" s="12"/>
    </row>
    <row r="11" spans="1:6" ht="20.149999999999999" customHeight="1">
      <c r="A11" s="9">
        <v>5</v>
      </c>
      <c r="B11" s="13" t="s">
        <v>245</v>
      </c>
      <c r="C11" s="3" t="s">
        <v>246</v>
      </c>
      <c r="D11" s="9" t="s">
        <v>234</v>
      </c>
      <c r="E11" s="612">
        <v>180000</v>
      </c>
      <c r="F11" s="12"/>
    </row>
    <row r="12" spans="1:6" ht="20.149999999999999" customHeight="1">
      <c r="A12" s="9">
        <v>6</v>
      </c>
      <c r="B12" s="17" t="s">
        <v>232</v>
      </c>
      <c r="C12" s="16" t="s">
        <v>233</v>
      </c>
      <c r="D12" s="9" t="s">
        <v>234</v>
      </c>
      <c r="E12" s="612">
        <v>180000</v>
      </c>
      <c r="F12" s="12"/>
    </row>
    <row r="13" spans="1:6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612">
        <v>126000</v>
      </c>
      <c r="F13" s="12"/>
    </row>
    <row r="14" spans="1:6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612">
        <v>126000</v>
      </c>
      <c r="F14" s="12"/>
    </row>
    <row r="15" spans="1:6" ht="20.149999999999999" customHeight="1">
      <c r="A15" s="9">
        <v>9</v>
      </c>
      <c r="B15" s="10" t="s">
        <v>252</v>
      </c>
      <c r="C15" s="3" t="s">
        <v>253</v>
      </c>
      <c r="D15" s="14" t="s">
        <v>254</v>
      </c>
      <c r="E15" s="612">
        <v>90000</v>
      </c>
      <c r="F15" s="12"/>
    </row>
    <row r="16" spans="1:6" ht="20.149999999999999" customHeight="1">
      <c r="A16" s="9">
        <v>10</v>
      </c>
      <c r="B16" s="13" t="s">
        <v>255</v>
      </c>
      <c r="C16" s="16" t="s">
        <v>256</v>
      </c>
      <c r="D16" s="14" t="s">
        <v>257</v>
      </c>
      <c r="E16" s="612">
        <v>90000</v>
      </c>
      <c r="F16" s="12"/>
    </row>
    <row r="17" spans="1:6" ht="20.149999999999999" customHeight="1">
      <c r="A17" s="9">
        <v>11</v>
      </c>
      <c r="B17" s="10" t="s">
        <v>258</v>
      </c>
      <c r="C17" s="3" t="s">
        <v>259</v>
      </c>
      <c r="D17" s="9" t="s">
        <v>260</v>
      </c>
      <c r="E17" s="612">
        <v>90000</v>
      </c>
      <c r="F17" s="12"/>
    </row>
    <row r="18" spans="1:6" ht="20.149999999999999" customHeight="1">
      <c r="A18" s="9">
        <v>12</v>
      </c>
      <c r="B18" s="10" t="s">
        <v>261</v>
      </c>
      <c r="C18" s="3" t="s">
        <v>262</v>
      </c>
      <c r="D18" s="9" t="s">
        <v>263</v>
      </c>
      <c r="E18" s="612">
        <v>90000</v>
      </c>
    </row>
    <row r="19" spans="1:6" ht="20.149999999999999" customHeight="1">
      <c r="A19" s="9">
        <v>13</v>
      </c>
      <c r="B19" s="10" t="s">
        <v>264</v>
      </c>
      <c r="C19" s="11" t="s">
        <v>265</v>
      </c>
      <c r="D19" s="14" t="s">
        <v>266</v>
      </c>
      <c r="E19" s="612">
        <v>90000</v>
      </c>
      <c r="F19" s="12"/>
    </row>
    <row r="20" spans="1:6" ht="20.149999999999999" customHeight="1">
      <c r="A20" s="9">
        <v>14</v>
      </c>
      <c r="B20" s="17" t="s">
        <v>267</v>
      </c>
      <c r="C20" s="3" t="s">
        <v>268</v>
      </c>
      <c r="D20" s="14" t="s">
        <v>269</v>
      </c>
      <c r="E20" s="612">
        <v>90000</v>
      </c>
      <c r="F20" s="12"/>
    </row>
    <row r="21" spans="1:6" ht="18.75" customHeight="1">
      <c r="A21" s="9">
        <v>15</v>
      </c>
      <c r="B21" s="10" t="s">
        <v>270</v>
      </c>
      <c r="C21" s="11" t="s">
        <v>50</v>
      </c>
      <c r="D21" s="14" t="s">
        <v>271</v>
      </c>
      <c r="E21" s="612">
        <v>68000</v>
      </c>
      <c r="F21" s="12"/>
    </row>
    <row r="22" spans="1:6" ht="20.149999999999999" customHeight="1">
      <c r="A22" s="9">
        <v>16</v>
      </c>
      <c r="B22" s="13" t="s">
        <v>272</v>
      </c>
      <c r="C22" s="16" t="s">
        <v>273</v>
      </c>
      <c r="D22" s="9" t="s">
        <v>42</v>
      </c>
      <c r="E22" s="612">
        <v>68000</v>
      </c>
      <c r="F22" s="12"/>
    </row>
    <row r="23" spans="1:6" ht="21.65" customHeight="1">
      <c r="A23" s="9">
        <v>17</v>
      </c>
      <c r="B23" s="10" t="s">
        <v>274</v>
      </c>
      <c r="C23" s="16" t="s">
        <v>275</v>
      </c>
      <c r="D23" s="14" t="s">
        <v>42</v>
      </c>
      <c r="E23" s="612">
        <v>68000</v>
      </c>
      <c r="F23" s="12"/>
    </row>
    <row r="24" spans="1:6" ht="20.149999999999999" customHeight="1">
      <c r="A24" s="9">
        <v>18</v>
      </c>
      <c r="B24" s="13" t="s">
        <v>276</v>
      </c>
      <c r="C24" s="16" t="s">
        <v>277</v>
      </c>
      <c r="D24" s="9" t="s">
        <v>38</v>
      </c>
      <c r="E24" s="612">
        <v>68000</v>
      </c>
      <c r="F24" s="12"/>
    </row>
    <row r="25" spans="1:6" ht="18.75" customHeight="1">
      <c r="A25" s="9">
        <v>19</v>
      </c>
      <c r="B25" s="3" t="s">
        <v>278</v>
      </c>
      <c r="C25" s="3" t="s">
        <v>176</v>
      </c>
      <c r="D25" s="9" t="s">
        <v>279</v>
      </c>
      <c r="E25" s="612">
        <v>54000</v>
      </c>
      <c r="F25" s="12"/>
    </row>
    <row r="26" spans="1:6" ht="18.75" customHeight="1">
      <c r="A26" s="9">
        <v>20</v>
      </c>
      <c r="B26" s="17" t="s">
        <v>280</v>
      </c>
      <c r="C26" s="11" t="s">
        <v>176</v>
      </c>
      <c r="D26" s="14" t="s">
        <v>279</v>
      </c>
      <c r="E26" s="612">
        <v>54000</v>
      </c>
      <c r="F26" s="12"/>
    </row>
    <row r="27" spans="1:6" ht="20.149999999999999" customHeight="1">
      <c r="A27" s="9">
        <v>21</v>
      </c>
      <c r="B27" s="10" t="s">
        <v>281</v>
      </c>
      <c r="C27" s="16" t="s">
        <v>273</v>
      </c>
      <c r="D27" s="9" t="s">
        <v>279</v>
      </c>
      <c r="E27" s="612">
        <v>54000</v>
      </c>
      <c r="F27" s="12"/>
    </row>
    <row r="28" spans="1:6" ht="18.75" customHeight="1">
      <c r="A28" s="9">
        <v>22</v>
      </c>
      <c r="B28" s="17" t="s">
        <v>282</v>
      </c>
      <c r="C28" s="11" t="s">
        <v>28</v>
      </c>
      <c r="D28" s="14" t="s">
        <v>283</v>
      </c>
      <c r="E28" s="612">
        <v>54000</v>
      </c>
      <c r="F28" s="12"/>
    </row>
    <row r="29" spans="1:6" ht="18.75" customHeight="1">
      <c r="A29" s="9">
        <v>23</v>
      </c>
      <c r="B29" s="17" t="s">
        <v>284</v>
      </c>
      <c r="C29" s="3" t="s">
        <v>285</v>
      </c>
      <c r="D29" s="9" t="s">
        <v>25</v>
      </c>
      <c r="E29" s="612">
        <v>54000</v>
      </c>
      <c r="F29" s="12"/>
    </row>
    <row r="30" spans="1:6" ht="18.75" customHeight="1">
      <c r="A30" s="9">
        <v>24</v>
      </c>
      <c r="B30" s="17" t="s">
        <v>286</v>
      </c>
      <c r="C30" s="3" t="s">
        <v>285</v>
      </c>
      <c r="D30" s="9" t="s">
        <v>25</v>
      </c>
      <c r="E30" s="612">
        <v>54000</v>
      </c>
      <c r="F30" s="12"/>
    </row>
    <row r="31" spans="1:6" ht="18.75" customHeight="1">
      <c r="A31" s="9">
        <v>25</v>
      </c>
      <c r="B31" s="17" t="s">
        <v>287</v>
      </c>
      <c r="C31" s="16" t="s">
        <v>288</v>
      </c>
      <c r="D31" s="14" t="s">
        <v>279</v>
      </c>
      <c r="E31" s="612">
        <v>54000</v>
      </c>
      <c r="F31" s="12"/>
    </row>
    <row r="32" spans="1:6" ht="18.75" customHeight="1">
      <c r="A32" s="9">
        <v>26</v>
      </c>
      <c r="B32" s="17" t="s">
        <v>289</v>
      </c>
      <c r="C32" s="3" t="s">
        <v>290</v>
      </c>
      <c r="D32" s="9" t="s">
        <v>291</v>
      </c>
      <c r="E32" s="612">
        <v>54000</v>
      </c>
      <c r="F32" s="12"/>
    </row>
    <row r="33" spans="1:6" ht="18.75" customHeight="1">
      <c r="A33" s="9">
        <v>27</v>
      </c>
      <c r="B33" s="17" t="s">
        <v>292</v>
      </c>
      <c r="C33" s="11" t="s">
        <v>293</v>
      </c>
      <c r="D33" s="14" t="s">
        <v>294</v>
      </c>
      <c r="E33" s="612">
        <v>54000</v>
      </c>
      <c r="F33" s="12"/>
    </row>
    <row r="34" spans="1:6" ht="21" customHeight="1">
      <c r="A34" s="9"/>
      <c r="B34" s="19" t="s">
        <v>34</v>
      </c>
      <c r="C34" s="20">
        <v>27</v>
      </c>
      <c r="D34" s="14"/>
      <c r="E34" s="75">
        <f>SUM(E7:E33)</f>
        <v>2990000</v>
      </c>
      <c r="F34" s="12"/>
    </row>
    <row r="35" spans="1:6" ht="18.75" customHeight="1">
      <c r="A35" s="9"/>
      <c r="B35" s="21"/>
      <c r="C35" s="3"/>
      <c r="D35" s="14"/>
      <c r="E35" s="613"/>
      <c r="F35" s="12"/>
    </row>
    <row r="36" spans="1:6" ht="18.75" customHeight="1">
      <c r="A36" s="9"/>
      <c r="B36" s="19" t="s">
        <v>35</v>
      </c>
      <c r="C36" s="3"/>
      <c r="D36" s="14"/>
      <c r="E36" s="612"/>
      <c r="F36" s="12"/>
    </row>
    <row r="37" spans="1:6" ht="18.75" customHeight="1">
      <c r="A37" s="9">
        <v>1</v>
      </c>
      <c r="B37" s="17" t="s">
        <v>295</v>
      </c>
      <c r="C37" s="3" t="s">
        <v>296</v>
      </c>
      <c r="D37" s="9" t="s">
        <v>297</v>
      </c>
      <c r="E37" s="612">
        <v>270000</v>
      </c>
      <c r="F37" s="12"/>
    </row>
    <row r="38" spans="1:6" ht="18.75" customHeight="1">
      <c r="A38" s="9">
        <v>2</v>
      </c>
      <c r="B38" s="17" t="s">
        <v>298</v>
      </c>
      <c r="C38" s="3" t="s">
        <v>299</v>
      </c>
      <c r="D38" s="9" t="s">
        <v>38</v>
      </c>
      <c r="E38" s="612">
        <v>68000</v>
      </c>
      <c r="F38" s="12"/>
    </row>
    <row r="39" spans="1:6" ht="18.75" customHeight="1">
      <c r="A39" s="9">
        <v>3</v>
      </c>
      <c r="B39" s="10" t="s">
        <v>300</v>
      </c>
      <c r="C39" s="3" t="s">
        <v>299</v>
      </c>
      <c r="D39" s="14" t="s">
        <v>301</v>
      </c>
      <c r="E39" s="612">
        <v>68000</v>
      </c>
      <c r="F39" s="12"/>
    </row>
    <row r="40" spans="1:6" ht="19.5" customHeight="1">
      <c r="A40" s="9"/>
      <c r="B40" s="13"/>
      <c r="C40" s="20">
        <v>3</v>
      </c>
      <c r="D40" s="9"/>
      <c r="E40" s="75">
        <f t="shared" ref="E40" si="0">SUM(E37:E39)</f>
        <v>406000</v>
      </c>
      <c r="F40" s="12"/>
    </row>
    <row r="41" spans="1:6" ht="20.149999999999999" customHeight="1">
      <c r="A41" s="9"/>
      <c r="B41" s="13"/>
      <c r="C41" s="3"/>
      <c r="D41" s="9"/>
      <c r="E41" s="612"/>
      <c r="F41" s="12"/>
    </row>
    <row r="42" spans="1:6" ht="20.149999999999999" customHeight="1">
      <c r="A42" s="9"/>
      <c r="B42" s="22" t="s">
        <v>39</v>
      </c>
      <c r="C42" s="4"/>
      <c r="D42" s="23"/>
      <c r="E42" s="612"/>
      <c r="F42" s="12"/>
    </row>
    <row r="43" spans="1:6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612">
        <v>270000</v>
      </c>
      <c r="F43" s="12"/>
    </row>
    <row r="44" spans="1:6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612">
        <v>126000</v>
      </c>
      <c r="F44" s="12"/>
    </row>
    <row r="45" spans="1:6" ht="20.149999999999999" customHeight="1">
      <c r="A45" s="9">
        <v>3</v>
      </c>
      <c r="B45" s="10" t="s">
        <v>306</v>
      </c>
      <c r="C45" s="3" t="s">
        <v>307</v>
      </c>
      <c r="D45" s="9" t="s">
        <v>308</v>
      </c>
      <c r="E45" s="612">
        <v>180000</v>
      </c>
      <c r="F45" s="12"/>
    </row>
    <row r="46" spans="1:6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612">
        <v>126000</v>
      </c>
      <c r="F46" s="12"/>
    </row>
    <row r="47" spans="1:6" ht="20.149999999999999" customHeight="1">
      <c r="A47" s="9">
        <v>5</v>
      </c>
      <c r="B47" s="10" t="s">
        <v>311</v>
      </c>
      <c r="C47" s="3" t="s">
        <v>310</v>
      </c>
      <c r="D47" s="9" t="s">
        <v>249</v>
      </c>
      <c r="E47" s="612">
        <v>126000</v>
      </c>
      <c r="F47" s="12"/>
    </row>
    <row r="48" spans="1:6" ht="20.149999999999999" customHeight="1">
      <c r="A48" s="9">
        <v>6</v>
      </c>
      <c r="B48" s="10" t="s">
        <v>312</v>
      </c>
      <c r="C48" s="3" t="s">
        <v>310</v>
      </c>
      <c r="D48" s="9" t="s">
        <v>228</v>
      </c>
      <c r="E48" s="612">
        <v>126000</v>
      </c>
      <c r="F48" s="12"/>
    </row>
    <row r="49" spans="1:6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612">
        <v>90000</v>
      </c>
      <c r="F49" s="12"/>
    </row>
    <row r="50" spans="1:6" ht="20.149999999999999" customHeight="1">
      <c r="A50" s="9">
        <v>8</v>
      </c>
      <c r="B50" s="10" t="s">
        <v>314</v>
      </c>
      <c r="C50" s="3" t="s">
        <v>63</v>
      </c>
      <c r="D50" s="9" t="s">
        <v>301</v>
      </c>
      <c r="E50" s="612">
        <v>68000</v>
      </c>
      <c r="F50" s="12"/>
    </row>
    <row r="51" spans="1:6" ht="20.149999999999999" customHeight="1">
      <c r="A51" s="9">
        <v>9</v>
      </c>
      <c r="B51" s="10" t="s">
        <v>315</v>
      </c>
      <c r="C51" s="3" t="s">
        <v>63</v>
      </c>
      <c r="D51" s="9" t="s">
        <v>283</v>
      </c>
      <c r="E51" s="612">
        <v>54000</v>
      </c>
      <c r="F51" s="12"/>
    </row>
    <row r="52" spans="1:6" ht="20.149999999999999" customHeight="1">
      <c r="A52" s="9">
        <v>10</v>
      </c>
      <c r="B52" s="10" t="s">
        <v>316</v>
      </c>
      <c r="C52" s="3" t="s">
        <v>63</v>
      </c>
      <c r="D52" s="9" t="s">
        <v>283</v>
      </c>
      <c r="E52" s="612">
        <v>54000</v>
      </c>
      <c r="F52" s="12"/>
    </row>
    <row r="53" spans="1:6" ht="20.149999999999999" customHeight="1">
      <c r="A53" s="9">
        <v>11</v>
      </c>
      <c r="B53" s="10" t="s">
        <v>317</v>
      </c>
      <c r="C53" s="3" t="s">
        <v>63</v>
      </c>
      <c r="D53" s="9" t="s">
        <v>283</v>
      </c>
      <c r="E53" s="612">
        <v>54000</v>
      </c>
      <c r="F53" s="12"/>
    </row>
    <row r="54" spans="1:6" ht="25.5" customHeight="1">
      <c r="A54" s="9"/>
      <c r="B54" s="19" t="s">
        <v>34</v>
      </c>
      <c r="C54" s="20">
        <v>11</v>
      </c>
      <c r="D54" s="20"/>
      <c r="E54" s="614">
        <f>SUM(E43:E53)</f>
        <v>1274000</v>
      </c>
      <c r="F54" s="12"/>
    </row>
    <row r="55" spans="1:6" ht="20.149999999999999" customHeight="1">
      <c r="A55" s="9"/>
      <c r="B55" s="21"/>
      <c r="C55" s="20"/>
      <c r="D55" s="20"/>
      <c r="E55" s="615"/>
      <c r="F55" s="12"/>
    </row>
    <row r="56" spans="1:6" ht="20.149999999999999" customHeight="1">
      <c r="A56" s="9"/>
      <c r="B56" s="19" t="s">
        <v>318</v>
      </c>
      <c r="C56" s="20"/>
      <c r="D56" s="20"/>
      <c r="E56" s="615"/>
      <c r="F56" s="12"/>
    </row>
    <row r="57" spans="1:6" ht="20.149999999999999" customHeight="1">
      <c r="A57" s="9">
        <v>1</v>
      </c>
      <c r="B57" s="10" t="s">
        <v>319</v>
      </c>
      <c r="C57" s="11" t="s">
        <v>320</v>
      </c>
      <c r="D57" s="14" t="s">
        <v>297</v>
      </c>
      <c r="E57" s="612">
        <v>270000</v>
      </c>
      <c r="F57" s="12"/>
    </row>
    <row r="58" spans="1:6" ht="20.149999999999999" customHeight="1">
      <c r="A58" s="9">
        <v>2</v>
      </c>
      <c r="B58" s="10" t="s">
        <v>321</v>
      </c>
      <c r="C58" s="11" t="s">
        <v>322</v>
      </c>
      <c r="D58" s="14" t="s">
        <v>225</v>
      </c>
      <c r="E58" s="612">
        <v>126000</v>
      </c>
      <c r="F58" s="12"/>
    </row>
    <row r="59" spans="1:6" ht="20.149999999999999" customHeight="1">
      <c r="A59" s="9"/>
      <c r="B59" s="19" t="s">
        <v>34</v>
      </c>
      <c r="C59" s="20">
        <v>2</v>
      </c>
      <c r="D59" s="20"/>
      <c r="E59" s="614">
        <f t="shared" ref="E59" si="1">SUM(E57:E58)</f>
        <v>396000</v>
      </c>
      <c r="F59" s="12"/>
    </row>
    <row r="60" spans="1:6" ht="20.149999999999999" customHeight="1">
      <c r="A60" s="9"/>
      <c r="B60" s="19"/>
      <c r="C60" s="20"/>
      <c r="D60" s="20"/>
      <c r="E60" s="615"/>
      <c r="F60" s="12"/>
    </row>
    <row r="61" spans="1:6" ht="20.149999999999999" customHeight="1">
      <c r="A61" s="9"/>
      <c r="B61" s="19" t="s">
        <v>45</v>
      </c>
      <c r="C61" s="20"/>
      <c r="D61" s="20"/>
      <c r="E61" s="615"/>
      <c r="F61" s="12"/>
    </row>
    <row r="62" spans="1:6" ht="20.149999999999999" customHeight="1">
      <c r="A62" s="9">
        <v>1</v>
      </c>
      <c r="B62" s="10" t="s">
        <v>323</v>
      </c>
      <c r="C62" s="16" t="s">
        <v>324</v>
      </c>
      <c r="D62" s="9" t="s">
        <v>297</v>
      </c>
      <c r="E62" s="612">
        <v>270000</v>
      </c>
      <c r="F62" s="12"/>
    </row>
    <row r="63" spans="1:6" ht="20.149999999999999" customHeight="1">
      <c r="A63" s="9">
        <v>2</v>
      </c>
      <c r="B63" s="328" t="s">
        <v>325</v>
      </c>
      <c r="C63" s="16" t="s">
        <v>326</v>
      </c>
      <c r="D63" s="14" t="s">
        <v>327</v>
      </c>
      <c r="E63" s="612">
        <v>126000</v>
      </c>
      <c r="F63" s="12"/>
    </row>
    <row r="64" spans="1:6" ht="20.149999999999999" customHeight="1">
      <c r="A64" s="9">
        <v>3</v>
      </c>
      <c r="B64" s="10" t="s">
        <v>328</v>
      </c>
      <c r="C64" s="3" t="s">
        <v>256</v>
      </c>
      <c r="D64" s="9" t="s">
        <v>260</v>
      </c>
      <c r="E64" s="612">
        <v>90000</v>
      </c>
      <c r="F64" s="12"/>
    </row>
    <row r="65" spans="1:6" ht="20.149999999999999" customHeight="1">
      <c r="A65" s="9">
        <v>4</v>
      </c>
      <c r="B65" s="17" t="s">
        <v>329</v>
      </c>
      <c r="C65" s="16" t="s">
        <v>47</v>
      </c>
      <c r="D65" s="14" t="s">
        <v>266</v>
      </c>
      <c r="E65" s="612">
        <v>90000</v>
      </c>
      <c r="F65" s="12"/>
    </row>
    <row r="66" spans="1:6" ht="20.149999999999999" customHeight="1">
      <c r="A66" s="9">
        <v>5</v>
      </c>
      <c r="B66" s="13" t="s">
        <v>330</v>
      </c>
      <c r="C66" s="16" t="s">
        <v>256</v>
      </c>
      <c r="D66" s="14" t="s">
        <v>254</v>
      </c>
      <c r="E66" s="612">
        <v>90000</v>
      </c>
      <c r="F66" s="12"/>
    </row>
    <row r="67" spans="1:6" ht="20.149999999999999" customHeight="1">
      <c r="A67" s="9">
        <v>7</v>
      </c>
      <c r="B67" s="10" t="s">
        <v>331</v>
      </c>
      <c r="C67" s="3" t="s">
        <v>63</v>
      </c>
      <c r="D67" s="9" t="s">
        <v>332</v>
      </c>
      <c r="E67" s="612">
        <v>68000</v>
      </c>
      <c r="F67" s="12"/>
    </row>
    <row r="68" spans="1:6" ht="20.149999999999999" customHeight="1">
      <c r="A68" s="9">
        <v>8</v>
      </c>
      <c r="B68" s="10" t="s">
        <v>333</v>
      </c>
      <c r="C68" s="16" t="s">
        <v>275</v>
      </c>
      <c r="D68" s="9" t="s">
        <v>332</v>
      </c>
      <c r="E68" s="612">
        <v>68000</v>
      </c>
      <c r="F68" s="12"/>
    </row>
    <row r="69" spans="1:6" ht="20.149999999999999" customHeight="1">
      <c r="A69" s="9">
        <v>9</v>
      </c>
      <c r="B69" s="10" t="s">
        <v>334</v>
      </c>
      <c r="C69" s="16" t="s">
        <v>275</v>
      </c>
      <c r="D69" s="9" t="s">
        <v>332</v>
      </c>
      <c r="E69" s="612">
        <v>68000</v>
      </c>
      <c r="F69" s="12"/>
    </row>
    <row r="70" spans="1:6" ht="20.149999999999999" customHeight="1">
      <c r="A70" s="9">
        <v>10</v>
      </c>
      <c r="B70" s="10" t="s">
        <v>335</v>
      </c>
      <c r="C70" s="3" t="s">
        <v>336</v>
      </c>
      <c r="D70" s="9" t="s">
        <v>271</v>
      </c>
      <c r="E70" s="612">
        <v>68000</v>
      </c>
      <c r="F70" s="12"/>
    </row>
    <row r="71" spans="1:6" ht="21.65" customHeight="1">
      <c r="A71" s="9">
        <v>11</v>
      </c>
      <c r="B71" s="10" t="s">
        <v>337</v>
      </c>
      <c r="C71" s="3" t="s">
        <v>63</v>
      </c>
      <c r="D71" s="9" t="s">
        <v>301</v>
      </c>
      <c r="E71" s="612">
        <v>68000</v>
      </c>
    </row>
    <row r="72" spans="1:6" ht="27" customHeight="1">
      <c r="A72" s="9"/>
      <c r="B72" s="19" t="s">
        <v>34</v>
      </c>
      <c r="C72" s="20">
        <v>12</v>
      </c>
      <c r="D72" s="20"/>
      <c r="E72" s="77">
        <f>SUM(E62:E71)</f>
        <v>1006000</v>
      </c>
      <c r="F72" s="12"/>
    </row>
    <row r="73" spans="1:6" ht="20.149999999999999" customHeight="1">
      <c r="A73" s="9"/>
      <c r="B73" s="21"/>
      <c r="C73" s="20"/>
      <c r="D73" s="20"/>
      <c r="E73" s="615"/>
      <c r="F73" s="12"/>
    </row>
    <row r="74" spans="1:6" ht="20.149999999999999" customHeight="1">
      <c r="A74" s="9"/>
      <c r="B74" s="19" t="s">
        <v>51</v>
      </c>
      <c r="C74" s="20"/>
      <c r="D74" s="20"/>
      <c r="E74" s="615"/>
      <c r="F74" s="12"/>
    </row>
    <row r="75" spans="1:6" ht="20.149999999999999" customHeight="1">
      <c r="A75" s="9">
        <v>1</v>
      </c>
      <c r="B75" s="10" t="s">
        <v>338</v>
      </c>
      <c r="C75" s="3" t="s">
        <v>339</v>
      </c>
      <c r="D75" s="9" t="s">
        <v>297</v>
      </c>
      <c r="E75" s="612">
        <v>270000</v>
      </c>
      <c r="F75" s="12"/>
    </row>
    <row r="76" spans="1:6" ht="20.149999999999999" customHeight="1">
      <c r="A76" s="9">
        <v>2</v>
      </c>
      <c r="B76" s="13" t="s">
        <v>220</v>
      </c>
      <c r="C76" s="3" t="s">
        <v>221</v>
      </c>
      <c r="D76" s="14" t="s">
        <v>222</v>
      </c>
      <c r="E76" s="612">
        <v>126000</v>
      </c>
      <c r="F76" s="12"/>
    </row>
    <row r="77" spans="1:6" ht="20.149999999999999" customHeight="1">
      <c r="A77" s="9">
        <v>3</v>
      </c>
      <c r="B77" s="17" t="s">
        <v>223</v>
      </c>
      <c r="C77" s="11" t="s">
        <v>224</v>
      </c>
      <c r="D77" s="9" t="s">
        <v>225</v>
      </c>
      <c r="E77" s="612">
        <v>126000</v>
      </c>
      <c r="F77" s="12"/>
    </row>
    <row r="78" spans="1:6" ht="20.149999999999999" customHeight="1">
      <c r="A78" s="9">
        <v>4</v>
      </c>
      <c r="B78" s="10" t="s">
        <v>340</v>
      </c>
      <c r="C78" s="3" t="s">
        <v>341</v>
      </c>
      <c r="D78" s="14" t="s">
        <v>342</v>
      </c>
      <c r="E78" s="612">
        <v>90000</v>
      </c>
      <c r="F78" s="12"/>
    </row>
    <row r="79" spans="1:6" ht="20.149999999999999" customHeight="1">
      <c r="A79" s="9">
        <v>5</v>
      </c>
      <c r="B79" s="10" t="s">
        <v>343</v>
      </c>
      <c r="C79" s="3" t="s">
        <v>344</v>
      </c>
      <c r="D79" s="9" t="s">
        <v>345</v>
      </c>
      <c r="E79" s="612">
        <v>68000</v>
      </c>
      <c r="F79" s="12"/>
    </row>
    <row r="80" spans="1:6" ht="20.149999999999999" customHeight="1">
      <c r="A80" s="9">
        <v>6</v>
      </c>
      <c r="B80" s="10" t="s">
        <v>346</v>
      </c>
      <c r="C80" s="3" t="s">
        <v>344</v>
      </c>
      <c r="D80" s="9" t="s">
        <v>283</v>
      </c>
      <c r="E80" s="612">
        <v>54000</v>
      </c>
      <c r="F80" s="12"/>
    </row>
    <row r="81" spans="1:6" ht="20.149999999999999" customHeight="1">
      <c r="A81" s="9">
        <v>7</v>
      </c>
      <c r="B81" s="10" t="s">
        <v>347</v>
      </c>
      <c r="C81" s="3" t="s">
        <v>348</v>
      </c>
      <c r="D81" s="9" t="s">
        <v>294</v>
      </c>
      <c r="E81" s="612">
        <v>54000</v>
      </c>
      <c r="F81" s="12"/>
    </row>
    <row r="82" spans="1:6" ht="20.149999999999999" customHeight="1">
      <c r="A82" s="9"/>
      <c r="B82" s="19" t="s">
        <v>34</v>
      </c>
      <c r="C82" s="20">
        <v>7</v>
      </c>
      <c r="D82" s="20"/>
      <c r="E82" s="614">
        <f t="shared" ref="E82" si="2">SUM(E75:E81)</f>
        <v>788000</v>
      </c>
      <c r="F82" s="12"/>
    </row>
    <row r="83" spans="1:6" ht="20.149999999999999" customHeight="1">
      <c r="A83" s="9"/>
      <c r="B83" s="19"/>
      <c r="C83" s="20"/>
      <c r="D83" s="20"/>
      <c r="E83" s="612"/>
      <c r="F83" s="12"/>
    </row>
    <row r="84" spans="1:6" ht="20.149999999999999" customHeight="1">
      <c r="A84" s="9"/>
      <c r="B84" s="19" t="s">
        <v>56</v>
      </c>
      <c r="C84" s="24"/>
      <c r="D84" s="20"/>
      <c r="E84" s="612"/>
      <c r="F84" s="12"/>
    </row>
    <row r="85" spans="1:6" ht="20.149999999999999" customHeight="1">
      <c r="A85" s="9">
        <v>1</v>
      </c>
      <c r="B85" s="10" t="s">
        <v>349</v>
      </c>
      <c r="C85" s="3" t="s">
        <v>310</v>
      </c>
      <c r="D85" s="9" t="s">
        <v>249</v>
      </c>
      <c r="E85" s="612">
        <v>126000</v>
      </c>
      <c r="F85" s="12"/>
    </row>
    <row r="86" spans="1:6" ht="20.149999999999999" customHeight="1">
      <c r="A86" s="9">
        <v>2</v>
      </c>
      <c r="B86" s="10" t="s">
        <v>350</v>
      </c>
      <c r="C86" s="3" t="s">
        <v>310</v>
      </c>
      <c r="D86" s="9" t="s">
        <v>249</v>
      </c>
      <c r="E86" s="612">
        <v>126000</v>
      </c>
      <c r="F86" s="12"/>
    </row>
    <row r="87" spans="1:6" ht="20.149999999999999" customHeight="1">
      <c r="A87" s="9">
        <v>3</v>
      </c>
      <c r="B87" s="10" t="s">
        <v>351</v>
      </c>
      <c r="C87" s="3" t="s">
        <v>310</v>
      </c>
      <c r="D87" s="9" t="s">
        <v>228</v>
      </c>
      <c r="E87" s="612">
        <v>126000</v>
      </c>
      <c r="F87" s="12"/>
    </row>
    <row r="88" spans="1:6" ht="21.65" customHeight="1">
      <c r="A88" s="9">
        <v>4</v>
      </c>
      <c r="B88" s="10" t="s">
        <v>352</v>
      </c>
      <c r="C88" s="3" t="s">
        <v>353</v>
      </c>
      <c r="D88" s="14" t="s">
        <v>263</v>
      </c>
      <c r="E88" s="612">
        <v>90000</v>
      </c>
      <c r="F88" s="12"/>
    </row>
    <row r="89" spans="1:6" ht="21.65" customHeight="1">
      <c r="A89" s="9">
        <v>5</v>
      </c>
      <c r="B89" s="10" t="s">
        <v>354</v>
      </c>
      <c r="C89" s="11" t="s">
        <v>47</v>
      </c>
      <c r="D89" s="14" t="s">
        <v>266</v>
      </c>
      <c r="E89" s="612">
        <v>90000</v>
      </c>
      <c r="F89" s="12"/>
    </row>
    <row r="90" spans="1:6" ht="21.65" customHeight="1">
      <c r="A90" s="9">
        <v>6</v>
      </c>
      <c r="B90" s="10" t="s">
        <v>355</v>
      </c>
      <c r="C90" s="11" t="s">
        <v>256</v>
      </c>
      <c r="D90" s="14" t="s">
        <v>356</v>
      </c>
      <c r="E90" s="612">
        <v>90000</v>
      </c>
      <c r="F90" s="12"/>
    </row>
    <row r="91" spans="1:6" ht="21.65" customHeight="1">
      <c r="A91" s="9">
        <v>7</v>
      </c>
      <c r="B91" s="10" t="s">
        <v>357</v>
      </c>
      <c r="C91" s="16" t="s">
        <v>275</v>
      </c>
      <c r="D91" s="14" t="s">
        <v>332</v>
      </c>
      <c r="E91" s="612">
        <v>68000</v>
      </c>
      <c r="F91" s="12"/>
    </row>
    <row r="92" spans="1:6" ht="21.65" customHeight="1">
      <c r="A92" s="9">
        <v>8</v>
      </c>
      <c r="B92" s="10" t="s">
        <v>358</v>
      </c>
      <c r="C92" s="16" t="s">
        <v>47</v>
      </c>
      <c r="D92" s="14" t="s">
        <v>48</v>
      </c>
      <c r="E92" s="612">
        <v>90000</v>
      </c>
      <c r="F92" s="12"/>
    </row>
    <row r="93" spans="1:6" ht="21.65" customHeight="1">
      <c r="A93" s="9">
        <v>9</v>
      </c>
      <c r="B93" s="10" t="s">
        <v>359</v>
      </c>
      <c r="C93" s="3" t="s">
        <v>360</v>
      </c>
      <c r="D93" s="9" t="s">
        <v>301</v>
      </c>
      <c r="E93" s="612">
        <v>68000</v>
      </c>
      <c r="F93" s="12"/>
    </row>
    <row r="94" spans="1:6" ht="21.65" customHeight="1">
      <c r="A94" s="9">
        <v>10</v>
      </c>
      <c r="B94" s="10" t="s">
        <v>361</v>
      </c>
      <c r="C94" s="16" t="s">
        <v>362</v>
      </c>
      <c r="D94" s="14" t="s">
        <v>291</v>
      </c>
      <c r="E94" s="612">
        <v>54000</v>
      </c>
      <c r="F94" s="12"/>
    </row>
    <row r="95" spans="1:6" ht="20.149999999999999" customHeight="1">
      <c r="A95" s="9"/>
      <c r="B95" s="19" t="s">
        <v>34</v>
      </c>
      <c r="C95" s="20">
        <v>11</v>
      </c>
      <c r="D95" s="20"/>
      <c r="E95" s="614">
        <f>SUM(E85:E94)</f>
        <v>928000</v>
      </c>
      <c r="F95" s="12"/>
    </row>
    <row r="96" spans="1:6" ht="20.149999999999999" customHeight="1">
      <c r="A96" s="9"/>
      <c r="B96" s="21"/>
      <c r="C96" s="20"/>
      <c r="D96" s="20"/>
      <c r="E96" s="615"/>
      <c r="F96" s="12"/>
    </row>
    <row r="97" spans="1:6" ht="20.149999999999999" customHeight="1">
      <c r="A97" s="9"/>
      <c r="B97" s="19" t="s">
        <v>58</v>
      </c>
      <c r="C97" s="20"/>
      <c r="D97" s="20"/>
      <c r="E97" s="615"/>
      <c r="F97" s="12"/>
    </row>
    <row r="98" spans="1:6" ht="20.149999999999999" customHeight="1">
      <c r="A98" s="9">
        <v>1</v>
      </c>
      <c r="B98" s="13" t="s">
        <v>363</v>
      </c>
      <c r="C98" s="3" t="s">
        <v>364</v>
      </c>
      <c r="D98" s="15" t="s">
        <v>365</v>
      </c>
      <c r="E98" s="612">
        <v>270000</v>
      </c>
      <c r="F98" s="12"/>
    </row>
    <row r="99" spans="1:6" ht="20.149999999999999" customHeight="1">
      <c r="A99" s="9">
        <v>2</v>
      </c>
      <c r="B99" s="10" t="s">
        <v>366</v>
      </c>
      <c r="C99" s="3" t="s">
        <v>367</v>
      </c>
      <c r="D99" s="14" t="s">
        <v>342</v>
      </c>
      <c r="E99" s="612">
        <v>90000</v>
      </c>
      <c r="F99" s="12"/>
    </row>
    <row r="100" spans="1:6" ht="20.149999999999999" customHeight="1">
      <c r="A100" s="9">
        <v>3</v>
      </c>
      <c r="B100" s="10" t="s">
        <v>368</v>
      </c>
      <c r="C100" s="3" t="s">
        <v>369</v>
      </c>
      <c r="D100" s="14" t="s">
        <v>271</v>
      </c>
      <c r="E100" s="612">
        <v>68000</v>
      </c>
      <c r="F100" s="12"/>
    </row>
    <row r="101" spans="1:6" ht="20.149999999999999" customHeight="1">
      <c r="A101" s="9">
        <v>4</v>
      </c>
      <c r="B101" s="10" t="s">
        <v>370</v>
      </c>
      <c r="C101" s="3" t="s">
        <v>371</v>
      </c>
      <c r="D101" s="14" t="s">
        <v>301</v>
      </c>
      <c r="E101" s="612">
        <v>68000</v>
      </c>
      <c r="F101" s="12"/>
    </row>
    <row r="102" spans="1:6" ht="20.149999999999999" customHeight="1">
      <c r="A102" s="3"/>
      <c r="B102" s="19" t="s">
        <v>34</v>
      </c>
      <c r="C102" s="20">
        <v>4</v>
      </c>
      <c r="D102" s="25"/>
      <c r="E102" s="77">
        <f t="shared" ref="E102" si="3">SUM(E98:E101)</f>
        <v>496000</v>
      </c>
      <c r="F102" s="12"/>
    </row>
    <row r="103" spans="1:6" ht="20.149999999999999" customHeight="1">
      <c r="A103" s="3"/>
      <c r="B103" s="21"/>
      <c r="C103" s="20"/>
      <c r="D103" s="25"/>
      <c r="E103" s="615"/>
      <c r="F103" s="12"/>
    </row>
    <row r="104" spans="1:6" ht="20.149999999999999" customHeight="1">
      <c r="A104" s="3"/>
      <c r="B104" s="19" t="s">
        <v>372</v>
      </c>
      <c r="C104" s="3"/>
      <c r="D104" s="3"/>
      <c r="E104" s="616"/>
      <c r="F104" s="12"/>
    </row>
    <row r="105" spans="1:6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612">
        <v>270000</v>
      </c>
      <c r="F105" s="12"/>
    </row>
    <row r="106" spans="1:6" ht="20.149999999999999" customHeight="1">
      <c r="A106" s="3">
        <v>2</v>
      </c>
      <c r="B106" s="10" t="s">
        <v>375</v>
      </c>
      <c r="C106" s="3" t="s">
        <v>376</v>
      </c>
      <c r="D106" s="15" t="s">
        <v>231</v>
      </c>
      <c r="E106" s="612">
        <v>180000</v>
      </c>
      <c r="F106" s="12"/>
    </row>
    <row r="107" spans="1:6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612">
        <v>90000</v>
      </c>
      <c r="F107" s="12"/>
    </row>
    <row r="108" spans="1:6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612">
        <v>90000</v>
      </c>
      <c r="F108" s="12"/>
    </row>
    <row r="109" spans="1:6" ht="20.149999999999999" customHeight="1">
      <c r="A109" s="3">
        <v>5</v>
      </c>
      <c r="B109" s="10" t="s">
        <v>380</v>
      </c>
      <c r="C109" s="3" t="s">
        <v>381</v>
      </c>
      <c r="D109" s="14" t="s">
        <v>382</v>
      </c>
      <c r="E109" s="612">
        <v>54000</v>
      </c>
      <c r="F109" s="12"/>
    </row>
    <row r="110" spans="1:6" ht="20.149999999999999" customHeight="1">
      <c r="A110" s="3">
        <v>6</v>
      </c>
      <c r="B110" s="17" t="s">
        <v>383</v>
      </c>
      <c r="C110" s="3" t="s">
        <v>381</v>
      </c>
      <c r="D110" s="9" t="s">
        <v>384</v>
      </c>
      <c r="E110" s="612">
        <v>54000</v>
      </c>
      <c r="F110" s="12"/>
    </row>
    <row r="111" spans="1:6" ht="20.149999999999999" customHeight="1">
      <c r="A111" s="3">
        <v>7</v>
      </c>
      <c r="B111" s="17" t="s">
        <v>385</v>
      </c>
      <c r="C111" s="3" t="s">
        <v>381</v>
      </c>
      <c r="D111" s="14" t="s">
        <v>291</v>
      </c>
      <c r="E111" s="612">
        <v>54000</v>
      </c>
      <c r="F111" s="12"/>
    </row>
    <row r="112" spans="1:6" ht="25.5" customHeight="1">
      <c r="A112" s="3"/>
      <c r="B112" s="19" t="s">
        <v>34</v>
      </c>
      <c r="C112" s="20">
        <v>7</v>
      </c>
      <c r="D112" s="3"/>
      <c r="E112" s="617">
        <f t="shared" ref="E112" si="4">SUM(E105:E111)</f>
        <v>792000</v>
      </c>
      <c r="F112" s="12"/>
    </row>
    <row r="113" spans="1:6" ht="20.149999999999999" customHeight="1">
      <c r="A113" s="3"/>
      <c r="B113" s="19"/>
      <c r="C113" s="20"/>
      <c r="D113" s="3"/>
      <c r="E113" s="617"/>
      <c r="F113" s="12"/>
    </row>
    <row r="114" spans="1:6" ht="20.149999999999999" customHeight="1">
      <c r="A114" s="9"/>
      <c r="B114" s="19" t="s">
        <v>61</v>
      </c>
      <c r="C114" s="20"/>
      <c r="D114" s="20"/>
      <c r="E114" s="615"/>
      <c r="F114" s="12"/>
    </row>
    <row r="115" spans="1:6" ht="20.149999999999999" customHeight="1">
      <c r="A115" s="9">
        <v>1</v>
      </c>
      <c r="B115" s="13" t="s">
        <v>386</v>
      </c>
      <c r="C115" s="3" t="s">
        <v>310</v>
      </c>
      <c r="D115" s="9" t="s">
        <v>327</v>
      </c>
      <c r="E115" s="612">
        <v>126000</v>
      </c>
      <c r="F115" s="12"/>
    </row>
    <row r="116" spans="1:6" ht="18.75" customHeight="1">
      <c r="A116" s="9">
        <v>2</v>
      </c>
      <c r="B116" s="10" t="s">
        <v>387</v>
      </c>
      <c r="C116" s="3" t="s">
        <v>388</v>
      </c>
      <c r="D116" s="14" t="s">
        <v>271</v>
      </c>
      <c r="E116" s="612">
        <v>68000</v>
      </c>
      <c r="F116" s="12"/>
    </row>
    <row r="117" spans="1:6" ht="20.149999999999999" customHeight="1">
      <c r="A117" s="9">
        <v>3</v>
      </c>
      <c r="B117" s="10" t="s">
        <v>389</v>
      </c>
      <c r="C117" s="11" t="s">
        <v>390</v>
      </c>
      <c r="D117" s="14" t="s">
        <v>391</v>
      </c>
      <c r="E117" s="612">
        <v>68000</v>
      </c>
      <c r="F117" s="12"/>
    </row>
    <row r="118" spans="1:6" ht="24.75" customHeight="1">
      <c r="A118" s="3"/>
      <c r="B118" s="19" t="s">
        <v>34</v>
      </c>
      <c r="C118" s="20">
        <v>2</v>
      </c>
      <c r="D118" s="25"/>
      <c r="E118" s="77">
        <f t="shared" ref="E118" si="5">SUM(E115:E117)</f>
        <v>262000</v>
      </c>
      <c r="F118" s="12"/>
    </row>
    <row r="119" spans="1:6" ht="20.149999999999999" customHeight="1">
      <c r="A119" s="3"/>
      <c r="B119" s="21"/>
      <c r="C119" s="9"/>
      <c r="D119" s="3"/>
      <c r="E119" s="618"/>
      <c r="F119" s="12"/>
    </row>
    <row r="120" spans="1:6" ht="20.149999999999999" customHeight="1">
      <c r="A120" s="3"/>
      <c r="B120" s="19" t="s">
        <v>67</v>
      </c>
      <c r="C120" s="20"/>
      <c r="D120" s="20"/>
      <c r="E120" s="612"/>
      <c r="F120" s="12"/>
    </row>
    <row r="121" spans="1:6" ht="20.149999999999999" customHeight="1">
      <c r="A121" s="3">
        <v>1</v>
      </c>
      <c r="B121" s="10" t="s">
        <v>392</v>
      </c>
      <c r="C121" s="11" t="s">
        <v>393</v>
      </c>
      <c r="D121" s="14" t="s">
        <v>297</v>
      </c>
      <c r="E121" s="612">
        <v>270000</v>
      </c>
      <c r="F121" s="12"/>
    </row>
    <row r="122" spans="1:6" ht="20.149999999999999" customHeight="1">
      <c r="A122" s="3">
        <v>2</v>
      </c>
      <c r="B122" s="10" t="s">
        <v>130</v>
      </c>
      <c r="C122" s="11" t="s">
        <v>394</v>
      </c>
      <c r="D122" s="14" t="s">
        <v>308</v>
      </c>
      <c r="E122" s="612">
        <v>180000</v>
      </c>
      <c r="F122" s="12"/>
    </row>
    <row r="123" spans="1:6" ht="20.149999999999999" customHeight="1">
      <c r="A123" s="3">
        <v>3</v>
      </c>
      <c r="B123" s="13" t="s">
        <v>395</v>
      </c>
      <c r="C123" s="11" t="s">
        <v>227</v>
      </c>
      <c r="D123" s="14" t="s">
        <v>249</v>
      </c>
      <c r="E123" s="612">
        <v>126000</v>
      </c>
      <c r="F123" s="12"/>
    </row>
    <row r="124" spans="1:6" ht="20.149999999999999" customHeight="1">
      <c r="A124" s="3">
        <v>4</v>
      </c>
      <c r="B124" s="13" t="s">
        <v>226</v>
      </c>
      <c r="C124" s="11" t="s">
        <v>227</v>
      </c>
      <c r="D124" s="14" t="s">
        <v>228</v>
      </c>
      <c r="E124" s="612">
        <v>126000</v>
      </c>
      <c r="F124" s="12"/>
    </row>
    <row r="125" spans="1:6" ht="20.149999999999999" customHeight="1">
      <c r="A125" s="3">
        <v>5</v>
      </c>
      <c r="B125" s="10" t="s">
        <v>396</v>
      </c>
      <c r="C125" s="11" t="s">
        <v>397</v>
      </c>
      <c r="D125" s="14" t="s">
        <v>257</v>
      </c>
      <c r="E125" s="612">
        <v>90000</v>
      </c>
      <c r="F125" s="12"/>
    </row>
    <row r="126" spans="1:6" ht="20.149999999999999" customHeight="1">
      <c r="A126" s="3">
        <v>6</v>
      </c>
      <c r="B126" s="10" t="s">
        <v>398</v>
      </c>
      <c r="C126" s="11" t="s">
        <v>399</v>
      </c>
      <c r="D126" s="14" t="s">
        <v>260</v>
      </c>
      <c r="E126" s="612">
        <v>90000</v>
      </c>
      <c r="F126" s="12"/>
    </row>
    <row r="127" spans="1:6" ht="20.149999999999999" customHeight="1">
      <c r="A127" s="3">
        <v>7</v>
      </c>
      <c r="B127" s="10" t="s">
        <v>400</v>
      </c>
      <c r="C127" s="11" t="s">
        <v>397</v>
      </c>
      <c r="D127" s="14" t="s">
        <v>342</v>
      </c>
      <c r="E127" s="612">
        <v>90000</v>
      </c>
      <c r="F127" s="12"/>
    </row>
    <row r="128" spans="1:6" ht="20.149999999999999" customHeight="1">
      <c r="A128" s="3">
        <v>8</v>
      </c>
      <c r="B128" s="10" t="s">
        <v>401</v>
      </c>
      <c r="C128" s="11" t="s">
        <v>402</v>
      </c>
      <c r="D128" s="9" t="s">
        <v>279</v>
      </c>
      <c r="E128" s="612">
        <v>54000</v>
      </c>
      <c r="F128" s="12"/>
    </row>
    <row r="129" spans="1:6" ht="20.149999999999999" customHeight="1">
      <c r="A129" s="3">
        <v>9</v>
      </c>
      <c r="B129" s="17" t="s">
        <v>403</v>
      </c>
      <c r="C129" s="11" t="s">
        <v>404</v>
      </c>
      <c r="D129" s="14" t="s">
        <v>294</v>
      </c>
      <c r="E129" s="612">
        <v>54000</v>
      </c>
      <c r="F129" s="12"/>
    </row>
    <row r="130" spans="1:6" ht="20.149999999999999" customHeight="1">
      <c r="A130" s="3">
        <v>10</v>
      </c>
      <c r="B130" s="17" t="s">
        <v>405</v>
      </c>
      <c r="C130" s="11" t="s">
        <v>69</v>
      </c>
      <c r="D130" s="14" t="s">
        <v>294</v>
      </c>
      <c r="E130" s="612">
        <v>54000</v>
      </c>
      <c r="F130" s="12"/>
    </row>
    <row r="131" spans="1:6" ht="28.5" customHeight="1">
      <c r="A131" s="3"/>
      <c r="B131" s="19" t="s">
        <v>34</v>
      </c>
      <c r="C131" s="25" t="s">
        <v>406</v>
      </c>
      <c r="D131" s="14"/>
      <c r="E131" s="615">
        <f t="shared" ref="E131" si="6">SUM(E121:E130)</f>
        <v>1134000</v>
      </c>
      <c r="F131" s="12"/>
    </row>
    <row r="132" spans="1:6" ht="20.149999999999999" customHeight="1">
      <c r="A132" s="3"/>
      <c r="B132" s="21"/>
      <c r="C132" s="25"/>
      <c r="D132" s="14"/>
      <c r="E132" s="615"/>
      <c r="F132" s="12"/>
    </row>
    <row r="133" spans="1:6" ht="20.149999999999999" customHeight="1">
      <c r="A133" s="3"/>
      <c r="B133" s="19" t="s">
        <v>71</v>
      </c>
      <c r="C133" s="11"/>
      <c r="D133" s="14"/>
      <c r="E133" s="612"/>
      <c r="F133" s="12"/>
    </row>
    <row r="134" spans="1:6" ht="20.149999999999999" customHeight="1">
      <c r="A134" s="26">
        <v>1</v>
      </c>
      <c r="B134" s="10" t="s">
        <v>407</v>
      </c>
      <c r="C134" s="11" t="s">
        <v>408</v>
      </c>
      <c r="D134" s="14" t="s">
        <v>297</v>
      </c>
      <c r="E134" s="612">
        <v>270000</v>
      </c>
      <c r="F134" s="12"/>
    </row>
    <row r="135" spans="1:6" ht="20.149999999999999" customHeight="1">
      <c r="A135" s="26">
        <v>2</v>
      </c>
      <c r="B135" s="10" t="s">
        <v>229</v>
      </c>
      <c r="C135" s="11" t="s">
        <v>230</v>
      </c>
      <c r="D135" s="14" t="s">
        <v>231</v>
      </c>
      <c r="E135" s="612">
        <v>180000</v>
      </c>
      <c r="F135" s="12"/>
    </row>
    <row r="136" spans="1:6" ht="20.149999999999999" customHeight="1">
      <c r="A136" s="26">
        <v>3</v>
      </c>
      <c r="B136" s="13" t="s">
        <v>409</v>
      </c>
      <c r="C136" s="3" t="s">
        <v>410</v>
      </c>
      <c r="D136" s="15" t="s">
        <v>231</v>
      </c>
      <c r="E136" s="612">
        <v>180000</v>
      </c>
      <c r="F136" s="12"/>
    </row>
    <row r="137" spans="1:6" ht="20.149999999999999" customHeight="1">
      <c r="A137" s="26">
        <v>4</v>
      </c>
      <c r="B137" s="10" t="s">
        <v>411</v>
      </c>
      <c r="C137" s="11" t="s">
        <v>412</v>
      </c>
      <c r="D137" s="14" t="s">
        <v>254</v>
      </c>
      <c r="E137" s="612">
        <v>90000</v>
      </c>
      <c r="F137" s="12"/>
    </row>
    <row r="138" spans="1:6" ht="20.149999999999999" customHeight="1">
      <c r="A138" s="26">
        <v>5</v>
      </c>
      <c r="B138" s="10" t="s">
        <v>413</v>
      </c>
      <c r="C138" s="3" t="s">
        <v>414</v>
      </c>
      <c r="D138" s="14" t="s">
        <v>254</v>
      </c>
      <c r="E138" s="612">
        <v>90000</v>
      </c>
      <c r="F138" s="12"/>
    </row>
    <row r="139" spans="1:6" ht="20.149999999999999" customHeight="1">
      <c r="A139" s="26">
        <v>6</v>
      </c>
      <c r="B139" s="10" t="s">
        <v>415</v>
      </c>
      <c r="C139" s="3" t="s">
        <v>414</v>
      </c>
      <c r="D139" s="14" t="s">
        <v>254</v>
      </c>
      <c r="E139" s="612">
        <v>90000</v>
      </c>
      <c r="F139" s="12"/>
    </row>
    <row r="140" spans="1:6" ht="20.149999999999999" customHeight="1">
      <c r="A140" s="26">
        <v>7</v>
      </c>
      <c r="B140" s="10" t="s">
        <v>416</v>
      </c>
      <c r="C140" s="11" t="s">
        <v>417</v>
      </c>
      <c r="D140" s="14" t="s">
        <v>391</v>
      </c>
      <c r="E140" s="612">
        <v>68000</v>
      </c>
      <c r="F140" s="12"/>
    </row>
    <row r="141" spans="1:6" ht="20.149999999999999" customHeight="1">
      <c r="A141" s="26">
        <v>8</v>
      </c>
      <c r="B141" s="10" t="s">
        <v>418</v>
      </c>
      <c r="C141" s="11" t="s">
        <v>417</v>
      </c>
      <c r="D141" s="14" t="s">
        <v>391</v>
      </c>
      <c r="E141" s="612">
        <v>68000</v>
      </c>
      <c r="F141" s="12"/>
    </row>
    <row r="142" spans="1:6" ht="20.149999999999999" customHeight="1">
      <c r="A142" s="26">
        <v>9</v>
      </c>
      <c r="B142" s="10" t="s">
        <v>419</v>
      </c>
      <c r="C142" s="3" t="s">
        <v>420</v>
      </c>
      <c r="D142" s="14" t="s">
        <v>391</v>
      </c>
      <c r="E142" s="612">
        <v>68000</v>
      </c>
      <c r="F142" s="12"/>
    </row>
    <row r="143" spans="1:6" ht="20.149999999999999" customHeight="1">
      <c r="A143" s="26">
        <v>10</v>
      </c>
      <c r="B143" s="10" t="s">
        <v>421</v>
      </c>
      <c r="C143" s="11" t="s">
        <v>422</v>
      </c>
      <c r="D143" s="14" t="s">
        <v>271</v>
      </c>
      <c r="E143" s="612">
        <v>68000</v>
      </c>
      <c r="F143" s="12"/>
    </row>
    <row r="144" spans="1:6" ht="20.149999999999999" customHeight="1">
      <c r="A144" s="26">
        <v>11</v>
      </c>
      <c r="B144" s="10" t="s">
        <v>423</v>
      </c>
      <c r="C144" s="11" t="s">
        <v>424</v>
      </c>
      <c r="D144" s="14" t="s">
        <v>332</v>
      </c>
      <c r="E144" s="612">
        <v>68000</v>
      </c>
      <c r="F144" s="12"/>
    </row>
    <row r="145" spans="1:6" ht="20.149999999999999" customHeight="1">
      <c r="A145" s="26">
        <v>12</v>
      </c>
      <c r="B145" s="10" t="s">
        <v>425</v>
      </c>
      <c r="C145" s="11" t="s">
        <v>426</v>
      </c>
      <c r="D145" s="14" t="s">
        <v>391</v>
      </c>
      <c r="E145" s="612">
        <v>68000</v>
      </c>
      <c r="F145" s="12"/>
    </row>
    <row r="146" spans="1:6" ht="20.149999999999999" customHeight="1">
      <c r="A146" s="26">
        <v>13</v>
      </c>
      <c r="B146" s="17" t="s">
        <v>427</v>
      </c>
      <c r="C146" s="3" t="s">
        <v>428</v>
      </c>
      <c r="D146" s="14" t="s">
        <v>42</v>
      </c>
      <c r="E146" s="612">
        <v>68000</v>
      </c>
      <c r="F146" s="12"/>
    </row>
    <row r="147" spans="1:6" ht="20.149999999999999" customHeight="1">
      <c r="A147" s="26">
        <v>14</v>
      </c>
      <c r="B147" s="10" t="s">
        <v>429</v>
      </c>
      <c r="C147" s="3" t="s">
        <v>430</v>
      </c>
      <c r="D147" s="14" t="s">
        <v>345</v>
      </c>
      <c r="E147" s="612">
        <v>68000</v>
      </c>
      <c r="F147" s="12"/>
    </row>
    <row r="148" spans="1:6" ht="20.149999999999999" customHeight="1">
      <c r="A148" s="26">
        <v>15</v>
      </c>
      <c r="B148" s="10" t="s">
        <v>431</v>
      </c>
      <c r="C148" s="3" t="s">
        <v>430</v>
      </c>
      <c r="D148" s="14" t="s">
        <v>432</v>
      </c>
      <c r="E148" s="612">
        <v>68000</v>
      </c>
      <c r="F148" s="12"/>
    </row>
    <row r="149" spans="1:6" ht="20.149999999999999" customHeight="1">
      <c r="A149" s="26">
        <v>16</v>
      </c>
      <c r="B149" s="10" t="s">
        <v>433</v>
      </c>
      <c r="C149" s="3" t="s">
        <v>430</v>
      </c>
      <c r="D149" s="14" t="s">
        <v>432</v>
      </c>
      <c r="E149" s="612">
        <v>68000</v>
      </c>
      <c r="F149" s="12"/>
    </row>
    <row r="150" spans="1:6" ht="20.149999999999999" customHeight="1">
      <c r="A150" s="26">
        <v>17</v>
      </c>
      <c r="B150" s="10" t="s">
        <v>434</v>
      </c>
      <c r="C150" s="11" t="s">
        <v>435</v>
      </c>
      <c r="D150" s="14" t="s">
        <v>301</v>
      </c>
      <c r="E150" s="612">
        <v>68000</v>
      </c>
      <c r="F150" s="12"/>
    </row>
    <row r="151" spans="1:6" ht="20.149999999999999" customHeight="1">
      <c r="A151" s="26">
        <v>18</v>
      </c>
      <c r="B151" s="10" t="s">
        <v>436</v>
      </c>
      <c r="C151" s="11" t="s">
        <v>437</v>
      </c>
      <c r="D151" s="9" t="s">
        <v>283</v>
      </c>
      <c r="E151" s="612">
        <v>54000</v>
      </c>
      <c r="F151" s="12"/>
    </row>
    <row r="152" spans="1:6" ht="20.149999999999999" customHeight="1">
      <c r="A152" s="26">
        <v>19</v>
      </c>
      <c r="B152" s="10" t="s">
        <v>438</v>
      </c>
      <c r="C152" s="11" t="s">
        <v>439</v>
      </c>
      <c r="D152" s="14" t="s">
        <v>345</v>
      </c>
      <c r="E152" s="612">
        <v>68000</v>
      </c>
      <c r="F152" s="12"/>
    </row>
    <row r="153" spans="1:6" ht="20.149999999999999" customHeight="1">
      <c r="A153" s="26">
        <v>20</v>
      </c>
      <c r="B153" s="10" t="s">
        <v>440</v>
      </c>
      <c r="C153" s="11" t="s">
        <v>441</v>
      </c>
      <c r="D153" s="14" t="s">
        <v>279</v>
      </c>
      <c r="E153" s="612">
        <v>54000</v>
      </c>
      <c r="F153" s="12"/>
    </row>
    <row r="154" spans="1:6" ht="20.149999999999999" customHeight="1">
      <c r="A154" s="26">
        <v>21</v>
      </c>
      <c r="B154" s="10" t="s">
        <v>442</v>
      </c>
      <c r="C154" s="11" t="s">
        <v>443</v>
      </c>
      <c r="D154" s="14" t="s">
        <v>345</v>
      </c>
      <c r="E154" s="612">
        <v>68000</v>
      </c>
      <c r="F154" s="12"/>
    </row>
    <row r="155" spans="1:6" ht="20.149999999999999" customHeight="1">
      <c r="A155" s="26">
        <v>22</v>
      </c>
      <c r="B155" s="10" t="s">
        <v>444</v>
      </c>
      <c r="C155" s="11" t="s">
        <v>445</v>
      </c>
      <c r="D155" s="14" t="s">
        <v>279</v>
      </c>
      <c r="E155" s="612">
        <v>54000</v>
      </c>
      <c r="F155" s="12"/>
    </row>
    <row r="156" spans="1:6" ht="20.149999999999999" customHeight="1">
      <c r="A156" s="26">
        <v>23</v>
      </c>
      <c r="B156" s="17" t="s">
        <v>446</v>
      </c>
      <c r="C156" s="11" t="s">
        <v>447</v>
      </c>
      <c r="D156" s="14" t="s">
        <v>25</v>
      </c>
      <c r="E156" s="612">
        <v>54000</v>
      </c>
      <c r="F156" s="12"/>
    </row>
    <row r="157" spans="1:6" ht="20.149999999999999" customHeight="1">
      <c r="A157" s="26">
        <v>24</v>
      </c>
      <c r="B157" s="17" t="s">
        <v>448</v>
      </c>
      <c r="C157" s="11" t="s">
        <v>449</v>
      </c>
      <c r="D157" s="14" t="s">
        <v>294</v>
      </c>
      <c r="E157" s="612">
        <v>54000</v>
      </c>
      <c r="F157" s="12"/>
    </row>
    <row r="158" spans="1:6" ht="20.149999999999999" customHeight="1">
      <c r="A158" s="26">
        <v>25</v>
      </c>
      <c r="B158" s="17" t="s">
        <v>450</v>
      </c>
      <c r="C158" s="11" t="s">
        <v>451</v>
      </c>
      <c r="D158" s="14" t="s">
        <v>294</v>
      </c>
      <c r="E158" s="612">
        <v>54000</v>
      </c>
      <c r="F158" s="12"/>
    </row>
    <row r="159" spans="1:6" ht="20.149999999999999" customHeight="1">
      <c r="A159" s="26">
        <v>26</v>
      </c>
      <c r="B159" s="17" t="s">
        <v>452</v>
      </c>
      <c r="C159" s="11" t="s">
        <v>453</v>
      </c>
      <c r="D159" s="14" t="s">
        <v>294</v>
      </c>
      <c r="E159" s="612">
        <v>54000</v>
      </c>
      <c r="F159" s="12"/>
    </row>
    <row r="160" spans="1:6" ht="20.149999999999999" customHeight="1">
      <c r="A160" s="26">
        <v>27</v>
      </c>
      <c r="B160" s="17" t="s">
        <v>454</v>
      </c>
      <c r="C160" s="11" t="s">
        <v>455</v>
      </c>
      <c r="D160" s="14" t="s">
        <v>291</v>
      </c>
      <c r="E160" s="612">
        <v>54000</v>
      </c>
      <c r="F160" s="12"/>
    </row>
    <row r="161" spans="1:6" ht="20.149999999999999" customHeight="1">
      <c r="A161" s="26">
        <v>28</v>
      </c>
      <c r="B161" s="17" t="s">
        <v>456</v>
      </c>
      <c r="C161" s="11" t="s">
        <v>451</v>
      </c>
      <c r="D161" s="14" t="s">
        <v>294</v>
      </c>
      <c r="E161" s="612">
        <v>54000</v>
      </c>
      <c r="F161" s="12"/>
    </row>
    <row r="162" spans="1:6" ht="20.149999999999999" customHeight="1">
      <c r="A162" s="26">
        <v>29</v>
      </c>
      <c r="B162" s="10" t="s">
        <v>457</v>
      </c>
      <c r="C162" s="11" t="s">
        <v>458</v>
      </c>
      <c r="D162" s="14" t="s">
        <v>459</v>
      </c>
      <c r="E162" s="612">
        <v>36000</v>
      </c>
      <c r="F162" s="12"/>
    </row>
    <row r="163" spans="1:6" ht="20.149999999999999" customHeight="1">
      <c r="A163" s="26">
        <v>30</v>
      </c>
      <c r="B163" s="10" t="s">
        <v>460</v>
      </c>
      <c r="C163" s="11" t="s">
        <v>458</v>
      </c>
      <c r="D163" s="14" t="s">
        <v>459</v>
      </c>
      <c r="E163" s="612">
        <v>36000</v>
      </c>
      <c r="F163" s="12"/>
    </row>
    <row r="164" spans="1:6" ht="20.149999999999999" customHeight="1">
      <c r="A164" s="26">
        <v>31</v>
      </c>
      <c r="B164" s="10" t="s">
        <v>461</v>
      </c>
      <c r="C164" s="11" t="s">
        <v>458</v>
      </c>
      <c r="D164" s="14" t="s">
        <v>459</v>
      </c>
      <c r="E164" s="612">
        <v>36000</v>
      </c>
      <c r="F164" s="12"/>
    </row>
    <row r="165" spans="1:6" ht="20.149999999999999" customHeight="1">
      <c r="A165" s="26">
        <v>32</v>
      </c>
      <c r="B165" s="10" t="s">
        <v>462</v>
      </c>
      <c r="C165" s="11" t="s">
        <v>458</v>
      </c>
      <c r="D165" s="14" t="s">
        <v>459</v>
      </c>
      <c r="E165" s="612">
        <v>36000</v>
      </c>
      <c r="F165" s="12"/>
    </row>
    <row r="166" spans="1:6" ht="20.149999999999999" customHeight="1">
      <c r="A166" s="26">
        <v>33</v>
      </c>
      <c r="B166" s="10" t="s">
        <v>463</v>
      </c>
      <c r="C166" s="11" t="s">
        <v>458</v>
      </c>
      <c r="D166" s="14" t="s">
        <v>459</v>
      </c>
      <c r="E166" s="612">
        <v>36000</v>
      </c>
      <c r="F166" s="12"/>
    </row>
    <row r="167" spans="1:6" ht="20.149999999999999" customHeight="1">
      <c r="A167" s="26">
        <v>34</v>
      </c>
      <c r="B167" s="10" t="s">
        <v>464</v>
      </c>
      <c r="C167" s="11" t="s">
        <v>458</v>
      </c>
      <c r="D167" s="14" t="s">
        <v>465</v>
      </c>
      <c r="E167" s="612">
        <v>36000</v>
      </c>
      <c r="F167" s="12"/>
    </row>
    <row r="168" spans="1:6" ht="20.149999999999999" customHeight="1">
      <c r="A168" s="26">
        <v>35</v>
      </c>
      <c r="B168" s="10" t="s">
        <v>466</v>
      </c>
      <c r="C168" s="11" t="s">
        <v>458</v>
      </c>
      <c r="D168" s="14" t="s">
        <v>465</v>
      </c>
      <c r="E168" s="612">
        <v>36000</v>
      </c>
      <c r="F168" s="12"/>
    </row>
    <row r="169" spans="1:6" ht="20.149999999999999" customHeight="1">
      <c r="A169" s="26">
        <v>36</v>
      </c>
      <c r="B169" s="13" t="s">
        <v>467</v>
      </c>
      <c r="C169" s="11" t="s">
        <v>458</v>
      </c>
      <c r="D169" s="14" t="s">
        <v>465</v>
      </c>
      <c r="E169" s="612">
        <v>36000</v>
      </c>
      <c r="F169" s="12"/>
    </row>
    <row r="170" spans="1:6" ht="20.149999999999999" customHeight="1">
      <c r="A170" s="26">
        <v>37</v>
      </c>
      <c r="B170" s="10" t="s">
        <v>468</v>
      </c>
      <c r="C170" s="11" t="s">
        <v>458</v>
      </c>
      <c r="D170" s="14" t="s">
        <v>465</v>
      </c>
      <c r="E170" s="612">
        <v>36000</v>
      </c>
      <c r="F170" s="12"/>
    </row>
    <row r="171" spans="1:6" ht="20.149999999999999" customHeight="1">
      <c r="A171" s="26">
        <v>38</v>
      </c>
      <c r="B171" s="17" t="s">
        <v>469</v>
      </c>
      <c r="C171" s="11" t="s">
        <v>458</v>
      </c>
      <c r="D171" s="14" t="s">
        <v>465</v>
      </c>
      <c r="E171" s="612">
        <v>36000</v>
      </c>
      <c r="F171" s="12"/>
    </row>
    <row r="172" spans="1:6" ht="20.149999999999999" customHeight="1">
      <c r="A172" s="26">
        <v>39</v>
      </c>
      <c r="B172" s="17" t="s">
        <v>470</v>
      </c>
      <c r="C172" s="11" t="s">
        <v>458</v>
      </c>
      <c r="D172" s="14" t="s">
        <v>465</v>
      </c>
      <c r="E172" s="612">
        <v>36000</v>
      </c>
      <c r="F172" s="12"/>
    </row>
    <row r="173" spans="1:6" ht="20.149999999999999" customHeight="1">
      <c r="A173" s="26">
        <v>40</v>
      </c>
      <c r="B173" s="10" t="s">
        <v>471</v>
      </c>
      <c r="C173" s="11" t="s">
        <v>472</v>
      </c>
      <c r="D173" s="14" t="s">
        <v>473</v>
      </c>
      <c r="E173" s="612">
        <v>36000</v>
      </c>
      <c r="F173" s="12"/>
    </row>
    <row r="174" spans="1:6" ht="20.149999999999999" customHeight="1">
      <c r="A174" s="26">
        <v>41</v>
      </c>
      <c r="B174" s="10" t="s">
        <v>474</v>
      </c>
      <c r="C174" s="11" t="s">
        <v>472</v>
      </c>
      <c r="D174" s="14" t="s">
        <v>473</v>
      </c>
      <c r="E174" s="612">
        <v>36000</v>
      </c>
      <c r="F174" s="12"/>
    </row>
    <row r="175" spans="1:6" ht="20.149999999999999" customHeight="1">
      <c r="A175" s="26">
        <v>42</v>
      </c>
      <c r="B175" s="17" t="s">
        <v>475</v>
      </c>
      <c r="C175" s="11" t="s">
        <v>472</v>
      </c>
      <c r="D175" s="14" t="s">
        <v>476</v>
      </c>
      <c r="E175" s="612">
        <v>36000</v>
      </c>
      <c r="F175" s="12"/>
    </row>
    <row r="176" spans="1:6" ht="20.149999999999999" customHeight="1">
      <c r="A176" s="26">
        <v>43</v>
      </c>
      <c r="B176" s="10" t="s">
        <v>477</v>
      </c>
      <c r="C176" s="11" t="s">
        <v>478</v>
      </c>
      <c r="D176" s="14" t="s">
        <v>479</v>
      </c>
      <c r="E176" s="612">
        <v>36000</v>
      </c>
      <c r="F176" s="12"/>
    </row>
    <row r="177" spans="1:6" ht="20.149999999999999" customHeight="1">
      <c r="A177" s="26">
        <v>44</v>
      </c>
      <c r="B177" s="10" t="s">
        <v>480</v>
      </c>
      <c r="C177" s="11" t="s">
        <v>481</v>
      </c>
      <c r="D177" s="14" t="s">
        <v>482</v>
      </c>
      <c r="E177" s="612">
        <v>36000</v>
      </c>
      <c r="F177" s="12"/>
    </row>
    <row r="178" spans="1:6" ht="20.149999999999999" customHeight="1">
      <c r="A178" s="26">
        <v>45</v>
      </c>
      <c r="B178" s="10" t="s">
        <v>483</v>
      </c>
      <c r="C178" s="11" t="s">
        <v>481</v>
      </c>
      <c r="D178" s="14" t="s">
        <v>482</v>
      </c>
      <c r="E178" s="612">
        <v>36000</v>
      </c>
      <c r="F178" s="12"/>
    </row>
    <row r="179" spans="1:6" ht="20.149999999999999" customHeight="1">
      <c r="A179" s="26">
        <v>46</v>
      </c>
      <c r="B179" s="10" t="s">
        <v>484</v>
      </c>
      <c r="C179" s="11" t="s">
        <v>481</v>
      </c>
      <c r="D179" s="14" t="s">
        <v>482</v>
      </c>
      <c r="E179" s="612">
        <v>36000</v>
      </c>
      <c r="F179" s="12"/>
    </row>
    <row r="180" spans="1:6" ht="20.149999999999999" customHeight="1">
      <c r="A180" s="26">
        <v>47</v>
      </c>
      <c r="B180" s="10" t="s">
        <v>485</v>
      </c>
      <c r="C180" s="11" t="s">
        <v>481</v>
      </c>
      <c r="D180" s="14" t="s">
        <v>482</v>
      </c>
      <c r="E180" s="612">
        <v>36000</v>
      </c>
      <c r="F180" s="12"/>
    </row>
    <row r="181" spans="1:6" ht="20.149999999999999" customHeight="1">
      <c r="A181" s="26">
        <v>48</v>
      </c>
      <c r="B181" s="10" t="s">
        <v>486</v>
      </c>
      <c r="C181" s="11" t="s">
        <v>481</v>
      </c>
      <c r="D181" s="14" t="s">
        <v>482</v>
      </c>
      <c r="E181" s="612">
        <v>36000</v>
      </c>
      <c r="F181" s="12"/>
    </row>
    <row r="182" spans="1:6" ht="20.149999999999999" customHeight="1">
      <c r="A182" s="26">
        <v>49</v>
      </c>
      <c r="B182" s="17" t="s">
        <v>487</v>
      </c>
      <c r="C182" s="11" t="s">
        <v>481</v>
      </c>
      <c r="D182" s="14" t="s">
        <v>482</v>
      </c>
      <c r="E182" s="612">
        <v>36000</v>
      </c>
      <c r="F182" s="12"/>
    </row>
    <row r="183" spans="1:6" ht="20.149999999999999" customHeight="1">
      <c r="A183" s="26">
        <v>50</v>
      </c>
      <c r="B183" s="17" t="s">
        <v>488</v>
      </c>
      <c r="C183" s="11" t="s">
        <v>481</v>
      </c>
      <c r="D183" s="14" t="s">
        <v>482</v>
      </c>
      <c r="E183" s="612">
        <v>36000</v>
      </c>
      <c r="F183" s="12"/>
    </row>
    <row r="184" spans="1:6" ht="20.149999999999999" customHeight="1">
      <c r="A184" s="26">
        <v>51</v>
      </c>
      <c r="B184" s="10" t="s">
        <v>489</v>
      </c>
      <c r="C184" s="11" t="s">
        <v>478</v>
      </c>
      <c r="D184" s="14" t="s">
        <v>482</v>
      </c>
      <c r="E184" s="612">
        <v>36000</v>
      </c>
      <c r="F184" s="12"/>
    </row>
    <row r="185" spans="1:6" ht="20.149999999999999" customHeight="1">
      <c r="A185" s="26">
        <v>52</v>
      </c>
      <c r="B185" s="10" t="s">
        <v>490</v>
      </c>
      <c r="C185" s="11" t="s">
        <v>478</v>
      </c>
      <c r="D185" s="14" t="s">
        <v>482</v>
      </c>
      <c r="E185" s="612">
        <v>36000</v>
      </c>
      <c r="F185" s="12"/>
    </row>
    <row r="186" spans="1:6" ht="20.149999999999999" customHeight="1">
      <c r="A186" s="26">
        <v>53</v>
      </c>
      <c r="B186" s="17" t="s">
        <v>491</v>
      </c>
      <c r="C186" s="11" t="s">
        <v>172</v>
      </c>
      <c r="D186" s="14" t="s">
        <v>492</v>
      </c>
      <c r="E186" s="612">
        <v>36000</v>
      </c>
      <c r="F186" s="12"/>
    </row>
    <row r="187" spans="1:6" ht="20.149999999999999" customHeight="1">
      <c r="A187" s="26">
        <v>54</v>
      </c>
      <c r="B187" s="17" t="s">
        <v>493</v>
      </c>
      <c r="C187" s="11" t="s">
        <v>481</v>
      </c>
      <c r="D187" s="14" t="s">
        <v>494</v>
      </c>
      <c r="E187" s="612">
        <v>36000</v>
      </c>
      <c r="F187" s="12"/>
    </row>
    <row r="188" spans="1:6" ht="20.149999999999999" customHeight="1">
      <c r="A188" s="26">
        <v>55</v>
      </c>
      <c r="B188" s="17" t="s">
        <v>495</v>
      </c>
      <c r="C188" s="11" t="s">
        <v>496</v>
      </c>
      <c r="D188" s="14" t="s">
        <v>497</v>
      </c>
      <c r="E188" s="612">
        <v>36000</v>
      </c>
      <c r="F188" s="12"/>
    </row>
    <row r="189" spans="1:6" ht="20.149999999999999" customHeight="1">
      <c r="A189" s="26">
        <v>56</v>
      </c>
      <c r="B189" s="17" t="s">
        <v>498</v>
      </c>
      <c r="C189" s="11" t="s">
        <v>496</v>
      </c>
      <c r="D189" s="14" t="s">
        <v>497</v>
      </c>
      <c r="E189" s="612">
        <v>36000</v>
      </c>
      <c r="F189" s="12"/>
    </row>
    <row r="190" spans="1:6" ht="20.149999999999999" customHeight="1">
      <c r="A190" s="26">
        <v>57</v>
      </c>
      <c r="B190" s="17" t="s">
        <v>499</v>
      </c>
      <c r="C190" s="11" t="s">
        <v>496</v>
      </c>
      <c r="D190" s="14" t="s">
        <v>497</v>
      </c>
      <c r="E190" s="612">
        <v>36000</v>
      </c>
      <c r="F190" s="12"/>
    </row>
    <row r="191" spans="1:6" ht="20.149999999999999" customHeight="1">
      <c r="A191" s="26">
        <v>58</v>
      </c>
      <c r="B191" s="17" t="s">
        <v>500</v>
      </c>
      <c r="C191" s="11" t="s">
        <v>501</v>
      </c>
      <c r="D191" s="14" t="s">
        <v>502</v>
      </c>
      <c r="E191" s="612">
        <v>36000</v>
      </c>
      <c r="F191" s="12"/>
    </row>
    <row r="192" spans="1:6" ht="20.149999999999999" customHeight="1">
      <c r="A192" s="26">
        <v>59</v>
      </c>
      <c r="B192" s="17" t="s">
        <v>503</v>
      </c>
      <c r="C192" s="11" t="s">
        <v>501</v>
      </c>
      <c r="D192" s="14" t="s">
        <v>502</v>
      </c>
      <c r="E192" s="612">
        <v>36000</v>
      </c>
      <c r="F192" s="12"/>
    </row>
    <row r="193" spans="1:6" ht="30.75" customHeight="1">
      <c r="A193" s="26"/>
      <c r="B193" s="7" t="s">
        <v>34</v>
      </c>
      <c r="C193" s="27" t="s">
        <v>504</v>
      </c>
      <c r="D193" s="28"/>
      <c r="E193" s="614">
        <f t="shared" ref="E193" si="7">SUM(E134:E192)</f>
        <v>3386000</v>
      </c>
      <c r="F193" s="12"/>
    </row>
    <row r="194" spans="1:6" ht="35.25" customHeight="1">
      <c r="A194" s="3"/>
      <c r="B194" s="29" t="s">
        <v>80</v>
      </c>
      <c r="C194" s="30">
        <f>C34+C40+C54+C59+C72+C82+C95+C102+C112+C131+C193</f>
        <v>153</v>
      </c>
      <c r="D194" s="31"/>
      <c r="E194" s="88">
        <f>E193+E131+E118+E112+E102+E95+E82+E72+E59+E54+E40+E34</f>
        <v>13858000</v>
      </c>
      <c r="F194" s="12"/>
    </row>
    <row r="195" spans="1:6" ht="38.25" customHeight="1">
      <c r="A195" s="2"/>
      <c r="B195" s="32"/>
      <c r="C195" s="2"/>
      <c r="D195" s="33"/>
      <c r="E195" s="89"/>
      <c r="F195" s="34"/>
    </row>
    <row r="196" spans="1:6" ht="36.75" customHeight="1">
      <c r="A196" s="2"/>
      <c r="B196" s="32"/>
      <c r="C196" s="33"/>
      <c r="D196" s="33"/>
      <c r="E196" s="34"/>
    </row>
    <row r="197" spans="1:6" ht="20.149999999999999" customHeight="1">
      <c r="E197" s="313"/>
    </row>
    <row r="198" spans="1:6" ht="20.149999999999999" customHeight="1">
      <c r="E198" s="34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609">
        <v>1</v>
      </c>
      <c r="B2" s="609" t="s">
        <v>505</v>
      </c>
      <c r="C2" s="610">
        <f>'Welfare June'!E194</f>
        <v>13858000</v>
      </c>
      <c r="D2" s="609"/>
      <c r="E2" s="609"/>
    </row>
    <row r="3" spans="1:5" ht="20.5">
      <c r="A3" s="609">
        <v>2</v>
      </c>
      <c r="B3" s="609" t="s">
        <v>207</v>
      </c>
      <c r="C3" s="610">
        <f>'[3]CONTRACT Welfare'!$E$26</f>
        <v>1688000</v>
      </c>
      <c r="D3" s="609"/>
      <c r="E3" s="609"/>
    </row>
    <row r="4" spans="1:5" ht="20.5">
      <c r="A4" s="609">
        <v>3</v>
      </c>
      <c r="B4" s="609" t="s">
        <v>506</v>
      </c>
      <c r="C4" s="610">
        <f>'[3]CAS. SABB. NYSC Welfare'!$D$58</f>
        <v>1791000</v>
      </c>
      <c r="D4" s="609"/>
      <c r="E4" s="609"/>
    </row>
    <row r="5" spans="1:5" ht="20.5">
      <c r="A5" s="609">
        <v>4</v>
      </c>
      <c r="B5" s="609" t="s">
        <v>507</v>
      </c>
      <c r="C5" s="610">
        <f>'[3]CONSULTANCY Welfare'!$D$31</f>
        <v>1746000</v>
      </c>
      <c r="D5" s="609"/>
      <c r="E5" s="609"/>
    </row>
    <row r="6" spans="1:5" ht="20.5">
      <c r="A6" s="609">
        <v>5</v>
      </c>
      <c r="B6" s="609" t="s">
        <v>508</v>
      </c>
      <c r="C6" s="610">
        <f>'[3]Welfare Others'!$C$92</f>
        <v>1225000</v>
      </c>
      <c r="D6" s="609"/>
      <c r="E6" s="609"/>
    </row>
    <row r="7" spans="1:5" ht="27" customHeight="1">
      <c r="A7" s="609"/>
      <c r="B7" s="609"/>
      <c r="C7" s="611">
        <f>SUM(C2:C6)</f>
        <v>20308000</v>
      </c>
      <c r="D7" s="609"/>
      <c r="E7" s="609"/>
    </row>
    <row r="8" spans="1:5" ht="20.5">
      <c r="A8" s="609"/>
      <c r="B8" s="609"/>
      <c r="C8" s="609"/>
      <c r="D8" s="609"/>
      <c r="E8" s="609"/>
    </row>
    <row r="9" spans="1:5" ht="20.5">
      <c r="A9" s="609"/>
      <c r="B9" s="609"/>
      <c r="C9" s="609"/>
      <c r="D9" s="609"/>
      <c r="E9" s="609"/>
    </row>
    <row r="10" spans="1:5" ht="20.5">
      <c r="A10" s="609"/>
      <c r="B10" s="609"/>
      <c r="C10" s="609"/>
      <c r="D10" s="609"/>
      <c r="E10" s="609"/>
    </row>
    <row r="11" spans="1:5" ht="20.5">
      <c r="A11" s="609"/>
      <c r="B11" s="609"/>
      <c r="C11" s="609"/>
      <c r="D11" s="609"/>
      <c r="E11" s="609"/>
    </row>
    <row r="12" spans="1:5" ht="20.5">
      <c r="A12" s="609"/>
      <c r="B12" s="609"/>
      <c r="C12" s="609"/>
      <c r="D12" s="609"/>
      <c r="E12" s="609"/>
    </row>
    <row r="13" spans="1:5" ht="20.5">
      <c r="A13" s="609"/>
      <c r="B13" s="609"/>
      <c r="C13" s="609"/>
      <c r="D13" s="609"/>
      <c r="E13" s="609"/>
    </row>
    <row r="14" spans="1:5" ht="20.5">
      <c r="A14" s="609"/>
      <c r="B14" s="609"/>
      <c r="C14" s="609"/>
      <c r="D14" s="609"/>
      <c r="E14" s="609"/>
    </row>
    <row r="15" spans="1:5" ht="20.5">
      <c r="A15" s="609"/>
      <c r="B15" s="609"/>
      <c r="C15" s="609"/>
      <c r="D15" s="609"/>
      <c r="E15" s="609"/>
    </row>
    <row r="16" spans="1:5" ht="20.5">
      <c r="A16" s="609"/>
      <c r="B16" s="609"/>
      <c r="C16" s="609"/>
      <c r="D16" s="609"/>
      <c r="E16" s="609"/>
    </row>
    <row r="17" spans="1:5" ht="20.5">
      <c r="A17" s="609"/>
      <c r="B17" s="609"/>
      <c r="C17" s="609"/>
      <c r="D17" s="609"/>
      <c r="E17" s="609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607" t="s">
        <v>509</v>
      </c>
      <c r="E1" s="608" t="s">
        <v>510</v>
      </c>
      <c r="F1" s="608" t="s">
        <v>511</v>
      </c>
      <c r="G1" s="608" t="s">
        <v>512</v>
      </c>
      <c r="H1" s="608" t="s">
        <v>513</v>
      </c>
      <c r="I1" s="608" t="s">
        <v>514</v>
      </c>
    </row>
    <row r="2" spans="1:9" s="1" customFormat="1" ht="33" customHeight="1">
      <c r="A2" s="17" t="s">
        <v>223</v>
      </c>
      <c r="B2" s="17" t="s">
        <v>224</v>
      </c>
      <c r="C2" s="9" t="s">
        <v>225</v>
      </c>
      <c r="D2" s="71">
        <f>64596.94</f>
        <v>64596.94</v>
      </c>
      <c r="E2" s="71">
        <f>79956.94</f>
        <v>79956.94</v>
      </c>
      <c r="F2" s="201">
        <f>E2-D2</f>
        <v>15360</v>
      </c>
      <c r="G2" s="201">
        <f>F2*7</f>
        <v>107520</v>
      </c>
      <c r="H2" s="71">
        <v>560000</v>
      </c>
      <c r="I2" s="200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7" width="19.81640625" style="1" customWidth="1"/>
    <col min="18" max="18" width="18.1796875" style="1" customWidth="1"/>
    <col min="19" max="20" width="19.26953125" style="1" customWidth="1"/>
    <col min="21" max="21" width="19.54296875" style="1" customWidth="1"/>
    <col min="22" max="22" width="21.7265625" style="1" customWidth="1"/>
    <col min="23" max="16384" width="9.1796875" style="1"/>
  </cols>
  <sheetData>
    <row r="1" spans="1:22" ht="27" customHeight="1">
      <c r="A1" s="764" t="s">
        <v>0</v>
      </c>
      <c r="B1" s="764"/>
      <c r="C1" s="764"/>
      <c r="D1" s="764"/>
      <c r="E1" s="764"/>
      <c r="F1" s="764"/>
      <c r="G1" s="198"/>
      <c r="H1" s="198"/>
      <c r="I1" s="198"/>
    </row>
    <row r="2" spans="1:22" ht="33.75" customHeight="1">
      <c r="A2" s="62" t="s">
        <v>515</v>
      </c>
      <c r="B2" s="63"/>
      <c r="C2" s="62"/>
      <c r="D2" s="62"/>
      <c r="E2" s="197"/>
      <c r="F2" s="197"/>
      <c r="G2" s="277"/>
      <c r="H2" s="277"/>
      <c r="I2" s="277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2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</row>
    <row r="4" spans="1:22" ht="49.5" customHeight="1">
      <c r="A4" s="3"/>
      <c r="B4" s="4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199" t="s">
        <v>7</v>
      </c>
      <c r="H4" s="199" t="s">
        <v>7</v>
      </c>
      <c r="I4" s="199" t="s">
        <v>8</v>
      </c>
      <c r="J4" s="312" t="s">
        <v>9</v>
      </c>
      <c r="K4" s="199" t="s">
        <v>10</v>
      </c>
      <c r="L4" s="199" t="s">
        <v>11</v>
      </c>
      <c r="M4" s="199" t="s">
        <v>12</v>
      </c>
      <c r="N4" s="199" t="s">
        <v>13</v>
      </c>
      <c r="O4" s="23" t="s">
        <v>14</v>
      </c>
      <c r="P4" s="23" t="s">
        <v>516</v>
      </c>
      <c r="Q4" s="23" t="s">
        <v>511</v>
      </c>
      <c r="R4" s="199" t="s">
        <v>15</v>
      </c>
      <c r="S4" s="325" t="s">
        <v>17</v>
      </c>
      <c r="T4" s="66" t="s">
        <v>517</v>
      </c>
      <c r="U4" s="299" t="s">
        <v>518</v>
      </c>
    </row>
    <row r="5" spans="1:22" ht="17.25" customHeight="1">
      <c r="C5" s="7"/>
      <c r="D5" s="7"/>
      <c r="E5" s="68" t="s">
        <v>20</v>
      </c>
      <c r="F5" s="20"/>
      <c r="G5" s="68" t="s">
        <v>20</v>
      </c>
      <c r="H5" s="68" t="s">
        <v>20</v>
      </c>
      <c r="I5" s="68" t="s">
        <v>20</v>
      </c>
      <c r="J5" s="285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68" t="s">
        <v>20</v>
      </c>
      <c r="R5" s="68" t="s">
        <v>20</v>
      </c>
      <c r="S5" s="431" t="s">
        <v>20</v>
      </c>
      <c r="T5" s="68" t="s">
        <v>20</v>
      </c>
      <c r="U5" s="211" t="s">
        <v>20</v>
      </c>
    </row>
    <row r="6" spans="1:22" ht="20.149999999999999" customHeight="1">
      <c r="A6" s="8" t="s">
        <v>21</v>
      </c>
      <c r="B6" s="7" t="s">
        <v>22</v>
      </c>
      <c r="C6" s="7"/>
      <c r="D6" s="7"/>
      <c r="E6" s="68"/>
      <c r="F6" s="20"/>
      <c r="G6" s="68"/>
      <c r="H6" s="68"/>
      <c r="I6" s="68"/>
      <c r="J6" s="285"/>
      <c r="K6" s="68"/>
      <c r="L6" s="68"/>
      <c r="M6" s="68"/>
      <c r="N6" s="68"/>
      <c r="O6" s="68"/>
      <c r="P6" s="68"/>
      <c r="Q6" s="68"/>
      <c r="R6" s="68"/>
      <c r="S6" s="431"/>
      <c r="T6" s="68"/>
      <c r="U6" s="211"/>
    </row>
    <row r="7" spans="1:22" ht="20.149999999999999" customHeight="1">
      <c r="A7" s="9">
        <v>1</v>
      </c>
      <c r="B7" s="10" t="s">
        <v>239</v>
      </c>
      <c r="C7" s="11" t="s">
        <v>240</v>
      </c>
      <c r="D7" s="9" t="s">
        <v>234</v>
      </c>
      <c r="E7" s="71">
        <v>762373.16666666698</v>
      </c>
      <c r="F7" s="71"/>
      <c r="G7" s="201"/>
      <c r="H7" s="201">
        <f>90000</f>
        <v>90000</v>
      </c>
      <c r="I7" s="71">
        <v>0</v>
      </c>
      <c r="J7" s="200">
        <f t="shared" ref="J7:J16" si="0">E7+F7+G7+H7+I7</f>
        <v>852373.16666666698</v>
      </c>
      <c r="K7" s="71"/>
      <c r="L7" s="71">
        <f>100000</f>
        <v>100000</v>
      </c>
      <c r="M7" s="71"/>
      <c r="N7" s="71"/>
      <c r="O7" s="71">
        <v>130612.26282666701</v>
      </c>
      <c r="P7" s="71">
        <f>'March New PAYE '!Z7</f>
        <v>149812.26282666699</v>
      </c>
      <c r="Q7" s="71">
        <f>P7-O7</f>
        <v>19200.000000000098</v>
      </c>
      <c r="R7" s="71">
        <v>60989.853333333303</v>
      </c>
      <c r="S7" s="317">
        <f t="shared" ref="S7:S16" si="1">O7+N7+M7+L7+K7+R7</f>
        <v>291602.11615999998</v>
      </c>
      <c r="T7" s="71">
        <v>560771.050506667</v>
      </c>
      <c r="U7" s="212">
        <f t="shared" ref="U7:U16" si="2">J7-S7</f>
        <v>560771.050506667</v>
      </c>
      <c r="V7" s="12"/>
    </row>
    <row r="8" spans="1:22" ht="20.149999999999999" customHeight="1">
      <c r="A8" s="9">
        <v>2</v>
      </c>
      <c r="B8" s="13" t="s">
        <v>241</v>
      </c>
      <c r="C8" s="3" t="s">
        <v>242</v>
      </c>
      <c r="D8" s="9" t="s">
        <v>234</v>
      </c>
      <c r="E8" s="71">
        <v>762373.16666666698</v>
      </c>
      <c r="F8" s="71"/>
      <c r="G8" s="201"/>
      <c r="H8" s="201">
        <f>90000</f>
        <v>90000</v>
      </c>
      <c r="I8" s="71">
        <f>100000+100000</f>
        <v>200000</v>
      </c>
      <c r="J8" s="200">
        <f t="shared" si="0"/>
        <v>1052373.16666667</v>
      </c>
      <c r="K8" s="71"/>
      <c r="L8" s="71"/>
      <c r="M8" s="71"/>
      <c r="N8" s="71"/>
      <c r="O8" s="71">
        <v>180722.31466666699</v>
      </c>
      <c r="P8" s="71">
        <f>'March New PAYE '!Z8</f>
        <v>199922.31466666699</v>
      </c>
      <c r="Q8" s="71">
        <f t="shared" ref="Q8:Q16" si="3">P8-O8</f>
        <v>19200.0000000006</v>
      </c>
      <c r="R8" s="71"/>
      <c r="S8" s="317">
        <f t="shared" si="1"/>
        <v>180722.31466666699</v>
      </c>
      <c r="T8" s="71">
        <v>871650.85199999996</v>
      </c>
      <c r="U8" s="212">
        <f t="shared" si="2"/>
        <v>871650.85199999996</v>
      </c>
      <c r="V8" s="12"/>
    </row>
    <row r="9" spans="1:22" ht="20.149999999999999" customHeight="1">
      <c r="A9" s="9">
        <v>3</v>
      </c>
      <c r="B9" s="13" t="s">
        <v>245</v>
      </c>
      <c r="C9" s="3" t="s">
        <v>246</v>
      </c>
      <c r="D9" s="9" t="s">
        <v>234</v>
      </c>
      <c r="E9" s="71">
        <v>762373.16666666698</v>
      </c>
      <c r="F9" s="71"/>
      <c r="G9" s="201"/>
      <c r="H9" s="201">
        <f>80000+10000</f>
        <v>90000</v>
      </c>
      <c r="I9" s="71">
        <v>150000</v>
      </c>
      <c r="J9" s="200">
        <f t="shared" si="0"/>
        <v>1002373.16666667</v>
      </c>
      <c r="K9" s="71"/>
      <c r="L9" s="71">
        <f>20000+60000</f>
        <v>80000</v>
      </c>
      <c r="M9" s="71">
        <f>'[4]OCTOBER 2023 '!$D$193</f>
        <v>230499.8</v>
      </c>
      <c r="N9" s="71">
        <v>1066.32925</v>
      </c>
      <c r="O9" s="71">
        <v>159207.52761066699</v>
      </c>
      <c r="P9" s="71">
        <f>'March New PAYE '!Z10</f>
        <v>178407.52761066699</v>
      </c>
      <c r="Q9" s="71">
        <f t="shared" si="3"/>
        <v>19200.0000000006</v>
      </c>
      <c r="R9" s="71">
        <v>60989.853333333303</v>
      </c>
      <c r="S9" s="317">
        <f t="shared" si="1"/>
        <v>531763.51019399997</v>
      </c>
      <c r="T9" s="71">
        <v>470609.656472667</v>
      </c>
      <c r="U9" s="212">
        <f t="shared" si="2"/>
        <v>470609.656472667</v>
      </c>
      <c r="V9" s="12"/>
    </row>
    <row r="10" spans="1:22" ht="20.149999999999999" customHeight="1">
      <c r="A10" s="9">
        <v>4</v>
      </c>
      <c r="B10" s="17" t="s">
        <v>232</v>
      </c>
      <c r="C10" s="9" t="s">
        <v>233</v>
      </c>
      <c r="D10" s="9" t="s">
        <v>234</v>
      </c>
      <c r="E10" s="71">
        <v>762373.16666666698</v>
      </c>
      <c r="F10" s="71"/>
      <c r="G10" s="201"/>
      <c r="H10" s="201">
        <f>90000</f>
        <v>90000</v>
      </c>
      <c r="I10" s="71">
        <v>100000</v>
      </c>
      <c r="J10" s="200">
        <f t="shared" si="0"/>
        <v>952373.16666666698</v>
      </c>
      <c r="K10" s="71"/>
      <c r="L10" s="71">
        <f>50000</f>
        <v>50000</v>
      </c>
      <c r="M10" s="71">
        <f>91666.67</f>
        <v>91666.67</v>
      </c>
      <c r="N10" s="71"/>
      <c r="O10" s="71">
        <v>161522.31466666699</v>
      </c>
      <c r="P10" s="71">
        <f>'March New PAYE '!Z11</f>
        <v>180722.31466666699</v>
      </c>
      <c r="Q10" s="71">
        <f t="shared" si="3"/>
        <v>19200</v>
      </c>
      <c r="R10" s="71"/>
      <c r="S10" s="317">
        <f t="shared" si="1"/>
        <v>303188.98466666701</v>
      </c>
      <c r="T10" s="71">
        <v>649184.18200000003</v>
      </c>
      <c r="U10" s="212">
        <f t="shared" si="2"/>
        <v>649184.18200000003</v>
      </c>
      <c r="V10" s="12"/>
    </row>
    <row r="11" spans="1:22" ht="20.149999999999999" customHeight="1">
      <c r="A11" s="9">
        <v>5</v>
      </c>
      <c r="B11" s="10" t="s">
        <v>349</v>
      </c>
      <c r="C11" s="3" t="s">
        <v>310</v>
      </c>
      <c r="D11" s="9" t="s">
        <v>249</v>
      </c>
      <c r="E11" s="71">
        <v>620675.58333333302</v>
      </c>
      <c r="F11" s="71"/>
      <c r="G11" s="201">
        <f>160000</f>
        <v>160000</v>
      </c>
      <c r="H11" s="201"/>
      <c r="I11" s="71">
        <v>100000</v>
      </c>
      <c r="J11" s="200">
        <f>SUM(E11:I11)</f>
        <v>880675.58333333302</v>
      </c>
      <c r="K11" s="71"/>
      <c r="L11" s="71"/>
      <c r="M11" s="71"/>
      <c r="N11" s="71"/>
      <c r="O11" s="71">
        <v>138222.801706667</v>
      </c>
      <c r="P11" s="71">
        <f>'March New PAYE '!Z80</f>
        <v>157422.801706667</v>
      </c>
      <c r="Q11" s="71">
        <f t="shared" si="3"/>
        <v>19199.999999999902</v>
      </c>
      <c r="R11" s="71">
        <v>49654.046666666698</v>
      </c>
      <c r="S11" s="317">
        <f t="shared" si="1"/>
        <v>187876.84837333299</v>
      </c>
      <c r="T11" s="71">
        <v>692798.73496000003</v>
      </c>
      <c r="U11" s="212">
        <f t="shared" si="2"/>
        <v>692798.73496000003</v>
      </c>
      <c r="V11" s="12"/>
    </row>
    <row r="12" spans="1:22" ht="20.149999999999999" customHeight="1">
      <c r="A12" s="9">
        <v>6</v>
      </c>
      <c r="B12" s="10" t="s">
        <v>250</v>
      </c>
      <c r="C12" s="3" t="s">
        <v>251</v>
      </c>
      <c r="D12" s="9" t="s">
        <v>228</v>
      </c>
      <c r="E12" s="71">
        <v>582118.08333333302</v>
      </c>
      <c r="F12" s="71"/>
      <c r="G12" s="201">
        <v>160000</v>
      </c>
      <c r="H12" s="201"/>
      <c r="I12" s="71">
        <f>100000</f>
        <v>100000</v>
      </c>
      <c r="J12" s="200">
        <f t="shared" si="0"/>
        <v>842118.08333333302</v>
      </c>
      <c r="K12" s="71"/>
      <c r="L12" s="71"/>
      <c r="M12" s="71"/>
      <c r="N12" s="71">
        <v>775.49599999999998</v>
      </c>
      <c r="O12" s="71">
        <v>131263.10967466701</v>
      </c>
      <c r="P12" s="71">
        <f>'March New PAYE '!Z13</f>
        <v>150463.10967466701</v>
      </c>
      <c r="Q12" s="71">
        <f t="shared" si="3"/>
        <v>19200</v>
      </c>
      <c r="R12" s="71">
        <v>46569.446666666699</v>
      </c>
      <c r="S12" s="317">
        <f t="shared" si="1"/>
        <v>178608.05234133301</v>
      </c>
      <c r="T12" s="71">
        <v>663510.03099200001</v>
      </c>
      <c r="U12" s="212">
        <f t="shared" si="2"/>
        <v>663510.03099200001</v>
      </c>
      <c r="V12" s="12"/>
    </row>
    <row r="13" spans="1:22" ht="20.149999999999999" customHeight="1">
      <c r="A13" s="9">
        <v>7</v>
      </c>
      <c r="B13" s="10" t="s">
        <v>258</v>
      </c>
      <c r="C13" s="3" t="s">
        <v>259</v>
      </c>
      <c r="D13" s="9" t="s">
        <v>260</v>
      </c>
      <c r="E13" s="71">
        <v>442746.5</v>
      </c>
      <c r="F13" s="71"/>
      <c r="G13" s="201">
        <f>140000</f>
        <v>140000</v>
      </c>
      <c r="H13" s="201"/>
      <c r="I13" s="71">
        <v>150000</v>
      </c>
      <c r="J13" s="200">
        <f t="shared" si="0"/>
        <v>732746.5</v>
      </c>
      <c r="K13" s="71"/>
      <c r="L13" s="71">
        <v>70000</v>
      </c>
      <c r="M13" s="71"/>
      <c r="N13" s="71"/>
      <c r="O13" s="71">
        <v>112553.408426667</v>
      </c>
      <c r="P13" s="71">
        <f>'March New PAYE '!Z16</f>
        <v>131753.40842666701</v>
      </c>
      <c r="Q13" s="71">
        <f t="shared" si="3"/>
        <v>19200</v>
      </c>
      <c r="R13" s="71">
        <v>35419.72</v>
      </c>
      <c r="S13" s="317">
        <f t="shared" si="1"/>
        <v>217973.12842666701</v>
      </c>
      <c r="T13" s="71">
        <v>514773.37157333299</v>
      </c>
      <c r="U13" s="212">
        <f t="shared" si="2"/>
        <v>514773.37157333299</v>
      </c>
      <c r="V13" s="12"/>
    </row>
    <row r="14" spans="1:22" ht="20.149999999999999" customHeight="1">
      <c r="A14" s="9">
        <v>8</v>
      </c>
      <c r="B14" s="17" t="s">
        <v>267</v>
      </c>
      <c r="C14" s="3" t="s">
        <v>268</v>
      </c>
      <c r="D14" s="14" t="s">
        <v>269</v>
      </c>
      <c r="E14" s="71">
        <v>416026.91666666698</v>
      </c>
      <c r="F14" s="71"/>
      <c r="G14" s="201">
        <f>120000</f>
        <v>120000</v>
      </c>
      <c r="H14" s="201"/>
      <c r="I14" s="71">
        <f>100000</f>
        <v>100000</v>
      </c>
      <c r="J14" s="200">
        <f t="shared" si="0"/>
        <v>636026.91666666698</v>
      </c>
      <c r="K14" s="71"/>
      <c r="L14" s="71">
        <f>30000-20000</f>
        <v>10000</v>
      </c>
      <c r="M14" s="71">
        <f>95833.33</f>
        <v>95833.33</v>
      </c>
      <c r="N14" s="71">
        <v>618.53150000000005</v>
      </c>
      <c r="O14" s="71">
        <v>94274.903466666699</v>
      </c>
      <c r="P14" s="71">
        <f>'March New PAYE '!Z19</f>
        <v>113474.903466667</v>
      </c>
      <c r="Q14" s="71">
        <f t="shared" si="3"/>
        <v>19200</v>
      </c>
      <c r="R14" s="71">
        <v>33282.153333333299</v>
      </c>
      <c r="S14" s="317">
        <f t="shared" si="1"/>
        <v>234008.91829999999</v>
      </c>
      <c r="T14" s="71">
        <v>402017.99836666702</v>
      </c>
      <c r="U14" s="212">
        <f t="shared" si="2"/>
        <v>402017.99836666702</v>
      </c>
      <c r="V14" s="12"/>
    </row>
    <row r="15" spans="1:22" ht="20.149999999999999" customHeight="1">
      <c r="A15" s="9">
        <v>9</v>
      </c>
      <c r="B15" s="13" t="s">
        <v>272</v>
      </c>
      <c r="C15" s="16" t="s">
        <v>273</v>
      </c>
      <c r="D15" s="9" t="s">
        <v>42</v>
      </c>
      <c r="E15" s="71">
        <v>353512.5</v>
      </c>
      <c r="F15" s="71"/>
      <c r="G15" s="201">
        <f t="shared" ref="G15" si="4">100000</f>
        <v>100000</v>
      </c>
      <c r="H15" s="201"/>
      <c r="I15" s="71">
        <v>100000</v>
      </c>
      <c r="J15" s="200">
        <f t="shared" si="0"/>
        <v>553512.5</v>
      </c>
      <c r="K15" s="71"/>
      <c r="L15" s="71">
        <v>50000</v>
      </c>
      <c r="M15" s="71"/>
      <c r="N15" s="71"/>
      <c r="O15" s="71">
        <v>79511.114666666705</v>
      </c>
      <c r="P15" s="71">
        <f>'March New PAYE '!Z21</f>
        <v>98711.114666666705</v>
      </c>
      <c r="Q15" s="71">
        <f t="shared" si="3"/>
        <v>19200</v>
      </c>
      <c r="R15" s="71">
        <v>28281</v>
      </c>
      <c r="S15" s="317">
        <f t="shared" si="1"/>
        <v>157792.11466666701</v>
      </c>
      <c r="T15" s="71">
        <v>395720.38533333299</v>
      </c>
      <c r="U15" s="212">
        <f t="shared" si="2"/>
        <v>395720.38533333299</v>
      </c>
      <c r="V15" s="12"/>
    </row>
    <row r="16" spans="1:22" ht="20.149999999999999" customHeight="1">
      <c r="A16" s="9">
        <v>10</v>
      </c>
      <c r="B16" s="13" t="s">
        <v>276</v>
      </c>
      <c r="C16" s="16" t="s">
        <v>277</v>
      </c>
      <c r="D16" s="9" t="s">
        <v>38</v>
      </c>
      <c r="E16" s="71">
        <v>293029.66666666698</v>
      </c>
      <c r="F16" s="71"/>
      <c r="G16" s="201"/>
      <c r="H16" s="201">
        <f>50000+10000</f>
        <v>60000</v>
      </c>
      <c r="I16" s="71">
        <v>100000</v>
      </c>
      <c r="J16" s="200">
        <f t="shared" si="0"/>
        <v>453029.66666666698</v>
      </c>
      <c r="K16" s="71"/>
      <c r="L16" s="71"/>
      <c r="M16" s="71"/>
      <c r="N16" s="71"/>
      <c r="O16" s="71">
        <v>61147.426986666702</v>
      </c>
      <c r="P16" s="71">
        <f>'March New PAYE '!Z23</f>
        <v>80347.426986666702</v>
      </c>
      <c r="Q16" s="71">
        <f t="shared" si="3"/>
        <v>19200.000000000098</v>
      </c>
      <c r="R16" s="71">
        <v>23442.3733333333</v>
      </c>
      <c r="S16" s="317">
        <f t="shared" si="1"/>
        <v>84589.800319999995</v>
      </c>
      <c r="T16" s="71">
        <v>368439.866346667</v>
      </c>
      <c r="U16" s="212">
        <f t="shared" si="2"/>
        <v>368439.866346667</v>
      </c>
      <c r="V16" s="12"/>
    </row>
    <row r="17" spans="1:22" ht="30.75" customHeight="1">
      <c r="A17" s="26"/>
      <c r="B17" s="7" t="s">
        <v>34</v>
      </c>
      <c r="C17" s="27" t="s">
        <v>406</v>
      </c>
      <c r="D17" s="28"/>
      <c r="E17" s="79">
        <v>14898686.4166667</v>
      </c>
      <c r="F17" s="79"/>
      <c r="G17" s="79" t="e">
        <f>SUM(#REF!)</f>
        <v>#REF!</v>
      </c>
      <c r="H17" s="79" t="e">
        <f>SUM(#REF!)</f>
        <v>#REF!</v>
      </c>
      <c r="I17" s="79" t="e">
        <f>SUM(#REF!)</f>
        <v>#REF!</v>
      </c>
      <c r="J17" s="79" t="e">
        <f>SUM(#REF!)</f>
        <v>#REF!</v>
      </c>
      <c r="K17" s="79" t="e">
        <f>SUM(#REF!)</f>
        <v>#REF!</v>
      </c>
      <c r="L17" s="79" t="e">
        <f>SUM(#REF!)</f>
        <v>#REF!</v>
      </c>
      <c r="M17" s="79" t="e">
        <f>SUM(#REF!)</f>
        <v>#REF!</v>
      </c>
      <c r="N17" s="79">
        <v>6347.2330000000002</v>
      </c>
      <c r="O17" s="79">
        <f>SUM(O7:O16)</f>
        <v>1249037.1846986699</v>
      </c>
      <c r="P17" s="79">
        <f t="shared" ref="P17:Q17" si="5">SUM(P7:P16)</f>
        <v>1441037.1846986699</v>
      </c>
      <c r="Q17" s="79">
        <f t="shared" si="5"/>
        <v>192000.00000000099</v>
      </c>
      <c r="R17" s="79">
        <v>1130905.06</v>
      </c>
      <c r="S17" s="606" t="e">
        <f>SUM(#REF!)</f>
        <v>#REF!</v>
      </c>
      <c r="T17" s="79">
        <v>11108681.2189053</v>
      </c>
      <c r="U17" s="300" t="e">
        <f>SUM(#REF!)</f>
        <v>#REF!</v>
      </c>
      <c r="V17" s="12"/>
    </row>
    <row r="18" spans="1:22" ht="38.25" customHeight="1">
      <c r="A18" s="2"/>
      <c r="B18" s="32"/>
      <c r="C18" s="2"/>
      <c r="D18" s="33"/>
      <c r="E18" s="33"/>
      <c r="F18" s="33"/>
      <c r="G18" s="209"/>
      <c r="H18" s="209"/>
      <c r="I18" s="209"/>
      <c r="J18" s="209"/>
      <c r="K18" s="209"/>
      <c r="L18" s="209"/>
      <c r="M18" s="209"/>
      <c r="N18" s="209"/>
      <c r="O18" s="210"/>
      <c r="P18" s="210"/>
      <c r="Q18" s="210"/>
      <c r="R18" s="210"/>
      <c r="S18" s="210"/>
      <c r="T18" s="210"/>
      <c r="U18" s="210"/>
      <c r="V18" s="34"/>
    </row>
    <row r="19" spans="1:22" ht="36.75" customHeight="1">
      <c r="A19" s="2"/>
      <c r="B19" s="32"/>
      <c r="C19" s="33"/>
      <c r="D19" s="33"/>
      <c r="E19" s="33"/>
      <c r="F19" s="33"/>
      <c r="G19" s="209"/>
      <c r="H19" s="209"/>
      <c r="J19" s="209" t="s">
        <v>519</v>
      </c>
      <c r="K19" s="209"/>
      <c r="L19" s="209"/>
      <c r="M19" s="209"/>
      <c r="N19" s="209"/>
      <c r="O19" s="210"/>
      <c r="P19" s="210"/>
      <c r="Q19" s="210"/>
      <c r="R19" s="210"/>
      <c r="S19" s="210"/>
      <c r="T19" s="210"/>
      <c r="U19" s="34"/>
    </row>
    <row r="20" spans="1:22" ht="20.149999999999999" customHeight="1">
      <c r="S20" s="34"/>
      <c r="U20" s="313"/>
    </row>
    <row r="21" spans="1:22" ht="20.149999999999999" customHeight="1">
      <c r="U21" s="34"/>
    </row>
    <row r="22" spans="1:22" ht="20.149999999999999" customHeight="1">
      <c r="J2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S4" workbookViewId="0">
      <selection activeCell="U6" sqref="U6"/>
    </sheetView>
  </sheetViews>
  <sheetFormatPr defaultColWidth="9.1796875" defaultRowHeight="12.5"/>
  <cols>
    <col min="1" max="1" width="6.81640625" style="274" customWidth="1"/>
    <col min="2" max="2" width="39.1796875" style="274" customWidth="1"/>
    <col min="3" max="3" width="16.81640625" style="274" customWidth="1"/>
    <col min="4" max="4" width="6.7265625" style="274" customWidth="1"/>
    <col min="5" max="5" width="13.1796875" style="274" customWidth="1"/>
    <col min="6" max="6" width="11.1796875" style="274" customWidth="1"/>
    <col min="7" max="7" width="14.453125" style="274" customWidth="1"/>
    <col min="8" max="8" width="5.81640625" style="274" customWidth="1"/>
    <col min="9" max="9" width="12.81640625" style="274" customWidth="1"/>
    <col min="10" max="10" width="11.54296875" style="274" customWidth="1"/>
    <col min="11" max="11" width="6.81640625" style="274" customWidth="1"/>
    <col min="12" max="12" width="10.81640625" style="274" customWidth="1"/>
    <col min="13" max="13" width="12.54296875" style="274" customWidth="1"/>
    <col min="14" max="14" width="11" style="274" customWidth="1"/>
    <col min="15" max="15" width="12.1796875" style="274" customWidth="1"/>
    <col min="16" max="16" width="15.453125" style="274" customWidth="1"/>
    <col min="17" max="17" width="16.54296875" style="274" customWidth="1"/>
    <col min="18" max="18" width="9.81640625" style="274" customWidth="1"/>
    <col min="19" max="19" width="10.54296875" style="274" customWidth="1"/>
    <col min="20" max="20" width="11.54296875" style="274" customWidth="1"/>
    <col min="21" max="21" width="12.453125" style="274" customWidth="1"/>
    <col min="22" max="22" width="14.54296875" style="274" customWidth="1"/>
    <col min="23" max="23" width="9.54296875" style="274" customWidth="1"/>
    <col min="24" max="24" width="15.1796875" style="274" customWidth="1"/>
    <col min="25" max="25" width="9" style="274" customWidth="1"/>
    <col min="26" max="26" width="14.1796875" style="274" customWidth="1"/>
    <col min="27" max="27" width="16.26953125" style="274" customWidth="1"/>
    <col min="28" max="28" width="14.7265625" style="274" customWidth="1"/>
    <col min="29" max="29" width="27.453125" style="274" customWidth="1"/>
    <col min="30" max="16384" width="9.1796875" style="274"/>
  </cols>
  <sheetData>
    <row r="1" spans="1:31" ht="13" hidden="1">
      <c r="A1" s="779" t="s">
        <v>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454"/>
    </row>
    <row r="2" spans="1:31" ht="13" hidden="1">
      <c r="A2" s="780" t="s">
        <v>143</v>
      </c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454"/>
    </row>
    <row r="3" spans="1:31" ht="13" hidden="1">
      <c r="A3" s="781" t="s">
        <v>144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454"/>
    </row>
    <row r="4" spans="1:31" ht="83.25" customHeight="1">
      <c r="A4" s="440" t="s">
        <v>145</v>
      </c>
      <c r="B4" s="441" t="s">
        <v>146</v>
      </c>
      <c r="C4" s="442" t="s">
        <v>147</v>
      </c>
      <c r="D4" s="441" t="s">
        <v>148</v>
      </c>
      <c r="E4" s="442" t="s">
        <v>149</v>
      </c>
      <c r="F4" s="442" t="s">
        <v>150</v>
      </c>
      <c r="G4" s="442" t="s">
        <v>151</v>
      </c>
      <c r="H4" s="442" t="s">
        <v>152</v>
      </c>
      <c r="I4" s="442" t="s">
        <v>153</v>
      </c>
      <c r="J4" s="442"/>
      <c r="K4" s="442"/>
      <c r="L4" s="442"/>
      <c r="M4" s="442" t="s">
        <v>154</v>
      </c>
      <c r="N4" s="442" t="s">
        <v>155</v>
      </c>
      <c r="O4" s="442" t="s">
        <v>156</v>
      </c>
      <c r="P4" s="442" t="s">
        <v>157</v>
      </c>
      <c r="Q4" s="442" t="s">
        <v>158</v>
      </c>
      <c r="R4" s="442" t="s">
        <v>159</v>
      </c>
      <c r="S4" s="442" t="s">
        <v>160</v>
      </c>
      <c r="T4" s="442" t="s">
        <v>161</v>
      </c>
      <c r="U4" s="442" t="s">
        <v>162</v>
      </c>
      <c r="V4" s="442" t="s">
        <v>163</v>
      </c>
      <c r="W4" s="442"/>
      <c r="X4" s="442" t="s">
        <v>164</v>
      </c>
      <c r="Y4" s="442" t="s">
        <v>165</v>
      </c>
      <c r="Z4" s="455" t="s">
        <v>166</v>
      </c>
      <c r="AA4" s="456"/>
      <c r="AB4" s="456" t="s">
        <v>520</v>
      </c>
    </row>
    <row r="5" spans="1:31" ht="17.5">
      <c r="A5" s="443">
        <v>1</v>
      </c>
      <c r="B5" s="7" t="s">
        <v>22</v>
      </c>
      <c r="C5" s="444"/>
      <c r="D5" s="445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53"/>
      <c r="X5" s="446"/>
      <c r="Y5" s="446"/>
      <c r="Z5" s="457"/>
      <c r="AA5" s="458"/>
      <c r="AB5" s="458"/>
      <c r="AC5" s="458"/>
      <c r="AD5" s="458"/>
      <c r="AE5" s="458"/>
    </row>
    <row r="6" spans="1:31" ht="36">
      <c r="A6" s="443">
        <v>3</v>
      </c>
      <c r="B6" s="10" t="s">
        <v>236</v>
      </c>
      <c r="C6" s="444">
        <v>1934986.1669999999</v>
      </c>
      <c r="D6" s="445">
        <v>12</v>
      </c>
      <c r="E6" s="446">
        <f>C6*D6</f>
        <v>23219834.004000001</v>
      </c>
      <c r="F6" s="446"/>
      <c r="G6" s="446"/>
      <c r="H6" s="446"/>
      <c r="I6" s="446">
        <f t="shared" ref="I6:I32" si="0">E6-F6-G6-H6</f>
        <v>23219834.004000001</v>
      </c>
      <c r="J6" s="446">
        <v>200000</v>
      </c>
      <c r="K6" s="446">
        <v>0.2</v>
      </c>
      <c r="L6" s="446">
        <f t="shared" ref="L6:L75" si="1">I6*K6</f>
        <v>4643966.8008000003</v>
      </c>
      <c r="M6" s="446">
        <f t="shared" ref="M6:M75" si="2">J6+L6</f>
        <v>4843966.8008000003</v>
      </c>
      <c r="N6" s="446">
        <f t="shared" ref="N6:N32" si="3">F6+G6+H6+M6</f>
        <v>4843966.8008000003</v>
      </c>
      <c r="O6" s="446">
        <f t="shared" ref="O6:O32" si="4">E6-N6</f>
        <v>18375867.203200001</v>
      </c>
      <c r="P6" s="446">
        <f t="shared" ref="P6:P75" si="5">IF(O6&lt;300000,0.07*O6,21000)</f>
        <v>21000</v>
      </c>
      <c r="Q6" s="446">
        <f t="shared" ref="Q6:Q75" si="6">IF((O6-300000)&lt;0,0,IF((O6-300000)&lt;300000,0.11*(O6-300000),33000))</f>
        <v>33000</v>
      </c>
      <c r="R6" s="446">
        <f t="shared" ref="R6:R75" si="7">IF((O6-600000)&lt;0,0,IF((O6-600000)&lt;500000,0.15*(O6-600000),75000))</f>
        <v>75000</v>
      </c>
      <c r="S6" s="446">
        <f t="shared" ref="S6:S75" si="8">IF((O6-1100000)&lt;0,0,IF((O6-1100000)&lt;500000,0.19*(O6-1100000),95000))</f>
        <v>95000</v>
      </c>
      <c r="T6" s="446">
        <f t="shared" ref="T6:T75" si="9">IF((O6-1600000)&lt;0,0,IF((O6-1600000)&lt;1600000,0.21*(O6-1600000),336000))</f>
        <v>336000</v>
      </c>
      <c r="U6" s="446">
        <f t="shared" ref="U6:U73" si="10">24%*(O6-3200000)</f>
        <v>3642208.1287679998</v>
      </c>
      <c r="V6" s="446">
        <f t="shared" ref="V6:V75" si="11">P6+Q6+R6+S6+T6+U6</f>
        <v>4202208.1287679998</v>
      </c>
      <c r="W6" s="453">
        <v>12</v>
      </c>
      <c r="X6" s="446">
        <f t="shared" ref="X6:X75" si="12">V6/W6</f>
        <v>350184.01073066698</v>
      </c>
      <c r="Y6" s="446"/>
      <c r="Z6" s="457">
        <f t="shared" ref="Z6:Z75" si="13">X6</f>
        <v>350184.01073066698</v>
      </c>
      <c r="AA6" s="458">
        <v>201165.83594666701</v>
      </c>
      <c r="AB6" s="458">
        <f>Z6-AA6</f>
        <v>149018.174784</v>
      </c>
      <c r="AC6" s="458"/>
      <c r="AD6" s="458"/>
      <c r="AE6" s="458"/>
    </row>
    <row r="7" spans="1:31" s="594" customFormat="1" ht="18">
      <c r="A7" s="595">
        <v>4</v>
      </c>
      <c r="B7" s="596" t="s">
        <v>239</v>
      </c>
      <c r="C7" s="597">
        <f>852373.166666667+100000</f>
        <v>952373.16666666698</v>
      </c>
      <c r="D7" s="598">
        <v>12</v>
      </c>
      <c r="E7" s="599">
        <f t="shared" ref="E7:E32" si="14">C7*D7</f>
        <v>11428478</v>
      </c>
      <c r="F7" s="599"/>
      <c r="G7" s="599">
        <v>731878.24</v>
      </c>
      <c r="H7" s="599"/>
      <c r="I7" s="599">
        <f t="shared" si="0"/>
        <v>10696599.76</v>
      </c>
      <c r="J7" s="599">
        <v>200000</v>
      </c>
      <c r="K7" s="599">
        <v>0.2</v>
      </c>
      <c r="L7" s="599">
        <f t="shared" si="1"/>
        <v>2139319.952</v>
      </c>
      <c r="M7" s="599">
        <f t="shared" si="2"/>
        <v>2339319.952</v>
      </c>
      <c r="N7" s="599">
        <f t="shared" si="3"/>
        <v>3071198.1919999998</v>
      </c>
      <c r="O7" s="599">
        <f t="shared" si="4"/>
        <v>8357279.8080000002</v>
      </c>
      <c r="P7" s="599">
        <f t="shared" si="5"/>
        <v>21000</v>
      </c>
      <c r="Q7" s="599">
        <f t="shared" si="6"/>
        <v>33000</v>
      </c>
      <c r="R7" s="599">
        <f t="shared" si="7"/>
        <v>75000</v>
      </c>
      <c r="S7" s="599">
        <f t="shared" si="8"/>
        <v>95000</v>
      </c>
      <c r="T7" s="599">
        <f t="shared" si="9"/>
        <v>336000</v>
      </c>
      <c r="U7" s="599">
        <f t="shared" si="10"/>
        <v>1237747.15392</v>
      </c>
      <c r="V7" s="599">
        <f t="shared" si="11"/>
        <v>1797747.15392</v>
      </c>
      <c r="W7" s="602">
        <v>12</v>
      </c>
      <c r="X7" s="599">
        <f t="shared" si="12"/>
        <v>149812.26282666699</v>
      </c>
      <c r="Y7" s="599"/>
      <c r="Z7" s="599">
        <f t="shared" si="13"/>
        <v>149812.26282666699</v>
      </c>
      <c r="AA7" s="603">
        <v>82627.951418666693</v>
      </c>
      <c r="AB7" s="603">
        <f t="shared" ref="AB7:AB32" si="15">Z7-AA7</f>
        <v>67184.311408000096</v>
      </c>
      <c r="AC7" s="603"/>
      <c r="AD7" s="603"/>
      <c r="AE7" s="603"/>
    </row>
    <row r="8" spans="1:31" s="594" customFormat="1" ht="18">
      <c r="A8" s="595">
        <v>5</v>
      </c>
      <c r="B8" s="600" t="s">
        <v>241</v>
      </c>
      <c r="C8" s="597">
        <f>1052373.16666667+100000</f>
        <v>1152373.16666667</v>
      </c>
      <c r="D8" s="598">
        <v>12</v>
      </c>
      <c r="E8" s="599">
        <f t="shared" si="14"/>
        <v>13828478</v>
      </c>
      <c r="F8" s="599"/>
      <c r="G8" s="599">
        <v>0</v>
      </c>
      <c r="H8" s="599"/>
      <c r="I8" s="599">
        <f t="shared" si="0"/>
        <v>13828478</v>
      </c>
      <c r="J8" s="599">
        <v>200000</v>
      </c>
      <c r="K8" s="599">
        <v>0.2</v>
      </c>
      <c r="L8" s="599">
        <f t="shared" si="1"/>
        <v>2765695.6000000099</v>
      </c>
      <c r="M8" s="599">
        <f t="shared" si="2"/>
        <v>2965695.6000000099</v>
      </c>
      <c r="N8" s="599">
        <f t="shared" si="3"/>
        <v>2965695.6000000099</v>
      </c>
      <c r="O8" s="599">
        <f t="shared" si="4"/>
        <v>10862782.4</v>
      </c>
      <c r="P8" s="599">
        <f t="shared" si="5"/>
        <v>21000</v>
      </c>
      <c r="Q8" s="599">
        <f t="shared" si="6"/>
        <v>33000</v>
      </c>
      <c r="R8" s="599">
        <f t="shared" si="7"/>
        <v>75000</v>
      </c>
      <c r="S8" s="599">
        <f t="shared" si="8"/>
        <v>95000</v>
      </c>
      <c r="T8" s="599">
        <f t="shared" si="9"/>
        <v>336000</v>
      </c>
      <c r="U8" s="599">
        <f t="shared" si="10"/>
        <v>1839067.7760000101</v>
      </c>
      <c r="V8" s="599">
        <f t="shared" si="11"/>
        <v>2399067.7760000098</v>
      </c>
      <c r="W8" s="602">
        <v>12</v>
      </c>
      <c r="X8" s="599">
        <f t="shared" si="12"/>
        <v>199922.31466666699</v>
      </c>
      <c r="Y8" s="599"/>
      <c r="Z8" s="599">
        <f t="shared" si="13"/>
        <v>199922.31466666699</v>
      </c>
      <c r="AA8" s="603">
        <v>121027.951418667</v>
      </c>
      <c r="AB8" s="603">
        <f t="shared" si="15"/>
        <v>78894.363248000605</v>
      </c>
      <c r="AC8" s="603"/>
      <c r="AD8" s="603"/>
      <c r="AE8" s="603"/>
    </row>
    <row r="9" spans="1:31" ht="18">
      <c r="A9" s="443">
        <v>6</v>
      </c>
      <c r="B9" s="10" t="s">
        <v>243</v>
      </c>
      <c r="C9" s="444">
        <v>942373.16666666698</v>
      </c>
      <c r="D9" s="445">
        <v>12</v>
      </c>
      <c r="E9" s="446">
        <f t="shared" si="14"/>
        <v>11308478</v>
      </c>
      <c r="F9" s="446">
        <f>'[5]JANUARY 2024'!$V$10*12</f>
        <v>12795.950999999999</v>
      </c>
      <c r="G9" s="446">
        <v>731878.24</v>
      </c>
      <c r="H9" s="446"/>
      <c r="I9" s="446">
        <f t="shared" si="0"/>
        <v>10563803.809</v>
      </c>
      <c r="J9" s="446">
        <v>200000</v>
      </c>
      <c r="K9" s="446">
        <v>0.2</v>
      </c>
      <c r="L9" s="446">
        <f t="shared" si="1"/>
        <v>2112760.7618</v>
      </c>
      <c r="M9" s="446">
        <f t="shared" si="2"/>
        <v>2312760.7618</v>
      </c>
      <c r="N9" s="446">
        <f t="shared" si="3"/>
        <v>3057434.9528000001</v>
      </c>
      <c r="O9" s="446">
        <f t="shared" si="4"/>
        <v>8251043.0471999999</v>
      </c>
      <c r="P9" s="446">
        <f t="shared" si="5"/>
        <v>21000</v>
      </c>
      <c r="Q9" s="446">
        <f t="shared" si="6"/>
        <v>33000</v>
      </c>
      <c r="R9" s="446">
        <f t="shared" si="7"/>
        <v>75000</v>
      </c>
      <c r="S9" s="446">
        <f t="shared" si="8"/>
        <v>95000</v>
      </c>
      <c r="T9" s="446">
        <f t="shared" si="9"/>
        <v>336000</v>
      </c>
      <c r="U9" s="446">
        <f t="shared" si="10"/>
        <v>1212250.3313279999</v>
      </c>
      <c r="V9" s="446">
        <f t="shared" si="11"/>
        <v>1772250.3313279999</v>
      </c>
      <c r="W9" s="453">
        <v>12</v>
      </c>
      <c r="X9" s="446">
        <f t="shared" si="12"/>
        <v>147687.52761066699</v>
      </c>
      <c r="Y9" s="446"/>
      <c r="Z9" s="457">
        <f t="shared" si="13"/>
        <v>147687.52761066699</v>
      </c>
      <c r="AA9" s="458">
        <v>99703.216202666707</v>
      </c>
      <c r="AB9" s="458">
        <f t="shared" si="15"/>
        <v>47984.311408000001</v>
      </c>
      <c r="AC9" s="458"/>
      <c r="AD9" s="458"/>
      <c r="AE9" s="458"/>
    </row>
    <row r="10" spans="1:31" s="594" customFormat="1" ht="18">
      <c r="A10" s="595">
        <v>7</v>
      </c>
      <c r="B10" s="600" t="s">
        <v>245</v>
      </c>
      <c r="C10" s="597">
        <f>1002373.16666667+100000</f>
        <v>1102373.16666667</v>
      </c>
      <c r="D10" s="598">
        <v>12</v>
      </c>
      <c r="E10" s="599">
        <f t="shared" si="14"/>
        <v>13228478</v>
      </c>
      <c r="F10" s="599">
        <f>'[5]JANUARY 2024'!$V$10*12</f>
        <v>12795.950999999999</v>
      </c>
      <c r="G10" s="599">
        <v>731878.24</v>
      </c>
      <c r="H10" s="599"/>
      <c r="I10" s="599">
        <f t="shared" si="0"/>
        <v>12483803.809</v>
      </c>
      <c r="J10" s="599">
        <v>200000</v>
      </c>
      <c r="K10" s="599">
        <v>0.2</v>
      </c>
      <c r="L10" s="599">
        <f t="shared" si="1"/>
        <v>2496760.7618000102</v>
      </c>
      <c r="M10" s="599">
        <f t="shared" si="2"/>
        <v>2696760.7618000102</v>
      </c>
      <c r="N10" s="599">
        <f t="shared" si="3"/>
        <v>3441434.9528000099</v>
      </c>
      <c r="O10" s="599">
        <f t="shared" si="4"/>
        <v>9787043.0472000297</v>
      </c>
      <c r="P10" s="599">
        <f t="shared" si="5"/>
        <v>21000</v>
      </c>
      <c r="Q10" s="599">
        <f t="shared" si="6"/>
        <v>33000</v>
      </c>
      <c r="R10" s="599">
        <f t="shared" si="7"/>
        <v>75000</v>
      </c>
      <c r="S10" s="599">
        <f t="shared" si="8"/>
        <v>95000</v>
      </c>
      <c r="T10" s="599">
        <f t="shared" si="9"/>
        <v>336000</v>
      </c>
      <c r="U10" s="599">
        <f t="shared" si="10"/>
        <v>1580890.33132801</v>
      </c>
      <c r="V10" s="599">
        <f t="shared" si="11"/>
        <v>2140890.3313280102</v>
      </c>
      <c r="W10" s="602">
        <v>12</v>
      </c>
      <c r="X10" s="599">
        <f t="shared" si="12"/>
        <v>178407.52761066699</v>
      </c>
      <c r="Y10" s="599"/>
      <c r="Z10" s="599">
        <f t="shared" si="13"/>
        <v>178407.52761066699</v>
      </c>
      <c r="AA10" s="603">
        <v>111223.216202667</v>
      </c>
      <c r="AB10" s="603">
        <f t="shared" si="15"/>
        <v>67184.311408000605</v>
      </c>
      <c r="AC10" s="603"/>
      <c r="AD10" s="603"/>
      <c r="AE10" s="603"/>
    </row>
    <row r="11" spans="1:31" s="594" customFormat="1" ht="18">
      <c r="A11" s="595">
        <v>8</v>
      </c>
      <c r="B11" s="601" t="s">
        <v>232</v>
      </c>
      <c r="C11" s="597">
        <f>952373.166666667+100000</f>
        <v>1052373.16666667</v>
      </c>
      <c r="D11" s="598">
        <v>12</v>
      </c>
      <c r="E11" s="599">
        <f t="shared" si="14"/>
        <v>12628478</v>
      </c>
      <c r="F11" s="599"/>
      <c r="G11" s="599">
        <v>0</v>
      </c>
      <c r="H11" s="599"/>
      <c r="I11" s="599">
        <f t="shared" si="0"/>
        <v>12628478</v>
      </c>
      <c r="J11" s="599">
        <v>200000</v>
      </c>
      <c r="K11" s="599">
        <v>0.2</v>
      </c>
      <c r="L11" s="599">
        <f t="shared" si="1"/>
        <v>2525695.6</v>
      </c>
      <c r="M11" s="599">
        <f t="shared" si="2"/>
        <v>2725695.6</v>
      </c>
      <c r="N11" s="599">
        <f t="shared" si="3"/>
        <v>2725695.6</v>
      </c>
      <c r="O11" s="599">
        <f t="shared" si="4"/>
        <v>9902782.4000000004</v>
      </c>
      <c r="P11" s="599">
        <f t="shared" si="5"/>
        <v>21000</v>
      </c>
      <c r="Q11" s="599">
        <f t="shared" si="6"/>
        <v>33000</v>
      </c>
      <c r="R11" s="599">
        <f t="shared" si="7"/>
        <v>75000</v>
      </c>
      <c r="S11" s="599">
        <f t="shared" si="8"/>
        <v>95000</v>
      </c>
      <c r="T11" s="599">
        <f t="shared" si="9"/>
        <v>336000</v>
      </c>
      <c r="U11" s="599">
        <f t="shared" si="10"/>
        <v>1608667.7760000001</v>
      </c>
      <c r="V11" s="599">
        <f t="shared" si="11"/>
        <v>2168667.7760000001</v>
      </c>
      <c r="W11" s="602">
        <v>12</v>
      </c>
      <c r="X11" s="599">
        <f t="shared" si="12"/>
        <v>180722.31466666699</v>
      </c>
      <c r="Y11" s="599"/>
      <c r="Z11" s="599">
        <f t="shared" si="13"/>
        <v>180722.31466666699</v>
      </c>
      <c r="AA11" s="603">
        <v>101827.951418667</v>
      </c>
      <c r="AB11" s="603">
        <f t="shared" si="15"/>
        <v>78894.363247999994</v>
      </c>
      <c r="AC11" s="603"/>
      <c r="AD11" s="603"/>
      <c r="AE11" s="603"/>
    </row>
    <row r="12" spans="1:31" ht="18">
      <c r="A12" s="443">
        <v>9</v>
      </c>
      <c r="B12" s="10" t="s">
        <v>247</v>
      </c>
      <c r="C12" s="444">
        <v>750675.58333333302</v>
      </c>
      <c r="D12" s="445">
        <v>12</v>
      </c>
      <c r="E12" s="446">
        <f t="shared" si="14"/>
        <v>9008107</v>
      </c>
      <c r="F12" s="446">
        <f>'[5]JANUARY 2024'!$V$13*12</f>
        <v>10052.25</v>
      </c>
      <c r="G12" s="446">
        <v>595848.56000000006</v>
      </c>
      <c r="H12" s="446"/>
      <c r="I12" s="446">
        <f t="shared" si="0"/>
        <v>8402206.1899999995</v>
      </c>
      <c r="J12" s="446">
        <v>200000</v>
      </c>
      <c r="K12" s="446">
        <v>0.2</v>
      </c>
      <c r="L12" s="446">
        <f t="shared" si="1"/>
        <v>1680441.2379999999</v>
      </c>
      <c r="M12" s="446">
        <f t="shared" si="2"/>
        <v>1880441.2379999999</v>
      </c>
      <c r="N12" s="446">
        <f t="shared" si="3"/>
        <v>2486342.048</v>
      </c>
      <c r="O12" s="446">
        <f t="shared" si="4"/>
        <v>6521764.9519999996</v>
      </c>
      <c r="P12" s="446">
        <f t="shared" si="5"/>
        <v>21000</v>
      </c>
      <c r="Q12" s="446">
        <f t="shared" si="6"/>
        <v>33000</v>
      </c>
      <c r="R12" s="446">
        <f t="shared" si="7"/>
        <v>75000</v>
      </c>
      <c r="S12" s="446">
        <f t="shared" si="8"/>
        <v>95000</v>
      </c>
      <c r="T12" s="446">
        <f t="shared" si="9"/>
        <v>336000</v>
      </c>
      <c r="U12" s="446">
        <f t="shared" si="10"/>
        <v>797223.58848000003</v>
      </c>
      <c r="V12" s="446">
        <f t="shared" si="11"/>
        <v>1357223.5884799999</v>
      </c>
      <c r="W12" s="453">
        <v>12</v>
      </c>
      <c r="X12" s="446">
        <f t="shared" si="12"/>
        <v>113101.965706667</v>
      </c>
      <c r="Y12" s="446"/>
      <c r="Z12" s="457">
        <f t="shared" si="13"/>
        <v>113101.965706667</v>
      </c>
      <c r="AA12" s="458">
        <v>74036.103146666705</v>
      </c>
      <c r="AB12" s="458">
        <f t="shared" si="15"/>
        <v>39065.862560000001</v>
      </c>
      <c r="AC12" s="458"/>
      <c r="AD12" s="458"/>
      <c r="AE12" s="458"/>
    </row>
    <row r="13" spans="1:31" s="594" customFormat="1" ht="18">
      <c r="A13" s="595">
        <v>10</v>
      </c>
      <c r="B13" s="596" t="s">
        <v>250</v>
      </c>
      <c r="C13" s="597">
        <f>842118.083333333+100000</f>
        <v>942118.08333333302</v>
      </c>
      <c r="D13" s="598">
        <v>12</v>
      </c>
      <c r="E13" s="599">
        <f t="shared" si="14"/>
        <v>11305417</v>
      </c>
      <c r="F13" s="599">
        <f>'[5]JANUARY 2024'!$V$14*12</f>
        <v>9305.9519999999993</v>
      </c>
      <c r="G13" s="599">
        <v>558833.36</v>
      </c>
      <c r="H13" s="599"/>
      <c r="I13" s="599">
        <f t="shared" si="0"/>
        <v>10737277.687999999</v>
      </c>
      <c r="J13" s="599">
        <v>200000</v>
      </c>
      <c r="K13" s="599">
        <v>0.2</v>
      </c>
      <c r="L13" s="599">
        <f t="shared" si="1"/>
        <v>2147455.5375999999</v>
      </c>
      <c r="M13" s="599">
        <f t="shared" si="2"/>
        <v>2347455.5375999999</v>
      </c>
      <c r="N13" s="599">
        <f t="shared" si="3"/>
        <v>2915594.8495999998</v>
      </c>
      <c r="O13" s="599">
        <f t="shared" si="4"/>
        <v>8389822.1503999997</v>
      </c>
      <c r="P13" s="599">
        <f t="shared" si="5"/>
        <v>21000</v>
      </c>
      <c r="Q13" s="599">
        <f t="shared" si="6"/>
        <v>33000</v>
      </c>
      <c r="R13" s="599">
        <f t="shared" si="7"/>
        <v>75000</v>
      </c>
      <c r="S13" s="599">
        <f t="shared" si="8"/>
        <v>95000</v>
      </c>
      <c r="T13" s="599">
        <f t="shared" si="9"/>
        <v>336000</v>
      </c>
      <c r="U13" s="599">
        <f t="shared" si="10"/>
        <v>1245557.3160959999</v>
      </c>
      <c r="V13" s="599">
        <f t="shared" si="11"/>
        <v>1805557.3160959999</v>
      </c>
      <c r="W13" s="602">
        <v>12</v>
      </c>
      <c r="X13" s="599">
        <f t="shared" si="12"/>
        <v>150463.10967466701</v>
      </c>
      <c r="Y13" s="599"/>
      <c r="Z13" s="599">
        <f t="shared" si="13"/>
        <v>150463.10967466701</v>
      </c>
      <c r="AA13" s="603">
        <v>94625.782058666693</v>
      </c>
      <c r="AB13" s="603">
        <f t="shared" si="15"/>
        <v>55837.327616000002</v>
      </c>
      <c r="AC13" s="603"/>
      <c r="AD13" s="603"/>
      <c r="AE13" s="603"/>
    </row>
    <row r="14" spans="1:31" ht="18">
      <c r="A14" s="443">
        <v>11</v>
      </c>
      <c r="B14" s="10" t="s">
        <v>252</v>
      </c>
      <c r="C14" s="444">
        <v>554373.75</v>
      </c>
      <c r="D14" s="445">
        <v>12</v>
      </c>
      <c r="E14" s="446">
        <f t="shared" si="14"/>
        <v>6652485</v>
      </c>
      <c r="F14" s="446"/>
      <c r="G14" s="446">
        <v>464998.8</v>
      </c>
      <c r="H14" s="446"/>
      <c r="I14" s="446">
        <f t="shared" si="0"/>
        <v>6187486.2000000002</v>
      </c>
      <c r="J14" s="446">
        <v>200000</v>
      </c>
      <c r="K14" s="446">
        <v>0.2</v>
      </c>
      <c r="L14" s="446">
        <f t="shared" si="1"/>
        <v>1237497.24</v>
      </c>
      <c r="M14" s="446">
        <f t="shared" si="2"/>
        <v>1437497.24</v>
      </c>
      <c r="N14" s="446">
        <f t="shared" si="3"/>
        <v>1902496.04</v>
      </c>
      <c r="O14" s="446">
        <f t="shared" si="4"/>
        <v>4749988.96</v>
      </c>
      <c r="P14" s="446">
        <f t="shared" si="5"/>
        <v>21000</v>
      </c>
      <c r="Q14" s="446">
        <f t="shared" si="6"/>
        <v>33000</v>
      </c>
      <c r="R14" s="446">
        <f t="shared" si="7"/>
        <v>75000</v>
      </c>
      <c r="S14" s="446">
        <f t="shared" si="8"/>
        <v>95000</v>
      </c>
      <c r="T14" s="446">
        <f t="shared" si="9"/>
        <v>336000</v>
      </c>
      <c r="U14" s="446">
        <f t="shared" si="10"/>
        <v>371997.3504</v>
      </c>
      <c r="V14" s="446">
        <f t="shared" si="11"/>
        <v>931997.3504</v>
      </c>
      <c r="W14" s="453">
        <v>12</v>
      </c>
      <c r="X14" s="446">
        <f t="shared" si="12"/>
        <v>77666.445866666705</v>
      </c>
      <c r="Y14" s="446"/>
      <c r="Z14" s="457">
        <f t="shared" si="13"/>
        <v>77666.445866666705</v>
      </c>
      <c r="AA14" s="458">
        <v>44846.6165886667</v>
      </c>
      <c r="AB14" s="458">
        <f t="shared" si="15"/>
        <v>32819.829277999997</v>
      </c>
      <c r="AC14" s="458"/>
      <c r="AD14" s="458"/>
      <c r="AE14" s="458"/>
    </row>
    <row r="15" spans="1:31" ht="18">
      <c r="A15" s="443">
        <v>12</v>
      </c>
      <c r="B15" s="13" t="s">
        <v>255</v>
      </c>
      <c r="C15" s="444">
        <f>660498</f>
        <v>660498</v>
      </c>
      <c r="D15" s="445">
        <v>12</v>
      </c>
      <c r="E15" s="446">
        <f t="shared" si="14"/>
        <v>7925976</v>
      </c>
      <c r="F15" s="446"/>
      <c r="G15" s="447">
        <v>451678.08</v>
      </c>
      <c r="H15" s="446"/>
      <c r="I15" s="446">
        <f t="shared" si="0"/>
        <v>7474297.9199999999</v>
      </c>
      <c r="J15" s="446">
        <v>200000</v>
      </c>
      <c r="K15" s="446">
        <v>0.2</v>
      </c>
      <c r="L15" s="446">
        <f t="shared" si="1"/>
        <v>1494859.584</v>
      </c>
      <c r="M15" s="446">
        <f t="shared" si="2"/>
        <v>1694859.584</v>
      </c>
      <c r="N15" s="446">
        <f t="shared" si="3"/>
        <v>2146537.6639999999</v>
      </c>
      <c r="O15" s="446">
        <f t="shared" si="4"/>
        <v>5779438.3360000001</v>
      </c>
      <c r="P15" s="446">
        <f t="shared" si="5"/>
        <v>21000</v>
      </c>
      <c r="Q15" s="446">
        <f t="shared" si="6"/>
        <v>33000</v>
      </c>
      <c r="R15" s="446">
        <f t="shared" si="7"/>
        <v>75000</v>
      </c>
      <c r="S15" s="446">
        <f t="shared" si="8"/>
        <v>95000</v>
      </c>
      <c r="T15" s="446">
        <f t="shared" si="9"/>
        <v>336000</v>
      </c>
      <c r="U15" s="446">
        <f t="shared" si="10"/>
        <v>619065.20064000005</v>
      </c>
      <c r="V15" s="446">
        <f t="shared" si="11"/>
        <v>1179065.2006399999</v>
      </c>
      <c r="W15" s="453">
        <v>12</v>
      </c>
      <c r="X15" s="446">
        <f t="shared" si="12"/>
        <v>98255.4333866667</v>
      </c>
      <c r="Y15" s="446"/>
      <c r="Z15" s="457">
        <f t="shared" si="13"/>
        <v>98255.4333866667</v>
      </c>
      <c r="AA15" s="458">
        <v>46666.666666666701</v>
      </c>
      <c r="AB15" s="458">
        <f t="shared" si="15"/>
        <v>51588.76672</v>
      </c>
      <c r="AC15" s="458"/>
      <c r="AD15" s="458"/>
      <c r="AE15" s="458"/>
    </row>
    <row r="16" spans="1:31" s="594" customFormat="1" ht="18">
      <c r="A16" s="595">
        <v>13</v>
      </c>
      <c r="B16" s="596" t="s">
        <v>258</v>
      </c>
      <c r="C16" s="597">
        <f>732746.5+100000</f>
        <v>832746.5</v>
      </c>
      <c r="D16" s="598">
        <v>12</v>
      </c>
      <c r="E16" s="599">
        <f t="shared" si="14"/>
        <v>9992958</v>
      </c>
      <c r="F16" s="599"/>
      <c r="G16" s="599">
        <v>425036.64</v>
      </c>
      <c r="H16" s="599"/>
      <c r="I16" s="599">
        <f t="shared" si="0"/>
        <v>9567921.3599999994</v>
      </c>
      <c r="J16" s="599">
        <v>200000</v>
      </c>
      <c r="K16" s="599">
        <v>0.2</v>
      </c>
      <c r="L16" s="599">
        <f t="shared" si="1"/>
        <v>1913584.2720000001</v>
      </c>
      <c r="M16" s="599">
        <f t="shared" si="2"/>
        <v>2113584.2719999999</v>
      </c>
      <c r="N16" s="599">
        <f t="shared" si="3"/>
        <v>2538620.912</v>
      </c>
      <c r="O16" s="599">
        <f t="shared" si="4"/>
        <v>7454337.0880000005</v>
      </c>
      <c r="P16" s="599">
        <f t="shared" si="5"/>
        <v>21000</v>
      </c>
      <c r="Q16" s="599">
        <f t="shared" si="6"/>
        <v>33000</v>
      </c>
      <c r="R16" s="599">
        <f t="shared" si="7"/>
        <v>75000</v>
      </c>
      <c r="S16" s="599">
        <f t="shared" si="8"/>
        <v>95000</v>
      </c>
      <c r="T16" s="599">
        <f t="shared" si="9"/>
        <v>336000</v>
      </c>
      <c r="U16" s="599">
        <f t="shared" si="10"/>
        <v>1021040.9011200001</v>
      </c>
      <c r="V16" s="599">
        <f t="shared" si="11"/>
        <v>1581040.9011200001</v>
      </c>
      <c r="W16" s="602">
        <v>12</v>
      </c>
      <c r="X16" s="599">
        <f t="shared" si="12"/>
        <v>131753.40842666701</v>
      </c>
      <c r="Y16" s="599"/>
      <c r="Z16" s="599">
        <f t="shared" si="13"/>
        <v>131753.40842666701</v>
      </c>
      <c r="AA16" s="603">
        <v>46666.666666666701</v>
      </c>
      <c r="AB16" s="603">
        <f t="shared" si="15"/>
        <v>85086.741760000004</v>
      </c>
      <c r="AC16" s="603"/>
      <c r="AD16" s="603"/>
      <c r="AE16" s="603"/>
    </row>
    <row r="17" spans="1:31" ht="18">
      <c r="A17" s="443">
        <v>14</v>
      </c>
      <c r="B17" s="10" t="s">
        <v>261</v>
      </c>
      <c r="C17" s="444">
        <v>511804.91666666698</v>
      </c>
      <c r="D17" s="445">
        <v>12</v>
      </c>
      <c r="E17" s="446">
        <f t="shared" si="14"/>
        <v>6141659</v>
      </c>
      <c r="F17" s="446"/>
      <c r="G17" s="446">
        <v>424132.72</v>
      </c>
      <c r="H17" s="446"/>
      <c r="I17" s="446">
        <f t="shared" si="0"/>
        <v>5717526.2800000003</v>
      </c>
      <c r="J17" s="446">
        <v>200000</v>
      </c>
      <c r="K17" s="446">
        <v>0.2</v>
      </c>
      <c r="L17" s="446">
        <f t="shared" si="1"/>
        <v>1143505.2560000001</v>
      </c>
      <c r="M17" s="446">
        <f t="shared" si="2"/>
        <v>1343505.2560000001</v>
      </c>
      <c r="N17" s="446">
        <f t="shared" si="3"/>
        <v>1767637.976</v>
      </c>
      <c r="O17" s="446">
        <f t="shared" si="4"/>
        <v>4374021.0240000002</v>
      </c>
      <c r="P17" s="446">
        <f t="shared" si="5"/>
        <v>21000</v>
      </c>
      <c r="Q17" s="446">
        <f t="shared" si="6"/>
        <v>33000</v>
      </c>
      <c r="R17" s="446">
        <f t="shared" si="7"/>
        <v>75000</v>
      </c>
      <c r="S17" s="446">
        <f t="shared" si="8"/>
        <v>95000</v>
      </c>
      <c r="T17" s="446">
        <f t="shared" si="9"/>
        <v>336000</v>
      </c>
      <c r="U17" s="446">
        <f t="shared" si="10"/>
        <v>281765.04576000001</v>
      </c>
      <c r="V17" s="446">
        <f t="shared" si="11"/>
        <v>841765.04576000001</v>
      </c>
      <c r="W17" s="453">
        <v>12</v>
      </c>
      <c r="X17" s="446">
        <f t="shared" si="12"/>
        <v>70147.087146666701</v>
      </c>
      <c r="Y17" s="446"/>
      <c r="Z17" s="457">
        <f t="shared" si="13"/>
        <v>70147.087146666701</v>
      </c>
      <c r="AA17" s="458">
        <v>42046.063686666697</v>
      </c>
      <c r="AB17" s="458">
        <f t="shared" si="15"/>
        <v>28101.02346</v>
      </c>
      <c r="AC17" s="458"/>
      <c r="AD17" s="458"/>
      <c r="AE17" s="458"/>
    </row>
    <row r="18" spans="1:31" ht="18">
      <c r="A18" s="443">
        <v>15</v>
      </c>
      <c r="B18" s="10" t="s">
        <v>264</v>
      </c>
      <c r="C18" s="444">
        <v>548915.91666666698</v>
      </c>
      <c r="D18" s="445">
        <v>12</v>
      </c>
      <c r="E18" s="446">
        <f t="shared" si="14"/>
        <v>6586991</v>
      </c>
      <c r="F18" s="446"/>
      <c r="G18" s="446">
        <v>411759.28</v>
      </c>
      <c r="H18" s="446"/>
      <c r="I18" s="446">
        <f t="shared" si="0"/>
        <v>6175231.7199999997</v>
      </c>
      <c r="J18" s="446">
        <v>200000</v>
      </c>
      <c r="K18" s="446">
        <v>0.2</v>
      </c>
      <c r="L18" s="446">
        <f t="shared" si="1"/>
        <v>1235046.344</v>
      </c>
      <c r="M18" s="446">
        <f t="shared" si="2"/>
        <v>1435046.344</v>
      </c>
      <c r="N18" s="446">
        <f t="shared" si="3"/>
        <v>1846805.6240000001</v>
      </c>
      <c r="O18" s="446">
        <f t="shared" si="4"/>
        <v>4740185.3760000002</v>
      </c>
      <c r="P18" s="446">
        <f t="shared" si="5"/>
        <v>21000</v>
      </c>
      <c r="Q18" s="446">
        <f t="shared" si="6"/>
        <v>33000</v>
      </c>
      <c r="R18" s="446">
        <f t="shared" si="7"/>
        <v>75000</v>
      </c>
      <c r="S18" s="446">
        <f t="shared" si="8"/>
        <v>95000</v>
      </c>
      <c r="T18" s="446">
        <f t="shared" si="9"/>
        <v>336000</v>
      </c>
      <c r="U18" s="446">
        <f t="shared" si="10"/>
        <v>369644.49024000001</v>
      </c>
      <c r="V18" s="446">
        <f t="shared" si="11"/>
        <v>929644.49023999996</v>
      </c>
      <c r="W18" s="453">
        <v>12</v>
      </c>
      <c r="X18" s="446">
        <f t="shared" si="12"/>
        <v>77470.374186666697</v>
      </c>
      <c r="Y18" s="446"/>
      <c r="Z18" s="457">
        <f t="shared" si="13"/>
        <v>77470.374186666697</v>
      </c>
      <c r="AA18" s="458">
        <v>46666.666666666701</v>
      </c>
      <c r="AB18" s="458">
        <f t="shared" si="15"/>
        <v>30803.70752</v>
      </c>
      <c r="AC18" s="458"/>
      <c r="AD18" s="458"/>
      <c r="AE18" s="458"/>
    </row>
    <row r="19" spans="1:31" s="594" customFormat="1" ht="18">
      <c r="A19" s="595">
        <v>16</v>
      </c>
      <c r="B19" s="601" t="s">
        <v>267</v>
      </c>
      <c r="C19" s="597">
        <f>636026.916666667+100000</f>
        <v>736026.91666666698</v>
      </c>
      <c r="D19" s="598">
        <v>12</v>
      </c>
      <c r="E19" s="599">
        <f t="shared" si="14"/>
        <v>8832323</v>
      </c>
      <c r="F19" s="599">
        <f>618.53*12</f>
        <v>7422.36</v>
      </c>
      <c r="G19" s="599">
        <v>399385.84</v>
      </c>
      <c r="H19" s="599"/>
      <c r="I19" s="599">
        <f t="shared" si="0"/>
        <v>8425514.8000000007</v>
      </c>
      <c r="J19" s="599">
        <v>200000</v>
      </c>
      <c r="K19" s="599">
        <v>0.2</v>
      </c>
      <c r="L19" s="599">
        <f t="shared" si="1"/>
        <v>1685102.96</v>
      </c>
      <c r="M19" s="599">
        <f t="shared" si="2"/>
        <v>1885102.96</v>
      </c>
      <c r="N19" s="599">
        <f t="shared" si="3"/>
        <v>2291911.16</v>
      </c>
      <c r="O19" s="599">
        <f t="shared" si="4"/>
        <v>6540411.8399999999</v>
      </c>
      <c r="P19" s="599">
        <f t="shared" si="5"/>
        <v>21000</v>
      </c>
      <c r="Q19" s="599">
        <f t="shared" si="6"/>
        <v>33000</v>
      </c>
      <c r="R19" s="599">
        <f t="shared" si="7"/>
        <v>75000</v>
      </c>
      <c r="S19" s="599">
        <f t="shared" si="8"/>
        <v>95000</v>
      </c>
      <c r="T19" s="599">
        <f t="shared" si="9"/>
        <v>336000</v>
      </c>
      <c r="U19" s="599">
        <f t="shared" si="10"/>
        <v>801698.84160000097</v>
      </c>
      <c r="V19" s="599">
        <f t="shared" si="11"/>
        <v>1361698.8415999999</v>
      </c>
      <c r="W19" s="602">
        <v>12</v>
      </c>
      <c r="X19" s="599">
        <f t="shared" si="12"/>
        <v>113474.903466667</v>
      </c>
      <c r="Y19" s="599"/>
      <c r="Z19" s="599">
        <f t="shared" si="13"/>
        <v>113474.903466667</v>
      </c>
      <c r="AA19" s="603">
        <v>46666.666666666701</v>
      </c>
      <c r="AB19" s="603">
        <f t="shared" si="15"/>
        <v>66808.236799999999</v>
      </c>
      <c r="AC19" s="603"/>
      <c r="AD19" s="603"/>
      <c r="AE19" s="603"/>
    </row>
    <row r="20" spans="1:31" ht="18">
      <c r="A20" s="443">
        <v>17</v>
      </c>
      <c r="B20" s="10" t="s">
        <v>270</v>
      </c>
      <c r="C20" s="444">
        <v>537895.16666666698</v>
      </c>
      <c r="D20" s="445">
        <v>12</v>
      </c>
      <c r="E20" s="446">
        <f t="shared" si="14"/>
        <v>6454742</v>
      </c>
      <c r="F20" s="446"/>
      <c r="G20" s="446">
        <v>362779.36</v>
      </c>
      <c r="H20" s="446"/>
      <c r="I20" s="446">
        <f t="shared" si="0"/>
        <v>6091962.6399999997</v>
      </c>
      <c r="J20" s="446">
        <v>200000</v>
      </c>
      <c r="K20" s="446">
        <v>0.2</v>
      </c>
      <c r="L20" s="446">
        <f t="shared" si="1"/>
        <v>1218392.5279999999</v>
      </c>
      <c r="M20" s="446">
        <f t="shared" si="2"/>
        <v>1418392.5279999999</v>
      </c>
      <c r="N20" s="446">
        <f t="shared" si="3"/>
        <v>1781171.888</v>
      </c>
      <c r="O20" s="446">
        <f t="shared" si="4"/>
        <v>4673570.1119999997</v>
      </c>
      <c r="P20" s="446">
        <f t="shared" si="5"/>
        <v>21000</v>
      </c>
      <c r="Q20" s="446">
        <f t="shared" si="6"/>
        <v>33000</v>
      </c>
      <c r="R20" s="446">
        <f t="shared" si="7"/>
        <v>75000</v>
      </c>
      <c r="S20" s="446">
        <f t="shared" si="8"/>
        <v>95000</v>
      </c>
      <c r="T20" s="446">
        <f t="shared" si="9"/>
        <v>336000</v>
      </c>
      <c r="U20" s="446">
        <f t="shared" si="10"/>
        <v>353656.82688000001</v>
      </c>
      <c r="V20" s="446">
        <f t="shared" si="11"/>
        <v>913656.82687999995</v>
      </c>
      <c r="W20" s="453">
        <v>12</v>
      </c>
      <c r="X20" s="446">
        <f t="shared" si="12"/>
        <v>76138.068906666696</v>
      </c>
      <c r="Y20" s="446"/>
      <c r="Z20" s="457">
        <f t="shared" si="13"/>
        <v>76138.068906666696</v>
      </c>
      <c r="AA20" s="458">
        <v>52497.770378666602</v>
      </c>
      <c r="AB20" s="458">
        <f t="shared" si="15"/>
        <v>23640.298527999999</v>
      </c>
      <c r="AC20" s="458"/>
      <c r="AD20" s="458"/>
      <c r="AE20" s="458"/>
    </row>
    <row r="21" spans="1:31" s="594" customFormat="1" ht="18">
      <c r="A21" s="595">
        <v>18</v>
      </c>
      <c r="B21" s="600" t="s">
        <v>272</v>
      </c>
      <c r="C21" s="597">
        <f>553512.5+100000</f>
        <v>653512.5</v>
      </c>
      <c r="D21" s="598">
        <v>12</v>
      </c>
      <c r="E21" s="599">
        <f t="shared" si="14"/>
        <v>7842150</v>
      </c>
      <c r="F21" s="599"/>
      <c r="G21" s="599">
        <v>339372</v>
      </c>
      <c r="H21" s="599"/>
      <c r="I21" s="599">
        <f t="shared" si="0"/>
        <v>7502778</v>
      </c>
      <c r="J21" s="599">
        <v>200000</v>
      </c>
      <c r="K21" s="599">
        <v>0.2</v>
      </c>
      <c r="L21" s="599">
        <f t="shared" si="1"/>
        <v>1500555.6</v>
      </c>
      <c r="M21" s="599">
        <f t="shared" si="2"/>
        <v>1700555.6</v>
      </c>
      <c r="N21" s="599">
        <f t="shared" si="3"/>
        <v>2039927.6</v>
      </c>
      <c r="O21" s="599">
        <f t="shared" si="4"/>
        <v>5802222.4000000004</v>
      </c>
      <c r="P21" s="599">
        <f t="shared" si="5"/>
        <v>21000</v>
      </c>
      <c r="Q21" s="599">
        <f t="shared" si="6"/>
        <v>33000</v>
      </c>
      <c r="R21" s="599">
        <f t="shared" si="7"/>
        <v>75000</v>
      </c>
      <c r="S21" s="599">
        <f t="shared" si="8"/>
        <v>95000</v>
      </c>
      <c r="T21" s="599">
        <f t="shared" si="9"/>
        <v>336000</v>
      </c>
      <c r="U21" s="599">
        <f t="shared" si="10"/>
        <v>624533.37600000005</v>
      </c>
      <c r="V21" s="599">
        <f t="shared" si="11"/>
        <v>1184533.3759999999</v>
      </c>
      <c r="W21" s="602">
        <v>12</v>
      </c>
      <c r="X21" s="599">
        <f t="shared" si="12"/>
        <v>98711.114666666705</v>
      </c>
      <c r="Y21" s="599"/>
      <c r="Z21" s="599">
        <f t="shared" si="13"/>
        <v>98711.114666666705</v>
      </c>
      <c r="AA21" s="603">
        <v>46666.666666666701</v>
      </c>
      <c r="AB21" s="603">
        <f t="shared" si="15"/>
        <v>52044.447999999997</v>
      </c>
      <c r="AC21" s="603"/>
      <c r="AD21" s="603"/>
      <c r="AE21" s="603"/>
    </row>
    <row r="22" spans="1:31" ht="18">
      <c r="A22" s="443">
        <v>19</v>
      </c>
      <c r="B22" s="10" t="s">
        <v>274</v>
      </c>
      <c r="C22" s="444">
        <v>463512.5</v>
      </c>
      <c r="D22" s="445">
        <v>12</v>
      </c>
      <c r="E22" s="446">
        <f t="shared" si="14"/>
        <v>5562150</v>
      </c>
      <c r="F22" s="446"/>
      <c r="G22" s="446">
        <v>339372</v>
      </c>
      <c r="H22" s="446"/>
      <c r="I22" s="446">
        <f t="shared" si="0"/>
        <v>5222778</v>
      </c>
      <c r="J22" s="446">
        <v>200000</v>
      </c>
      <c r="K22" s="446">
        <v>0.2</v>
      </c>
      <c r="L22" s="446">
        <f t="shared" si="1"/>
        <v>1044555.6</v>
      </c>
      <c r="M22" s="446">
        <f t="shared" si="2"/>
        <v>1244555.6000000001</v>
      </c>
      <c r="N22" s="446">
        <f t="shared" si="3"/>
        <v>1583927.6</v>
      </c>
      <c r="O22" s="446">
        <f t="shared" si="4"/>
        <v>3978222.4</v>
      </c>
      <c r="P22" s="446">
        <f t="shared" si="5"/>
        <v>21000</v>
      </c>
      <c r="Q22" s="446">
        <f t="shared" si="6"/>
        <v>33000</v>
      </c>
      <c r="R22" s="446">
        <f t="shared" si="7"/>
        <v>75000</v>
      </c>
      <c r="S22" s="446">
        <f t="shared" si="8"/>
        <v>95000</v>
      </c>
      <c r="T22" s="446">
        <f t="shared" si="9"/>
        <v>336000</v>
      </c>
      <c r="U22" s="446">
        <f t="shared" si="10"/>
        <v>186773.37599999999</v>
      </c>
      <c r="V22" s="446">
        <f t="shared" si="11"/>
        <v>746773.37600000005</v>
      </c>
      <c r="W22" s="453">
        <v>12</v>
      </c>
      <c r="X22" s="446">
        <f t="shared" si="12"/>
        <v>62231.114666666697</v>
      </c>
      <c r="Y22" s="446"/>
      <c r="Z22" s="457">
        <f t="shared" si="13"/>
        <v>62231.114666666697</v>
      </c>
      <c r="AA22" s="458">
        <v>46666.666666666701</v>
      </c>
      <c r="AB22" s="458">
        <f t="shared" si="15"/>
        <v>15564.448</v>
      </c>
      <c r="AC22" s="458"/>
      <c r="AD22" s="458"/>
      <c r="AE22" s="458"/>
    </row>
    <row r="23" spans="1:31" s="594" customFormat="1" ht="18">
      <c r="A23" s="595">
        <v>20</v>
      </c>
      <c r="B23" s="600" t="s">
        <v>276</v>
      </c>
      <c r="C23" s="597">
        <f>453029.666666667+100000</f>
        <v>553029.66666666698</v>
      </c>
      <c r="D23" s="598">
        <v>12</v>
      </c>
      <c r="E23" s="599">
        <f t="shared" si="14"/>
        <v>6636356</v>
      </c>
      <c r="F23" s="599"/>
      <c r="G23" s="599">
        <v>281308.48</v>
      </c>
      <c r="H23" s="599"/>
      <c r="I23" s="599">
        <f t="shared" si="0"/>
        <v>6355047.5199999996</v>
      </c>
      <c r="J23" s="599">
        <v>200000</v>
      </c>
      <c r="K23" s="599">
        <v>0.2</v>
      </c>
      <c r="L23" s="599">
        <f t="shared" si="1"/>
        <v>1271009.504</v>
      </c>
      <c r="M23" s="599">
        <f t="shared" si="2"/>
        <v>1471009.504</v>
      </c>
      <c r="N23" s="599">
        <f t="shared" si="3"/>
        <v>1752317.9839999999</v>
      </c>
      <c r="O23" s="599">
        <f t="shared" si="4"/>
        <v>4884038.0159999998</v>
      </c>
      <c r="P23" s="599">
        <f t="shared" si="5"/>
        <v>21000</v>
      </c>
      <c r="Q23" s="599">
        <f t="shared" si="6"/>
        <v>33000</v>
      </c>
      <c r="R23" s="599">
        <f t="shared" si="7"/>
        <v>75000</v>
      </c>
      <c r="S23" s="599">
        <f t="shared" si="8"/>
        <v>95000</v>
      </c>
      <c r="T23" s="599">
        <f t="shared" si="9"/>
        <v>336000</v>
      </c>
      <c r="U23" s="599">
        <f t="shared" si="10"/>
        <v>404169.123840001</v>
      </c>
      <c r="V23" s="599">
        <f t="shared" si="11"/>
        <v>964169.12384000095</v>
      </c>
      <c r="W23" s="602">
        <v>12</v>
      </c>
      <c r="X23" s="599">
        <f t="shared" si="12"/>
        <v>80347.426986666702</v>
      </c>
      <c r="Y23" s="599"/>
      <c r="Z23" s="599">
        <f t="shared" si="13"/>
        <v>80347.426986666702</v>
      </c>
      <c r="AA23" s="603">
        <v>42371.815728666697</v>
      </c>
      <c r="AB23" s="603">
        <f t="shared" si="15"/>
        <v>37975.611257999997</v>
      </c>
      <c r="AC23" s="603"/>
      <c r="AD23" s="603"/>
      <c r="AE23" s="603"/>
    </row>
    <row r="24" spans="1:31" ht="18">
      <c r="A24" s="443">
        <v>21</v>
      </c>
      <c r="B24" s="3" t="s">
        <v>278</v>
      </c>
      <c r="C24" s="444">
        <v>330481.66666666698</v>
      </c>
      <c r="D24" s="445">
        <v>12</v>
      </c>
      <c r="E24" s="446">
        <f t="shared" si="14"/>
        <v>3965780</v>
      </c>
      <c r="F24" s="446"/>
      <c r="G24" s="446">
        <v>259662.4</v>
      </c>
      <c r="H24" s="446"/>
      <c r="I24" s="446">
        <f t="shared" si="0"/>
        <v>3706117.6</v>
      </c>
      <c r="J24" s="446">
        <v>200000</v>
      </c>
      <c r="K24" s="446">
        <v>0.2</v>
      </c>
      <c r="L24" s="446">
        <f t="shared" si="1"/>
        <v>741223.52</v>
      </c>
      <c r="M24" s="446">
        <f t="shared" si="2"/>
        <v>941223.52</v>
      </c>
      <c r="N24" s="446">
        <f t="shared" si="3"/>
        <v>1200885.92</v>
      </c>
      <c r="O24" s="446">
        <f t="shared" si="4"/>
        <v>2764894.08</v>
      </c>
      <c r="P24" s="446">
        <f t="shared" si="5"/>
        <v>21000</v>
      </c>
      <c r="Q24" s="446">
        <f t="shared" si="6"/>
        <v>33000</v>
      </c>
      <c r="R24" s="446">
        <f t="shared" si="7"/>
        <v>75000</v>
      </c>
      <c r="S24" s="446">
        <f t="shared" si="8"/>
        <v>95000</v>
      </c>
      <c r="T24" s="446">
        <f t="shared" si="9"/>
        <v>244627.7568</v>
      </c>
      <c r="U24" s="446"/>
      <c r="V24" s="446">
        <f t="shared" si="11"/>
        <v>468627.75679999997</v>
      </c>
      <c r="W24" s="453">
        <v>12</v>
      </c>
      <c r="X24" s="446">
        <f t="shared" si="12"/>
        <v>39052.313066666698</v>
      </c>
      <c r="Y24" s="446"/>
      <c r="Z24" s="457">
        <f t="shared" si="13"/>
        <v>39052.313066666698</v>
      </c>
      <c r="AA24" s="458">
        <v>23036.012346666699</v>
      </c>
      <c r="AB24" s="458">
        <f t="shared" si="15"/>
        <v>16016.300719999999</v>
      </c>
      <c r="AC24" s="458"/>
      <c r="AD24" s="458"/>
      <c r="AE24" s="458"/>
    </row>
    <row r="25" spans="1:31" ht="18">
      <c r="A25" s="443">
        <v>22</v>
      </c>
      <c r="B25" s="17" t="s">
        <v>280</v>
      </c>
      <c r="C25" s="444">
        <v>330481.66666666698</v>
      </c>
      <c r="D25" s="445">
        <v>12</v>
      </c>
      <c r="E25" s="446">
        <f t="shared" si="14"/>
        <v>3965780</v>
      </c>
      <c r="F25" s="446"/>
      <c r="G25" s="446">
        <v>259662.4</v>
      </c>
      <c r="H25" s="446"/>
      <c r="I25" s="446">
        <f t="shared" si="0"/>
        <v>3706117.6</v>
      </c>
      <c r="J25" s="446">
        <v>200000</v>
      </c>
      <c r="K25" s="446">
        <v>0.2</v>
      </c>
      <c r="L25" s="446">
        <f t="shared" si="1"/>
        <v>741223.52</v>
      </c>
      <c r="M25" s="446">
        <f t="shared" si="2"/>
        <v>941223.52</v>
      </c>
      <c r="N25" s="446">
        <f t="shared" si="3"/>
        <v>1200885.92</v>
      </c>
      <c r="O25" s="446">
        <f t="shared" si="4"/>
        <v>2764894.08</v>
      </c>
      <c r="P25" s="446">
        <f t="shared" si="5"/>
        <v>21000</v>
      </c>
      <c r="Q25" s="446">
        <f t="shared" si="6"/>
        <v>33000</v>
      </c>
      <c r="R25" s="446">
        <f t="shared" si="7"/>
        <v>75000</v>
      </c>
      <c r="S25" s="446">
        <f t="shared" si="8"/>
        <v>95000</v>
      </c>
      <c r="T25" s="446">
        <f t="shared" si="9"/>
        <v>244627.7568</v>
      </c>
      <c r="U25" s="446"/>
      <c r="V25" s="446">
        <f t="shared" si="11"/>
        <v>468627.75679999997</v>
      </c>
      <c r="W25" s="453">
        <v>12</v>
      </c>
      <c r="X25" s="446">
        <f t="shared" si="12"/>
        <v>39052.313066666698</v>
      </c>
      <c r="Y25" s="446"/>
      <c r="Z25" s="457">
        <f t="shared" si="13"/>
        <v>39052.313066666698</v>
      </c>
      <c r="AA25" s="458">
        <v>23036.012346666699</v>
      </c>
      <c r="AB25" s="458">
        <f t="shared" si="15"/>
        <v>16016.300719999999</v>
      </c>
      <c r="AC25" s="458"/>
      <c r="AD25" s="458"/>
      <c r="AE25" s="458"/>
    </row>
    <row r="26" spans="1:31" ht="18">
      <c r="A26" s="443">
        <v>23</v>
      </c>
      <c r="B26" s="10" t="s">
        <v>281</v>
      </c>
      <c r="C26" s="444">
        <v>370481.66666666698</v>
      </c>
      <c r="D26" s="445">
        <v>12</v>
      </c>
      <c r="E26" s="446">
        <f t="shared" si="14"/>
        <v>4445780</v>
      </c>
      <c r="F26" s="446"/>
      <c r="G26" s="446">
        <v>259662.4</v>
      </c>
      <c r="H26" s="446"/>
      <c r="I26" s="446">
        <f t="shared" si="0"/>
        <v>4186117.6</v>
      </c>
      <c r="J26" s="446">
        <v>200000</v>
      </c>
      <c r="K26" s="446">
        <v>0.2</v>
      </c>
      <c r="L26" s="446">
        <f t="shared" si="1"/>
        <v>837223.52</v>
      </c>
      <c r="M26" s="446">
        <f t="shared" si="2"/>
        <v>1037223.52</v>
      </c>
      <c r="N26" s="446">
        <f t="shared" si="3"/>
        <v>1296885.92</v>
      </c>
      <c r="O26" s="446">
        <f t="shared" si="4"/>
        <v>3148894.08</v>
      </c>
      <c r="P26" s="446">
        <f t="shared" si="5"/>
        <v>21000</v>
      </c>
      <c r="Q26" s="446">
        <f t="shared" si="6"/>
        <v>33000</v>
      </c>
      <c r="R26" s="446">
        <f t="shared" si="7"/>
        <v>75000</v>
      </c>
      <c r="S26" s="446">
        <f t="shared" si="8"/>
        <v>95000</v>
      </c>
      <c r="T26" s="446">
        <f t="shared" si="9"/>
        <v>325267.75679999997</v>
      </c>
      <c r="U26" s="446"/>
      <c r="V26" s="446">
        <f t="shared" si="11"/>
        <v>549267.75679999997</v>
      </c>
      <c r="W26" s="453">
        <v>12</v>
      </c>
      <c r="X26" s="446">
        <f t="shared" si="12"/>
        <v>45772.313066666698</v>
      </c>
      <c r="Y26" s="446"/>
      <c r="Z26" s="457">
        <f t="shared" si="13"/>
        <v>45772.313066666698</v>
      </c>
      <c r="AA26" s="458">
        <v>29756.012346666699</v>
      </c>
      <c r="AB26" s="458">
        <f t="shared" si="15"/>
        <v>16016.300719999999</v>
      </c>
      <c r="AC26" s="458"/>
      <c r="AD26" s="458"/>
      <c r="AE26" s="458"/>
    </row>
    <row r="27" spans="1:31" ht="18">
      <c r="A27" s="443">
        <v>24</v>
      </c>
      <c r="B27" s="17" t="s">
        <v>282</v>
      </c>
      <c r="C27" s="444">
        <v>323165.33333333302</v>
      </c>
      <c r="D27" s="445">
        <v>12</v>
      </c>
      <c r="E27" s="446">
        <f t="shared" si="14"/>
        <v>3877984</v>
      </c>
      <c r="F27" s="446"/>
      <c r="G27" s="446">
        <v>252638.72</v>
      </c>
      <c r="H27" s="446"/>
      <c r="I27" s="446">
        <f t="shared" si="0"/>
        <v>3625345.28</v>
      </c>
      <c r="J27" s="446">
        <v>200000</v>
      </c>
      <c r="K27" s="446">
        <v>0.2</v>
      </c>
      <c r="L27" s="446">
        <f t="shared" ref="L27" si="16">I27*K27</f>
        <v>725069.05599999998</v>
      </c>
      <c r="M27" s="446">
        <f t="shared" ref="M27" si="17">J27+L27</f>
        <v>925069.05599999998</v>
      </c>
      <c r="N27" s="446">
        <f t="shared" si="3"/>
        <v>1177707.7760000001</v>
      </c>
      <c r="O27" s="446">
        <f t="shared" si="4"/>
        <v>2700276.2239999999</v>
      </c>
      <c r="P27" s="446">
        <f t="shared" ref="P27" si="18">IF(O27&lt;300000,0.07*O27,21000)</f>
        <v>21000</v>
      </c>
      <c r="Q27" s="446">
        <f t="shared" ref="Q27" si="19">IF((O27-300000)&lt;0,0,IF((O27-300000)&lt;300000,0.11*(O27-300000),33000))</f>
        <v>33000</v>
      </c>
      <c r="R27" s="446">
        <f t="shared" ref="R27" si="20">IF((O27-600000)&lt;0,0,IF((O27-600000)&lt;500000,0.15*(O27-600000),75000))</f>
        <v>75000</v>
      </c>
      <c r="S27" s="446">
        <f t="shared" ref="S27" si="21">IF((O27-1100000)&lt;0,0,IF((O27-1100000)&lt;500000,0.19*(O27-1100000),95000))</f>
        <v>95000</v>
      </c>
      <c r="T27" s="446">
        <f t="shared" ref="T27" si="22">IF((O27-1600000)&lt;0,0,IF((O27-1600000)&lt;1600000,0.21*(O27-1600000),336000))</f>
        <v>231058.00704</v>
      </c>
      <c r="U27" s="446"/>
      <c r="V27" s="446">
        <f t="shared" ref="V27" si="23">P27+Q27+R27+S27+T27+U27</f>
        <v>455058.00704</v>
      </c>
      <c r="W27" s="453">
        <v>12</v>
      </c>
      <c r="X27" s="446">
        <f t="shared" ref="X27" si="24">V27/W27</f>
        <v>37921.500586666698</v>
      </c>
      <c r="Y27" s="446"/>
      <c r="Z27" s="457">
        <f t="shared" ref="Z27" si="25">X27</f>
        <v>37921.500586666698</v>
      </c>
      <c r="AA27" s="458">
        <v>22338.4826046667</v>
      </c>
      <c r="AB27" s="458">
        <f t="shared" si="15"/>
        <v>15583.017981999999</v>
      </c>
      <c r="AC27" s="458"/>
      <c r="AD27" s="458"/>
      <c r="AE27" s="458"/>
    </row>
    <row r="28" spans="1:31" ht="18">
      <c r="A28" s="443">
        <v>25</v>
      </c>
      <c r="B28" s="17" t="s">
        <v>284</v>
      </c>
      <c r="C28" s="444">
        <v>315849</v>
      </c>
      <c r="D28" s="445">
        <v>12</v>
      </c>
      <c r="E28" s="446">
        <f t="shared" si="14"/>
        <v>3790188</v>
      </c>
      <c r="F28" s="446"/>
      <c r="G28" s="446">
        <v>245615.04</v>
      </c>
      <c r="H28" s="446"/>
      <c r="I28" s="446">
        <f t="shared" si="0"/>
        <v>3544572.96</v>
      </c>
      <c r="J28" s="446">
        <v>200000</v>
      </c>
      <c r="K28" s="446">
        <v>0.2</v>
      </c>
      <c r="L28" s="446">
        <f t="shared" si="1"/>
        <v>708914.59199999995</v>
      </c>
      <c r="M28" s="446">
        <f t="shared" si="2"/>
        <v>908914.59199999995</v>
      </c>
      <c r="N28" s="446">
        <f t="shared" si="3"/>
        <v>1154529.632</v>
      </c>
      <c r="O28" s="446">
        <f t="shared" si="4"/>
        <v>2635658.3679999998</v>
      </c>
      <c r="P28" s="446">
        <f t="shared" si="5"/>
        <v>21000</v>
      </c>
      <c r="Q28" s="446">
        <f t="shared" si="6"/>
        <v>33000</v>
      </c>
      <c r="R28" s="446">
        <f t="shared" si="7"/>
        <v>75000</v>
      </c>
      <c r="S28" s="446">
        <f t="shared" si="8"/>
        <v>95000</v>
      </c>
      <c r="T28" s="446">
        <f t="shared" si="9"/>
        <v>217488.25727999999</v>
      </c>
      <c r="U28" s="446"/>
      <c r="V28" s="446">
        <f t="shared" si="11"/>
        <v>441488.25728000002</v>
      </c>
      <c r="W28" s="453">
        <v>12</v>
      </c>
      <c r="X28" s="446">
        <f t="shared" si="12"/>
        <v>36790.688106666697</v>
      </c>
      <c r="Y28" s="446"/>
      <c r="Z28" s="457">
        <f t="shared" si="13"/>
        <v>36790.688106666697</v>
      </c>
      <c r="AA28" s="458">
        <v>21640.952862666702</v>
      </c>
      <c r="AB28" s="458">
        <f t="shared" si="15"/>
        <v>15149.735244</v>
      </c>
      <c r="AC28" s="458"/>
      <c r="AD28" s="458"/>
      <c r="AE28" s="458"/>
    </row>
    <row r="29" spans="1:31" ht="36">
      <c r="A29" s="443">
        <v>26</v>
      </c>
      <c r="B29" s="17" t="s">
        <v>286</v>
      </c>
      <c r="C29" s="444">
        <v>315849</v>
      </c>
      <c r="D29" s="445">
        <v>12</v>
      </c>
      <c r="E29" s="446">
        <f t="shared" si="14"/>
        <v>3790188</v>
      </c>
      <c r="F29" s="446"/>
      <c r="G29" s="446">
        <v>245615.04</v>
      </c>
      <c r="H29" s="446"/>
      <c r="I29" s="446">
        <f t="shared" si="0"/>
        <v>3544572.96</v>
      </c>
      <c r="J29" s="446">
        <v>200000</v>
      </c>
      <c r="K29" s="446">
        <v>0.2</v>
      </c>
      <c r="L29" s="446">
        <f t="shared" si="1"/>
        <v>708914.59199999995</v>
      </c>
      <c r="M29" s="446">
        <f t="shared" si="2"/>
        <v>908914.59199999995</v>
      </c>
      <c r="N29" s="446">
        <f t="shared" si="3"/>
        <v>1154529.632</v>
      </c>
      <c r="O29" s="446">
        <f t="shared" si="4"/>
        <v>2635658.3679999998</v>
      </c>
      <c r="P29" s="446">
        <f t="shared" si="5"/>
        <v>21000</v>
      </c>
      <c r="Q29" s="446">
        <f t="shared" si="6"/>
        <v>33000</v>
      </c>
      <c r="R29" s="446">
        <f t="shared" si="7"/>
        <v>75000</v>
      </c>
      <c r="S29" s="446">
        <f t="shared" si="8"/>
        <v>95000</v>
      </c>
      <c r="T29" s="446">
        <f t="shared" si="9"/>
        <v>217488.25727999999</v>
      </c>
      <c r="U29" s="446"/>
      <c r="V29" s="446">
        <f t="shared" si="11"/>
        <v>441488.25728000002</v>
      </c>
      <c r="W29" s="453">
        <v>12</v>
      </c>
      <c r="X29" s="446">
        <f t="shared" si="12"/>
        <v>36790.688106666697</v>
      </c>
      <c r="Y29" s="446"/>
      <c r="Z29" s="457">
        <f t="shared" si="13"/>
        <v>36790.688106666697</v>
      </c>
      <c r="AA29" s="458">
        <v>21640.952862666702</v>
      </c>
      <c r="AB29" s="458">
        <f t="shared" si="15"/>
        <v>15149.735244</v>
      </c>
      <c r="AC29" s="458"/>
      <c r="AD29" s="458"/>
      <c r="AE29" s="458"/>
    </row>
    <row r="30" spans="1:31" ht="18">
      <c r="A30" s="443">
        <v>27</v>
      </c>
      <c r="B30" s="17" t="s">
        <v>287</v>
      </c>
      <c r="C30" s="444">
        <v>330481.66666666698</v>
      </c>
      <c r="D30" s="445">
        <v>12</v>
      </c>
      <c r="E30" s="446">
        <f t="shared" si="14"/>
        <v>3965780</v>
      </c>
      <c r="F30" s="446"/>
      <c r="G30" s="446">
        <v>259662.4</v>
      </c>
      <c r="H30" s="446"/>
      <c r="I30" s="446">
        <f t="shared" si="0"/>
        <v>3706117.6</v>
      </c>
      <c r="J30" s="446">
        <v>200000</v>
      </c>
      <c r="K30" s="446">
        <v>0.2</v>
      </c>
      <c r="L30" s="446">
        <f t="shared" si="1"/>
        <v>741223.52</v>
      </c>
      <c r="M30" s="446">
        <f t="shared" si="2"/>
        <v>941223.52</v>
      </c>
      <c r="N30" s="446">
        <f t="shared" si="3"/>
        <v>1200885.92</v>
      </c>
      <c r="O30" s="446">
        <f t="shared" si="4"/>
        <v>2764894.08</v>
      </c>
      <c r="P30" s="446">
        <f t="shared" si="5"/>
        <v>21000</v>
      </c>
      <c r="Q30" s="446">
        <f t="shared" si="6"/>
        <v>33000</v>
      </c>
      <c r="R30" s="446">
        <f t="shared" si="7"/>
        <v>75000</v>
      </c>
      <c r="S30" s="446">
        <f t="shared" si="8"/>
        <v>95000</v>
      </c>
      <c r="T30" s="446">
        <f t="shared" si="9"/>
        <v>244627.7568</v>
      </c>
      <c r="U30" s="446"/>
      <c r="V30" s="446">
        <f t="shared" si="11"/>
        <v>468627.75679999997</v>
      </c>
      <c r="W30" s="453">
        <v>12</v>
      </c>
      <c r="X30" s="446">
        <f t="shared" si="12"/>
        <v>39052.313066666698</v>
      </c>
      <c r="Y30" s="446"/>
      <c r="Z30" s="457">
        <f t="shared" si="13"/>
        <v>39052.313066666698</v>
      </c>
      <c r="AA30" s="458">
        <v>22338.4826046667</v>
      </c>
      <c r="AB30" s="458">
        <f t="shared" si="15"/>
        <v>16713.830462000002</v>
      </c>
      <c r="AC30" s="458"/>
      <c r="AD30" s="458"/>
      <c r="AE30" s="458"/>
    </row>
    <row r="31" spans="1:31" ht="18">
      <c r="A31" s="443">
        <v>28</v>
      </c>
      <c r="B31" s="17" t="s">
        <v>289</v>
      </c>
      <c r="C31" s="444">
        <v>280631.91666666698</v>
      </c>
      <c r="D31" s="445">
        <v>12</v>
      </c>
      <c r="E31" s="446">
        <f t="shared" si="14"/>
        <v>3367583</v>
      </c>
      <c r="F31" s="446"/>
      <c r="G31" s="447">
        <v>221406.64</v>
      </c>
      <c r="H31" s="446"/>
      <c r="I31" s="446">
        <f t="shared" si="0"/>
        <v>3146176.36</v>
      </c>
      <c r="J31" s="446">
        <v>200000</v>
      </c>
      <c r="K31" s="446">
        <v>0.2</v>
      </c>
      <c r="L31" s="446">
        <f t="shared" si="1"/>
        <v>629235.272</v>
      </c>
      <c r="M31" s="446">
        <f t="shared" si="2"/>
        <v>829235.272</v>
      </c>
      <c r="N31" s="446">
        <f t="shared" si="3"/>
        <v>1050641.912</v>
      </c>
      <c r="O31" s="446">
        <f t="shared" si="4"/>
        <v>2316941.088</v>
      </c>
      <c r="P31" s="446">
        <f t="shared" si="5"/>
        <v>21000</v>
      </c>
      <c r="Q31" s="446">
        <f t="shared" si="6"/>
        <v>33000</v>
      </c>
      <c r="R31" s="446">
        <f t="shared" si="7"/>
        <v>75000</v>
      </c>
      <c r="S31" s="446">
        <f t="shared" si="8"/>
        <v>95000</v>
      </c>
      <c r="T31" s="446">
        <f t="shared" si="9"/>
        <v>150557.62848000001</v>
      </c>
      <c r="U31" s="446"/>
      <c r="V31" s="446">
        <f t="shared" si="11"/>
        <v>374557.62848000001</v>
      </c>
      <c r="W31" s="453">
        <v>12</v>
      </c>
      <c r="X31" s="446">
        <f t="shared" si="12"/>
        <v>31213.135706666701</v>
      </c>
      <c r="Y31" s="446"/>
      <c r="Z31" s="457">
        <f t="shared" si="13"/>
        <v>31213.135706666701</v>
      </c>
      <c r="AA31" s="458">
        <v>17572.885002666699</v>
      </c>
      <c r="AB31" s="458">
        <f t="shared" si="15"/>
        <v>13640.250704</v>
      </c>
      <c r="AC31" s="458"/>
      <c r="AD31" s="458"/>
      <c r="AE31" s="458"/>
    </row>
    <row r="32" spans="1:31" ht="18">
      <c r="A32" s="443">
        <v>29</v>
      </c>
      <c r="B32" s="17" t="s">
        <v>292</v>
      </c>
      <c r="C32" s="444">
        <v>274459.75</v>
      </c>
      <c r="D32" s="445">
        <v>12</v>
      </c>
      <c r="E32" s="446">
        <f t="shared" si="14"/>
        <v>3293517</v>
      </c>
      <c r="F32" s="446"/>
      <c r="G32" s="447">
        <f>17956.78*12</f>
        <v>215481.36</v>
      </c>
      <c r="H32" s="446"/>
      <c r="I32" s="446">
        <f t="shared" si="0"/>
        <v>3078035.64</v>
      </c>
      <c r="J32" s="446">
        <v>200000</v>
      </c>
      <c r="K32" s="446">
        <v>0.2</v>
      </c>
      <c r="L32" s="446">
        <f t="shared" si="1"/>
        <v>615607.12800000003</v>
      </c>
      <c r="M32" s="446">
        <f t="shared" si="2"/>
        <v>815607.12800000003</v>
      </c>
      <c r="N32" s="446">
        <f t="shared" si="3"/>
        <v>1031088.488</v>
      </c>
      <c r="O32" s="446">
        <f t="shared" si="4"/>
        <v>2262428.5120000001</v>
      </c>
      <c r="P32" s="446">
        <f t="shared" si="5"/>
        <v>21000</v>
      </c>
      <c r="Q32" s="446">
        <f t="shared" si="6"/>
        <v>33000</v>
      </c>
      <c r="R32" s="446">
        <f t="shared" si="7"/>
        <v>75000</v>
      </c>
      <c r="S32" s="446">
        <f t="shared" si="8"/>
        <v>95000</v>
      </c>
      <c r="T32" s="446">
        <f t="shared" si="9"/>
        <v>139109.98752</v>
      </c>
      <c r="U32" s="446"/>
      <c r="V32" s="446">
        <f t="shared" si="11"/>
        <v>363109.98752000002</v>
      </c>
      <c r="W32" s="453">
        <v>12</v>
      </c>
      <c r="X32" s="446">
        <f t="shared" si="12"/>
        <v>30259.165626666701</v>
      </c>
      <c r="Y32" s="446"/>
      <c r="Z32" s="457">
        <f t="shared" si="13"/>
        <v>30259.165626666701</v>
      </c>
      <c r="AA32" s="458">
        <v>16512.682190666699</v>
      </c>
      <c r="AB32" s="458">
        <f t="shared" si="15"/>
        <v>13746.483436</v>
      </c>
      <c r="AC32" s="458"/>
      <c r="AD32" s="458"/>
      <c r="AE32" s="458"/>
    </row>
    <row r="33" spans="1:31" ht="17.5">
      <c r="A33" s="443">
        <v>31</v>
      </c>
      <c r="B33" s="21"/>
      <c r="C33" s="448"/>
      <c r="D33" s="445"/>
      <c r="E33" s="446"/>
      <c r="F33" s="449"/>
      <c r="G33" s="449"/>
      <c r="H33" s="449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53"/>
      <c r="X33" s="446"/>
      <c r="Y33" s="449"/>
      <c r="Z33" s="457"/>
      <c r="AA33" s="458"/>
      <c r="AB33" s="458"/>
      <c r="AC33" s="458"/>
      <c r="AD33" s="458"/>
      <c r="AE33" s="458"/>
    </row>
    <row r="34" spans="1:31" ht="17.5">
      <c r="A34" s="443">
        <v>32</v>
      </c>
      <c r="B34" s="19" t="s">
        <v>35</v>
      </c>
      <c r="C34" s="446"/>
      <c r="D34" s="445"/>
      <c r="E34" s="446"/>
      <c r="F34" s="449"/>
      <c r="G34" s="449"/>
      <c r="H34" s="449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53"/>
      <c r="X34" s="446"/>
      <c r="Y34" s="449"/>
      <c r="Z34" s="457"/>
      <c r="AA34" s="458"/>
      <c r="AB34" s="458"/>
      <c r="AC34" s="458"/>
      <c r="AD34" s="458"/>
      <c r="AE34" s="458"/>
    </row>
    <row r="35" spans="1:31" ht="18">
      <c r="A35" s="443"/>
      <c r="B35" s="17" t="s">
        <v>295</v>
      </c>
      <c r="C35" s="450">
        <v>1535720</v>
      </c>
      <c r="D35" s="446">
        <v>12</v>
      </c>
      <c r="E35" s="446">
        <f>C35*D35</f>
        <v>18428640</v>
      </c>
      <c r="F35" s="446"/>
      <c r="G35" s="447">
        <v>1378291.2</v>
      </c>
      <c r="H35" s="446"/>
      <c r="I35" s="446">
        <f>E35-F35-G35-H35</f>
        <v>17050348.800000001</v>
      </c>
      <c r="J35" s="446">
        <v>200000</v>
      </c>
      <c r="K35" s="446">
        <v>0.2</v>
      </c>
      <c r="L35" s="446">
        <f>I35*K35</f>
        <v>3410069.76</v>
      </c>
      <c r="M35" s="446">
        <f>J35+L35</f>
        <v>3610069.76</v>
      </c>
      <c r="N35" s="446">
        <f>F35+G35+H35+M35</f>
        <v>4988360.96</v>
      </c>
      <c r="O35" s="446">
        <f>E35-N35</f>
        <v>13440279.039999999</v>
      </c>
      <c r="P35" s="446">
        <f t="shared" si="5"/>
        <v>21000</v>
      </c>
      <c r="Q35" s="446">
        <f t="shared" ref="Q35:Q37" si="26">IF((O35-300000)&lt;0,0,IF((O35-300000)&lt;300000,0.11*(O35-300000),33000))</f>
        <v>33000</v>
      </c>
      <c r="R35" s="446">
        <f t="shared" ref="R35:R37" si="27">IF((O35-600000)&lt;0,0,IF((O35-600000)&lt;500000,0.15*(O35-600000),75000))</f>
        <v>75000</v>
      </c>
      <c r="S35" s="446">
        <f t="shared" ref="S35:S37" si="28">IF((O35-1100000)&lt;0,0,IF((O35-1100000)&lt;500000,0.19*(O35-1100000),95000))</f>
        <v>95000</v>
      </c>
      <c r="T35" s="446">
        <f t="shared" ref="T35:T37" si="29">IF((O35-1600000)&lt;0,0,IF((O35-1600000)&lt;1600000,0.21*(O35-1600000),336000))</f>
        <v>336000</v>
      </c>
      <c r="U35" s="446">
        <f t="shared" si="10"/>
        <v>2457666.9696</v>
      </c>
      <c r="V35" s="446">
        <f>P35+Q35+R35+S35+T35+U35</f>
        <v>3017666.9696</v>
      </c>
      <c r="W35" s="446">
        <v>12</v>
      </c>
      <c r="X35" s="446">
        <f>V35/W35</f>
        <v>251472.247466667</v>
      </c>
      <c r="Y35" s="446"/>
      <c r="Z35" s="457">
        <f>X35</f>
        <v>251472.247466667</v>
      </c>
      <c r="AA35" s="446">
        <v>161106.806858667</v>
      </c>
      <c r="AB35" s="446">
        <f>Z35-AA35</f>
        <v>90365.440607999903</v>
      </c>
      <c r="AC35" s="458"/>
      <c r="AD35" s="458"/>
      <c r="AE35" s="458"/>
    </row>
    <row r="36" spans="1:31" ht="18">
      <c r="A36" s="443"/>
      <c r="B36" s="17" t="s">
        <v>298</v>
      </c>
      <c r="C36" s="446">
        <v>353029.66666666698</v>
      </c>
      <c r="D36" s="445">
        <v>12</v>
      </c>
      <c r="E36" s="446">
        <f>C36*D36</f>
        <v>4236356</v>
      </c>
      <c r="F36" s="446"/>
      <c r="G36" s="447">
        <v>281308.48</v>
      </c>
      <c r="H36" s="446"/>
      <c r="I36" s="446">
        <f>E36-F36-G36-H36</f>
        <v>3955047.52</v>
      </c>
      <c r="J36" s="446">
        <v>200000</v>
      </c>
      <c r="K36" s="446">
        <v>0.2</v>
      </c>
      <c r="L36" s="446">
        <f>I36*K36</f>
        <v>791009.50399999996</v>
      </c>
      <c r="M36" s="446">
        <f>J36+L36</f>
        <v>991009.50399999996</v>
      </c>
      <c r="N36" s="446">
        <f>F36+G36+H36+M36</f>
        <v>1272317.9839999999</v>
      </c>
      <c r="O36" s="446">
        <f>E36-N36</f>
        <v>2964038.0159999998</v>
      </c>
      <c r="P36" s="446">
        <f t="shared" si="5"/>
        <v>21000</v>
      </c>
      <c r="Q36" s="446">
        <f t="shared" si="26"/>
        <v>33000</v>
      </c>
      <c r="R36" s="446">
        <f t="shared" si="27"/>
        <v>75000</v>
      </c>
      <c r="S36" s="446">
        <f t="shared" si="28"/>
        <v>95000</v>
      </c>
      <c r="T36" s="446">
        <f t="shared" si="29"/>
        <v>286447.98336000001</v>
      </c>
      <c r="U36" s="446"/>
      <c r="V36" s="446">
        <f>P36+Q36+R36+S36+T36+U36</f>
        <v>510447.98336000001</v>
      </c>
      <c r="W36" s="446">
        <v>12</v>
      </c>
      <c r="X36" s="446">
        <f>V36/W36</f>
        <v>42537.331946666702</v>
      </c>
      <c r="Y36" s="446"/>
      <c r="Z36" s="457">
        <f>X36</f>
        <v>42537.331946666702</v>
      </c>
      <c r="AA36" s="458">
        <v>17042.713866666702</v>
      </c>
      <c r="AB36" s="446">
        <f t="shared" ref="AB36:AB37" si="30">Z36-AA36</f>
        <v>25494.61808</v>
      </c>
      <c r="AC36" s="458"/>
      <c r="AD36" s="458"/>
      <c r="AE36" s="458"/>
    </row>
    <row r="37" spans="1:31" ht="18">
      <c r="A37" s="443">
        <v>33</v>
      </c>
      <c r="B37" s="10" t="s">
        <v>300</v>
      </c>
      <c r="C37" s="444">
        <v>360965.58333333302</v>
      </c>
      <c r="D37" s="445">
        <v>12</v>
      </c>
      <c r="E37" s="446">
        <f>C37*D37</f>
        <v>4331587</v>
      </c>
      <c r="F37" s="446"/>
      <c r="G37" s="447">
        <v>288926.96000000002</v>
      </c>
      <c r="H37" s="446"/>
      <c r="I37" s="446">
        <f>E37-F37-G37-H37</f>
        <v>4042660.04</v>
      </c>
      <c r="J37" s="446">
        <v>200000</v>
      </c>
      <c r="K37" s="446">
        <v>0.2</v>
      </c>
      <c r="L37" s="446">
        <f>I37*K37</f>
        <v>808532.00800000003</v>
      </c>
      <c r="M37" s="446">
        <f>J37+L37</f>
        <v>1008532.008</v>
      </c>
      <c r="N37" s="446">
        <f>F37+G37+H37+M37</f>
        <v>1297458.9680000001</v>
      </c>
      <c r="O37" s="446">
        <f>E37-N37</f>
        <v>3034128.0320000001</v>
      </c>
      <c r="P37" s="446">
        <f t="shared" si="5"/>
        <v>21000</v>
      </c>
      <c r="Q37" s="446">
        <f t="shared" si="26"/>
        <v>33000</v>
      </c>
      <c r="R37" s="446">
        <f t="shared" si="27"/>
        <v>75000</v>
      </c>
      <c r="S37" s="446">
        <f t="shared" si="28"/>
        <v>95000</v>
      </c>
      <c r="T37" s="446">
        <f t="shared" si="29"/>
        <v>301166.88672000001</v>
      </c>
      <c r="U37" s="446"/>
      <c r="V37" s="446">
        <f>P37+Q37+R37+S37+T37+U37</f>
        <v>525166.88671999995</v>
      </c>
      <c r="W37" s="446">
        <v>12</v>
      </c>
      <c r="X37" s="446">
        <f>V37/W37</f>
        <v>43763.907226666699</v>
      </c>
      <c r="Y37" s="446"/>
      <c r="Z37" s="457">
        <f>X37</f>
        <v>43763.907226666699</v>
      </c>
      <c r="AA37" s="458">
        <v>26339.0784066667</v>
      </c>
      <c r="AB37" s="446">
        <f t="shared" si="30"/>
        <v>17424.828819999999</v>
      </c>
      <c r="AC37" s="458"/>
      <c r="AD37" s="458"/>
      <c r="AE37" s="458"/>
    </row>
    <row r="38" spans="1:31" ht="18">
      <c r="A38" s="443"/>
      <c r="B38" s="13"/>
      <c r="C38" s="448"/>
      <c r="D38" s="445"/>
      <c r="E38" s="446"/>
      <c r="F38" s="449"/>
      <c r="G38" s="449">
        <v>0</v>
      </c>
      <c r="H38" s="449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53"/>
      <c r="X38" s="446"/>
      <c r="Y38" s="449"/>
      <c r="Z38" s="457"/>
      <c r="AA38" s="458"/>
      <c r="AB38" s="458"/>
      <c r="AC38" s="458"/>
      <c r="AD38" s="458"/>
      <c r="AE38" s="458"/>
    </row>
    <row r="39" spans="1:31" ht="17.5">
      <c r="A39" s="443"/>
      <c r="B39" s="22" t="s">
        <v>39</v>
      </c>
      <c r="C39" s="446"/>
      <c r="D39" s="445"/>
      <c r="E39" s="446"/>
      <c r="F39" s="449"/>
      <c r="G39" s="449">
        <v>0</v>
      </c>
      <c r="H39" s="449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53"/>
      <c r="X39" s="446"/>
      <c r="Y39" s="449"/>
      <c r="Z39" s="457"/>
      <c r="AA39" s="458"/>
      <c r="AB39" s="458"/>
      <c r="AC39" s="458"/>
      <c r="AD39" s="458"/>
      <c r="AE39" s="458"/>
    </row>
    <row r="40" spans="1:31" ht="36">
      <c r="A40" s="443">
        <v>35</v>
      </c>
      <c r="B40" s="10" t="s">
        <v>302</v>
      </c>
      <c r="C40" s="444">
        <v>1635720</v>
      </c>
      <c r="D40" s="445">
        <v>12</v>
      </c>
      <c r="E40" s="446">
        <f>C40*D40</f>
        <v>19628640</v>
      </c>
      <c r="F40" s="446"/>
      <c r="G40" s="447">
        <v>1378291.2</v>
      </c>
      <c r="H40" s="446"/>
      <c r="I40" s="446">
        <f t="shared" ref="I40:I50" si="31">E40-F40-G40-H40</f>
        <v>18250348.800000001</v>
      </c>
      <c r="J40" s="446">
        <v>200000</v>
      </c>
      <c r="K40" s="446">
        <v>0.2</v>
      </c>
      <c r="L40" s="446">
        <f>I40*K40</f>
        <v>3650069.76</v>
      </c>
      <c r="M40" s="446">
        <f>J40+L40</f>
        <v>3850069.76</v>
      </c>
      <c r="N40" s="446">
        <f t="shared" ref="N40:N50" si="32">F40+G40+H40+M40</f>
        <v>5228360.96</v>
      </c>
      <c r="O40" s="446">
        <f t="shared" ref="O40:O50" si="33">E40-N40</f>
        <v>14400279.039999999</v>
      </c>
      <c r="P40" s="446">
        <f>IF(O40&lt;300000,0.07*O40,21000)</f>
        <v>21000</v>
      </c>
      <c r="Q40" s="446">
        <f>IF((O40-300000)&lt;0,0,IF((O40-300000)&lt;300000,0.11*(O40-300000),33000))</f>
        <v>33000</v>
      </c>
      <c r="R40" s="446">
        <f>IF((O40-600000)&lt;0,0,IF((O40-600000)&lt;500000,0.15*(O40-600000),75000))</f>
        <v>75000</v>
      </c>
      <c r="S40" s="446">
        <f>IF((O40-1100000)&lt;0,0,IF((O40-1100000)&lt;500000,0.19*(O40-1100000),95000))</f>
        <v>95000</v>
      </c>
      <c r="T40" s="446">
        <f>IF((O40-1600000)&lt;0,0,IF((O40-1600000)&lt;1600000,0.21*(O40-1600000),336000))</f>
        <v>336000</v>
      </c>
      <c r="U40" s="446">
        <f>0.24*(O40-3200000)</f>
        <v>2688066.9696</v>
      </c>
      <c r="V40" s="446">
        <f>P40+Q40+R40+S40+T40+U40</f>
        <v>3248066.9696</v>
      </c>
      <c r="W40" s="453">
        <v>12</v>
      </c>
      <c r="X40" s="446">
        <f>V40/W40</f>
        <v>270672.24746666697</v>
      </c>
      <c r="Y40" s="446"/>
      <c r="Z40" s="457">
        <f>X40</f>
        <v>270672.24746666697</v>
      </c>
      <c r="AA40" s="458">
        <v>180306.806858667</v>
      </c>
      <c r="AB40" s="458">
        <f>Z40-AA40</f>
        <v>90365.440607999903</v>
      </c>
      <c r="AC40" s="458"/>
      <c r="AD40" s="458"/>
      <c r="AE40" s="458"/>
    </row>
    <row r="41" spans="1:31" ht="18">
      <c r="A41" s="443">
        <v>36</v>
      </c>
      <c r="B41" s="10" t="s">
        <v>304</v>
      </c>
      <c r="C41" s="446">
        <v>780675.58333333302</v>
      </c>
      <c r="D41" s="445">
        <v>12</v>
      </c>
      <c r="E41" s="446">
        <f t="shared" ref="E41:E50" si="34">C41*D41</f>
        <v>9368107</v>
      </c>
      <c r="F41" s="449"/>
      <c r="G41" s="447">
        <v>595848.56000000006</v>
      </c>
      <c r="H41" s="449"/>
      <c r="I41" s="446">
        <f t="shared" si="31"/>
        <v>8772258.4399999995</v>
      </c>
      <c r="J41" s="446">
        <v>200000</v>
      </c>
      <c r="K41" s="446">
        <v>0.2</v>
      </c>
      <c r="L41" s="446">
        <f t="shared" si="1"/>
        <v>1754451.6880000001</v>
      </c>
      <c r="M41" s="446">
        <f t="shared" si="2"/>
        <v>1954451.6880000001</v>
      </c>
      <c r="N41" s="446">
        <f t="shared" si="32"/>
        <v>2550300.2480000001</v>
      </c>
      <c r="O41" s="446">
        <f t="shared" si="33"/>
        <v>6817806.7520000003</v>
      </c>
      <c r="P41" s="446">
        <f t="shared" si="5"/>
        <v>21000</v>
      </c>
      <c r="Q41" s="446">
        <f t="shared" si="6"/>
        <v>33000</v>
      </c>
      <c r="R41" s="446">
        <f t="shared" si="7"/>
        <v>75000</v>
      </c>
      <c r="S41" s="446">
        <f t="shared" si="8"/>
        <v>95000</v>
      </c>
      <c r="T41" s="446">
        <f t="shared" si="9"/>
        <v>336000</v>
      </c>
      <c r="U41" s="446">
        <f t="shared" si="10"/>
        <v>868273.62048000004</v>
      </c>
      <c r="V41" s="446">
        <f t="shared" si="11"/>
        <v>1428273.62048</v>
      </c>
      <c r="W41" s="453">
        <v>12</v>
      </c>
      <c r="X41" s="446">
        <f t="shared" si="12"/>
        <v>119022.801706667</v>
      </c>
      <c r="Y41" s="449"/>
      <c r="Z41" s="457">
        <f t="shared" si="13"/>
        <v>119022.801706667</v>
      </c>
      <c r="AA41" s="458">
        <v>79956.9391466667</v>
      </c>
      <c r="AB41" s="458">
        <f t="shared" ref="AB41:AB50" si="35">Z41-AA41</f>
        <v>39065.862560000001</v>
      </c>
      <c r="AC41" s="458"/>
      <c r="AD41" s="458"/>
      <c r="AE41" s="458"/>
    </row>
    <row r="42" spans="1:31" ht="18">
      <c r="A42" s="443">
        <v>37</v>
      </c>
      <c r="B42" s="10" t="s">
        <v>306</v>
      </c>
      <c r="C42" s="446">
        <v>919203.58333333302</v>
      </c>
      <c r="D42" s="445">
        <v>12</v>
      </c>
      <c r="E42" s="446">
        <f t="shared" si="34"/>
        <v>11030443</v>
      </c>
      <c r="F42" s="449"/>
      <c r="G42" s="447">
        <v>709635.44</v>
      </c>
      <c r="H42" s="449"/>
      <c r="I42" s="446">
        <f t="shared" si="31"/>
        <v>10320807.560000001</v>
      </c>
      <c r="J42" s="446">
        <v>200000</v>
      </c>
      <c r="K42" s="446">
        <v>0.2</v>
      </c>
      <c r="L42" s="446">
        <f t="shared" si="1"/>
        <v>2064161.5120000001</v>
      </c>
      <c r="M42" s="446">
        <f t="shared" si="2"/>
        <v>2264161.5120000001</v>
      </c>
      <c r="N42" s="446">
        <f t="shared" si="32"/>
        <v>2973796.952</v>
      </c>
      <c r="O42" s="446">
        <f t="shared" si="33"/>
        <v>8056646.0480000004</v>
      </c>
      <c r="P42" s="446">
        <f t="shared" si="5"/>
        <v>21000</v>
      </c>
      <c r="Q42" s="446">
        <f t="shared" si="6"/>
        <v>33000</v>
      </c>
      <c r="R42" s="446">
        <f t="shared" si="7"/>
        <v>75000</v>
      </c>
      <c r="S42" s="446">
        <f t="shared" si="8"/>
        <v>95000</v>
      </c>
      <c r="T42" s="446">
        <f t="shared" si="9"/>
        <v>336000</v>
      </c>
      <c r="U42" s="446">
        <f t="shared" si="10"/>
        <v>1165595.05152</v>
      </c>
      <c r="V42" s="446">
        <f t="shared" si="11"/>
        <v>1725595.05152</v>
      </c>
      <c r="W42" s="453">
        <v>12</v>
      </c>
      <c r="X42" s="446">
        <f t="shared" si="12"/>
        <v>143799.58762666699</v>
      </c>
      <c r="Y42" s="449"/>
      <c r="Z42" s="457">
        <f t="shared" si="13"/>
        <v>143799.58762666699</v>
      </c>
      <c r="AA42" s="458">
        <v>97273.513850666699</v>
      </c>
      <c r="AB42" s="458">
        <f t="shared" si="35"/>
        <v>46526.073775999997</v>
      </c>
      <c r="AC42" s="458"/>
      <c r="AD42" s="458"/>
      <c r="AE42" s="458"/>
    </row>
    <row r="43" spans="1:31" ht="18">
      <c r="A43" s="443">
        <v>38</v>
      </c>
      <c r="B43" s="10" t="s">
        <v>309</v>
      </c>
      <c r="C43" s="446">
        <v>780675.58333333302</v>
      </c>
      <c r="D43" s="445">
        <v>12</v>
      </c>
      <c r="E43" s="446">
        <f t="shared" si="34"/>
        <v>9368107</v>
      </c>
      <c r="F43" s="449"/>
      <c r="G43" s="447">
        <v>595848.56000000006</v>
      </c>
      <c r="H43" s="449"/>
      <c r="I43" s="446">
        <f t="shared" si="31"/>
        <v>8772258.4399999995</v>
      </c>
      <c r="J43" s="446">
        <v>200000</v>
      </c>
      <c r="K43" s="446">
        <v>0.2</v>
      </c>
      <c r="L43" s="446">
        <f t="shared" si="1"/>
        <v>1754451.6880000001</v>
      </c>
      <c r="M43" s="446">
        <f t="shared" si="2"/>
        <v>1954451.6880000001</v>
      </c>
      <c r="N43" s="446">
        <f t="shared" si="32"/>
        <v>2550300.2480000001</v>
      </c>
      <c r="O43" s="446">
        <f t="shared" si="33"/>
        <v>6817806.7520000003</v>
      </c>
      <c r="P43" s="446">
        <f t="shared" si="5"/>
        <v>21000</v>
      </c>
      <c r="Q43" s="446">
        <f t="shared" si="6"/>
        <v>33000</v>
      </c>
      <c r="R43" s="446">
        <f t="shared" si="7"/>
        <v>75000</v>
      </c>
      <c r="S43" s="446">
        <f t="shared" si="8"/>
        <v>95000</v>
      </c>
      <c r="T43" s="446">
        <f t="shared" si="9"/>
        <v>336000</v>
      </c>
      <c r="U43" s="446">
        <f t="shared" si="10"/>
        <v>868273.62048000004</v>
      </c>
      <c r="V43" s="446">
        <f t="shared" si="11"/>
        <v>1428273.62048</v>
      </c>
      <c r="W43" s="453">
        <v>12</v>
      </c>
      <c r="X43" s="446">
        <f t="shared" si="12"/>
        <v>119022.801706667</v>
      </c>
      <c r="Y43" s="449"/>
      <c r="Z43" s="457">
        <f t="shared" si="13"/>
        <v>119022.801706667</v>
      </c>
      <c r="AA43" s="458">
        <v>79956.9391466667</v>
      </c>
      <c r="AB43" s="458">
        <f t="shared" si="35"/>
        <v>39065.862560000001</v>
      </c>
      <c r="AC43" s="458"/>
      <c r="AD43" s="458"/>
      <c r="AE43" s="458"/>
    </row>
    <row r="44" spans="1:31" ht="18">
      <c r="A44" s="443">
        <v>39</v>
      </c>
      <c r="B44" s="10" t="s">
        <v>311</v>
      </c>
      <c r="C44" s="446">
        <v>780675.58333333302</v>
      </c>
      <c r="D44" s="445">
        <v>12</v>
      </c>
      <c r="E44" s="446">
        <f t="shared" si="34"/>
        <v>9368107</v>
      </c>
      <c r="F44" s="446">
        <f>'[5]JANUARY 2024'!$V$47*12</f>
        <v>10052.25</v>
      </c>
      <c r="G44" s="447">
        <v>595848.56000000006</v>
      </c>
      <c r="H44" s="449"/>
      <c r="I44" s="446">
        <f t="shared" si="31"/>
        <v>8762206.1899999995</v>
      </c>
      <c r="J44" s="446">
        <v>200000</v>
      </c>
      <c r="K44" s="446">
        <v>0.2</v>
      </c>
      <c r="L44" s="446">
        <f t="shared" si="1"/>
        <v>1752441.2379999999</v>
      </c>
      <c r="M44" s="446">
        <f t="shared" si="2"/>
        <v>1952441.2379999999</v>
      </c>
      <c r="N44" s="446">
        <f t="shared" si="32"/>
        <v>2558342.048</v>
      </c>
      <c r="O44" s="446">
        <f t="shared" si="33"/>
        <v>6809764.9519999996</v>
      </c>
      <c r="P44" s="446">
        <f t="shared" si="5"/>
        <v>21000</v>
      </c>
      <c r="Q44" s="446">
        <f t="shared" si="6"/>
        <v>33000</v>
      </c>
      <c r="R44" s="446">
        <f t="shared" si="7"/>
        <v>75000</v>
      </c>
      <c r="S44" s="446">
        <f t="shared" si="8"/>
        <v>95000</v>
      </c>
      <c r="T44" s="446">
        <f t="shared" si="9"/>
        <v>336000</v>
      </c>
      <c r="U44" s="446">
        <f t="shared" si="10"/>
        <v>866343.58848000003</v>
      </c>
      <c r="V44" s="446">
        <f t="shared" si="11"/>
        <v>1426343.5884799999</v>
      </c>
      <c r="W44" s="453">
        <v>12</v>
      </c>
      <c r="X44" s="446">
        <f t="shared" si="12"/>
        <v>118861.965706667</v>
      </c>
      <c r="Y44" s="449"/>
      <c r="Z44" s="457">
        <f t="shared" si="13"/>
        <v>118861.965706667</v>
      </c>
      <c r="AA44" s="458">
        <v>79796.103146666603</v>
      </c>
      <c r="AB44" s="458">
        <f t="shared" si="35"/>
        <v>39065.862560000001</v>
      </c>
      <c r="AC44" s="458"/>
      <c r="AD44" s="458"/>
      <c r="AE44" s="458"/>
    </row>
    <row r="45" spans="1:31" ht="18">
      <c r="A45" s="443">
        <v>40</v>
      </c>
      <c r="B45" s="10" t="s">
        <v>312</v>
      </c>
      <c r="C45" s="446">
        <v>742118.08333333302</v>
      </c>
      <c r="D45" s="445">
        <v>12</v>
      </c>
      <c r="E45" s="446">
        <f t="shared" si="34"/>
        <v>8905417</v>
      </c>
      <c r="F45" s="446"/>
      <c r="G45" s="447">
        <v>558833.36</v>
      </c>
      <c r="H45" s="449"/>
      <c r="I45" s="446">
        <f t="shared" si="31"/>
        <v>8346583.6399999997</v>
      </c>
      <c r="J45" s="446">
        <v>200000</v>
      </c>
      <c r="K45" s="446">
        <v>0.2</v>
      </c>
      <c r="L45" s="446">
        <f t="shared" si="1"/>
        <v>1669316.7279999999</v>
      </c>
      <c r="M45" s="446">
        <f t="shared" si="2"/>
        <v>1869316.7279999999</v>
      </c>
      <c r="N45" s="446">
        <f t="shared" si="32"/>
        <v>2428150.088</v>
      </c>
      <c r="O45" s="446">
        <f t="shared" si="33"/>
        <v>6477266.9119999995</v>
      </c>
      <c r="P45" s="446">
        <f t="shared" si="5"/>
        <v>21000</v>
      </c>
      <c r="Q45" s="446">
        <f t="shared" si="6"/>
        <v>33000</v>
      </c>
      <c r="R45" s="446">
        <f t="shared" si="7"/>
        <v>75000</v>
      </c>
      <c r="S45" s="446">
        <f t="shared" si="8"/>
        <v>95000</v>
      </c>
      <c r="T45" s="446">
        <f t="shared" si="9"/>
        <v>336000</v>
      </c>
      <c r="U45" s="446">
        <f t="shared" si="10"/>
        <v>786544.05888000003</v>
      </c>
      <c r="V45" s="446">
        <f t="shared" si="11"/>
        <v>1346544.0588799999</v>
      </c>
      <c r="W45" s="453">
        <v>12</v>
      </c>
      <c r="X45" s="446">
        <f t="shared" si="12"/>
        <v>112212.004906667</v>
      </c>
      <c r="Y45" s="449"/>
      <c r="Z45" s="457">
        <f t="shared" si="13"/>
        <v>112212.004906667</v>
      </c>
      <c r="AA45" s="458">
        <v>75572.915690666705</v>
      </c>
      <c r="AB45" s="458">
        <f t="shared" si="35"/>
        <v>36639.089216</v>
      </c>
      <c r="AC45" s="458"/>
      <c r="AD45" s="458"/>
      <c r="AE45" s="458"/>
    </row>
    <row r="46" spans="1:31" ht="18">
      <c r="A46" s="443">
        <v>41</v>
      </c>
      <c r="B46" s="13" t="s">
        <v>313</v>
      </c>
      <c r="C46" s="446">
        <v>610498</v>
      </c>
      <c r="D46" s="445">
        <v>12</v>
      </c>
      <c r="E46" s="446">
        <f t="shared" si="34"/>
        <v>7325976</v>
      </c>
      <c r="F46" s="446"/>
      <c r="G46" s="447">
        <v>451678.08</v>
      </c>
      <c r="H46" s="449"/>
      <c r="I46" s="446">
        <f t="shared" si="31"/>
        <v>6874297.9199999999</v>
      </c>
      <c r="J46" s="446">
        <v>200000</v>
      </c>
      <c r="K46" s="446">
        <v>0.2</v>
      </c>
      <c r="L46" s="446">
        <f t="shared" si="1"/>
        <v>1374859.584</v>
      </c>
      <c r="M46" s="446">
        <f t="shared" si="2"/>
        <v>1574859.584</v>
      </c>
      <c r="N46" s="446">
        <f t="shared" si="32"/>
        <v>2026537.6640000001</v>
      </c>
      <c r="O46" s="446">
        <f t="shared" si="33"/>
        <v>5299438.3360000001</v>
      </c>
      <c r="P46" s="446">
        <f t="shared" si="5"/>
        <v>21000</v>
      </c>
      <c r="Q46" s="446">
        <f t="shared" si="6"/>
        <v>33000</v>
      </c>
      <c r="R46" s="446">
        <f t="shared" si="7"/>
        <v>75000</v>
      </c>
      <c r="S46" s="446">
        <f t="shared" si="8"/>
        <v>95000</v>
      </c>
      <c r="T46" s="446">
        <f t="shared" si="9"/>
        <v>336000</v>
      </c>
      <c r="U46" s="446">
        <f t="shared" si="10"/>
        <v>503865.20064</v>
      </c>
      <c r="V46" s="446">
        <f t="shared" si="11"/>
        <v>1063865.2006399999</v>
      </c>
      <c r="W46" s="453">
        <v>12</v>
      </c>
      <c r="X46" s="446">
        <f t="shared" si="12"/>
        <v>88655.4333866667</v>
      </c>
      <c r="Y46" s="449"/>
      <c r="Z46" s="457">
        <f t="shared" si="13"/>
        <v>88655.4333866667</v>
      </c>
      <c r="AA46" s="458">
        <v>58026.609434666701</v>
      </c>
      <c r="AB46" s="458">
        <f t="shared" si="35"/>
        <v>30628.823951999999</v>
      </c>
      <c r="AC46" s="458"/>
      <c r="AD46" s="458"/>
      <c r="AE46" s="458"/>
    </row>
    <row r="47" spans="1:31" ht="18">
      <c r="A47" s="443">
        <v>42</v>
      </c>
      <c r="B47" s="10" t="s">
        <v>314</v>
      </c>
      <c r="C47" s="446">
        <v>400965.58333333302</v>
      </c>
      <c r="D47" s="445">
        <v>12</v>
      </c>
      <c r="E47" s="446">
        <f t="shared" si="34"/>
        <v>4811587</v>
      </c>
      <c r="F47" s="446"/>
      <c r="G47" s="447">
        <v>288926.96000000002</v>
      </c>
      <c r="H47" s="449"/>
      <c r="I47" s="446">
        <f t="shared" si="31"/>
        <v>4522660.04</v>
      </c>
      <c r="J47" s="446">
        <v>200000</v>
      </c>
      <c r="K47" s="446">
        <v>0.2</v>
      </c>
      <c r="L47" s="446">
        <f t="shared" si="1"/>
        <v>904532.00800000003</v>
      </c>
      <c r="M47" s="446">
        <f t="shared" si="2"/>
        <v>1104532.0079999999</v>
      </c>
      <c r="N47" s="446">
        <f t="shared" si="32"/>
        <v>1393458.9680000001</v>
      </c>
      <c r="O47" s="446">
        <f t="shared" si="33"/>
        <v>3418128.0320000001</v>
      </c>
      <c r="P47" s="446">
        <f t="shared" si="5"/>
        <v>21000</v>
      </c>
      <c r="Q47" s="446">
        <f t="shared" si="6"/>
        <v>33000</v>
      </c>
      <c r="R47" s="446">
        <f t="shared" si="7"/>
        <v>75000</v>
      </c>
      <c r="S47" s="446">
        <f t="shared" si="8"/>
        <v>95000</v>
      </c>
      <c r="T47" s="446">
        <f t="shared" si="9"/>
        <v>336000</v>
      </c>
      <c r="U47" s="446">
        <f t="shared" si="10"/>
        <v>52350.727680000004</v>
      </c>
      <c r="V47" s="446">
        <f t="shared" si="11"/>
        <v>612350.72768000001</v>
      </c>
      <c r="W47" s="453">
        <v>12</v>
      </c>
      <c r="X47" s="446">
        <f t="shared" si="12"/>
        <v>51029.227306666697</v>
      </c>
      <c r="Y47" s="449"/>
      <c r="Z47" s="457">
        <f t="shared" si="13"/>
        <v>51029.227306666697</v>
      </c>
      <c r="AA47" s="458">
        <v>33059.078406666697</v>
      </c>
      <c r="AB47" s="458">
        <f t="shared" si="35"/>
        <v>17970.1489</v>
      </c>
      <c r="AC47" s="458"/>
      <c r="AD47" s="458"/>
      <c r="AE47" s="458"/>
    </row>
    <row r="48" spans="1:31" ht="18">
      <c r="A48" s="443">
        <v>43</v>
      </c>
      <c r="B48" s="10" t="s">
        <v>315</v>
      </c>
      <c r="C48" s="446">
        <v>363165.33333333302</v>
      </c>
      <c r="D48" s="445">
        <v>12</v>
      </c>
      <c r="E48" s="446">
        <f t="shared" si="34"/>
        <v>4357984</v>
      </c>
      <c r="F48" s="446"/>
      <c r="G48" s="447">
        <v>252638.72</v>
      </c>
      <c r="H48" s="449"/>
      <c r="I48" s="446">
        <f t="shared" si="31"/>
        <v>4105345.28</v>
      </c>
      <c r="J48" s="446">
        <v>200000</v>
      </c>
      <c r="K48" s="446">
        <v>0.2</v>
      </c>
      <c r="L48" s="446">
        <f t="shared" si="1"/>
        <v>821069.05599999998</v>
      </c>
      <c r="M48" s="446">
        <f t="shared" si="2"/>
        <v>1021069.056</v>
      </c>
      <c r="N48" s="446">
        <f t="shared" si="32"/>
        <v>1273707.7760000001</v>
      </c>
      <c r="O48" s="446">
        <f t="shared" si="33"/>
        <v>3084276.2239999999</v>
      </c>
      <c r="P48" s="446">
        <f t="shared" si="5"/>
        <v>21000</v>
      </c>
      <c r="Q48" s="446">
        <f t="shared" si="6"/>
        <v>33000</v>
      </c>
      <c r="R48" s="446">
        <f t="shared" si="7"/>
        <v>75000</v>
      </c>
      <c r="S48" s="446">
        <f t="shared" si="8"/>
        <v>95000</v>
      </c>
      <c r="T48" s="446">
        <f t="shared" si="9"/>
        <v>311698.00704</v>
      </c>
      <c r="U48" s="446"/>
      <c r="V48" s="446">
        <f t="shared" si="11"/>
        <v>535698.00704000005</v>
      </c>
      <c r="W48" s="453">
        <v>12</v>
      </c>
      <c r="X48" s="446">
        <f t="shared" si="12"/>
        <v>44641.500586666698</v>
      </c>
      <c r="Y48" s="449"/>
      <c r="Z48" s="457">
        <f t="shared" si="13"/>
        <v>44641.500586666698</v>
      </c>
      <c r="AA48" s="458">
        <v>29058.4826046667</v>
      </c>
      <c r="AB48" s="458">
        <f t="shared" si="35"/>
        <v>15583.017981999999</v>
      </c>
      <c r="AC48" s="458"/>
      <c r="AD48" s="458"/>
      <c r="AE48" s="458"/>
    </row>
    <row r="49" spans="1:31" ht="18">
      <c r="A49" s="443">
        <v>44</v>
      </c>
      <c r="B49" s="10" t="s">
        <v>316</v>
      </c>
      <c r="C49" s="446">
        <v>363165.33333333302</v>
      </c>
      <c r="D49" s="445">
        <v>12</v>
      </c>
      <c r="E49" s="446">
        <f t="shared" si="34"/>
        <v>4357984</v>
      </c>
      <c r="F49" s="446"/>
      <c r="G49" s="447">
        <v>252638.72</v>
      </c>
      <c r="H49" s="449"/>
      <c r="I49" s="446">
        <f t="shared" si="31"/>
        <v>4105345.28</v>
      </c>
      <c r="J49" s="446">
        <v>200000</v>
      </c>
      <c r="K49" s="446">
        <v>0.2</v>
      </c>
      <c r="L49" s="446">
        <f t="shared" si="1"/>
        <v>821069.05599999998</v>
      </c>
      <c r="M49" s="446">
        <f t="shared" si="2"/>
        <v>1021069.056</v>
      </c>
      <c r="N49" s="446">
        <f t="shared" si="32"/>
        <v>1273707.7760000001</v>
      </c>
      <c r="O49" s="446">
        <f t="shared" si="33"/>
        <v>3084276.2239999999</v>
      </c>
      <c r="P49" s="446">
        <f t="shared" si="5"/>
        <v>21000</v>
      </c>
      <c r="Q49" s="446">
        <f t="shared" si="6"/>
        <v>33000</v>
      </c>
      <c r="R49" s="446">
        <f t="shared" si="7"/>
        <v>75000</v>
      </c>
      <c r="S49" s="446">
        <f t="shared" si="8"/>
        <v>95000</v>
      </c>
      <c r="T49" s="446">
        <f t="shared" si="9"/>
        <v>311698.00704</v>
      </c>
      <c r="U49" s="446"/>
      <c r="V49" s="446">
        <f t="shared" si="11"/>
        <v>535698.00704000005</v>
      </c>
      <c r="W49" s="453">
        <v>12</v>
      </c>
      <c r="X49" s="446">
        <f t="shared" si="12"/>
        <v>44641.500586666698</v>
      </c>
      <c r="Y49" s="449"/>
      <c r="Z49" s="457">
        <f t="shared" si="13"/>
        <v>44641.500586666698</v>
      </c>
      <c r="AA49" s="458">
        <v>28360.952862666702</v>
      </c>
      <c r="AB49" s="458">
        <f t="shared" si="35"/>
        <v>16280.547724</v>
      </c>
      <c r="AC49" s="458"/>
      <c r="AD49" s="458"/>
      <c r="AE49" s="458"/>
    </row>
    <row r="50" spans="1:31" ht="18">
      <c r="A50" s="443">
        <v>45</v>
      </c>
      <c r="B50" s="10" t="s">
        <v>317</v>
      </c>
      <c r="C50" s="446">
        <v>363165.33333333302</v>
      </c>
      <c r="D50" s="445">
        <v>12</v>
      </c>
      <c r="E50" s="446">
        <f t="shared" si="34"/>
        <v>4357984</v>
      </c>
      <c r="F50" s="446"/>
      <c r="G50" s="447">
        <v>252638.72</v>
      </c>
      <c r="H50" s="449"/>
      <c r="I50" s="446">
        <f t="shared" si="31"/>
        <v>4105345.28</v>
      </c>
      <c r="J50" s="446">
        <v>200000</v>
      </c>
      <c r="K50" s="446">
        <v>0.2</v>
      </c>
      <c r="L50" s="446">
        <f t="shared" si="1"/>
        <v>821069.05599999998</v>
      </c>
      <c r="M50" s="446">
        <f t="shared" si="2"/>
        <v>1021069.056</v>
      </c>
      <c r="N50" s="446">
        <f t="shared" si="32"/>
        <v>1273707.7760000001</v>
      </c>
      <c r="O50" s="446">
        <f t="shared" si="33"/>
        <v>3084276.2239999999</v>
      </c>
      <c r="P50" s="446">
        <f t="shared" si="5"/>
        <v>21000</v>
      </c>
      <c r="Q50" s="446">
        <f t="shared" si="6"/>
        <v>33000</v>
      </c>
      <c r="R50" s="446">
        <f t="shared" si="7"/>
        <v>75000</v>
      </c>
      <c r="S50" s="446">
        <f t="shared" si="8"/>
        <v>95000</v>
      </c>
      <c r="T50" s="446">
        <f t="shared" si="9"/>
        <v>311698.00704</v>
      </c>
      <c r="U50" s="446"/>
      <c r="V50" s="446">
        <f t="shared" si="11"/>
        <v>535698.00704000005</v>
      </c>
      <c r="W50" s="453">
        <v>12</v>
      </c>
      <c r="X50" s="446">
        <f t="shared" si="12"/>
        <v>44641.500586666698</v>
      </c>
      <c r="Y50" s="449"/>
      <c r="Z50" s="457">
        <f t="shared" si="13"/>
        <v>44641.500586666698</v>
      </c>
      <c r="AA50" s="458">
        <v>29058.4826046667</v>
      </c>
      <c r="AB50" s="458">
        <f t="shared" si="35"/>
        <v>15583.017981999999</v>
      </c>
      <c r="AC50" s="458"/>
      <c r="AD50" s="458"/>
      <c r="AE50" s="458"/>
    </row>
    <row r="51" spans="1:31" ht="17.5">
      <c r="A51" s="443"/>
      <c r="B51" s="21"/>
      <c r="C51" s="451"/>
      <c r="D51" s="445"/>
      <c r="E51" s="446"/>
      <c r="F51" s="446"/>
      <c r="G51" s="449"/>
      <c r="H51" s="449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53"/>
      <c r="X51" s="446"/>
      <c r="Y51" s="449"/>
      <c r="Z51" s="457"/>
      <c r="AA51" s="458"/>
      <c r="AB51" s="458"/>
      <c r="AC51" s="458"/>
      <c r="AD51" s="458"/>
      <c r="AE51" s="458"/>
    </row>
    <row r="52" spans="1:31" ht="17.5">
      <c r="A52" s="443"/>
      <c r="B52" s="19" t="s">
        <v>318</v>
      </c>
      <c r="C52" s="446"/>
      <c r="D52" s="445"/>
      <c r="E52" s="446"/>
      <c r="F52" s="446"/>
      <c r="G52" s="449"/>
      <c r="H52" s="449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53"/>
      <c r="X52" s="446"/>
      <c r="Y52" s="449"/>
      <c r="Z52" s="457"/>
      <c r="AA52" s="458"/>
      <c r="AB52" s="458"/>
      <c r="AC52" s="458"/>
      <c r="AD52" s="458"/>
      <c r="AE52" s="458"/>
    </row>
    <row r="53" spans="1:31" ht="18">
      <c r="A53" s="443">
        <v>47</v>
      </c>
      <c r="B53" s="10" t="s">
        <v>521</v>
      </c>
      <c r="C53" s="446">
        <v>1635720</v>
      </c>
      <c r="D53" s="445">
        <v>12</v>
      </c>
      <c r="E53" s="446">
        <f>C53*D53</f>
        <v>19628640</v>
      </c>
      <c r="F53" s="446"/>
      <c r="G53" s="447">
        <v>1378291.2</v>
      </c>
      <c r="H53" s="449"/>
      <c r="I53" s="446">
        <f>E53-F53-G53-H53</f>
        <v>18250348.800000001</v>
      </c>
      <c r="J53" s="446">
        <v>200000</v>
      </c>
      <c r="K53" s="446">
        <v>0.2</v>
      </c>
      <c r="L53" s="446">
        <f t="shared" si="1"/>
        <v>3650069.76</v>
      </c>
      <c r="M53" s="446">
        <f t="shared" si="2"/>
        <v>3850069.76</v>
      </c>
      <c r="N53" s="446">
        <f>F53+G53+H53+M53</f>
        <v>5228360.96</v>
      </c>
      <c r="O53" s="446">
        <f>E53-N53</f>
        <v>14400279.039999999</v>
      </c>
      <c r="P53" s="446">
        <f t="shared" si="5"/>
        <v>21000</v>
      </c>
      <c r="Q53" s="446">
        <f t="shared" si="6"/>
        <v>33000</v>
      </c>
      <c r="R53" s="446">
        <f t="shared" si="7"/>
        <v>75000</v>
      </c>
      <c r="S53" s="446">
        <f t="shared" si="8"/>
        <v>95000</v>
      </c>
      <c r="T53" s="446">
        <f t="shared" si="9"/>
        <v>336000</v>
      </c>
      <c r="U53" s="446">
        <f t="shared" si="10"/>
        <v>2688066.9696</v>
      </c>
      <c r="V53" s="446">
        <f t="shared" si="11"/>
        <v>3248066.9696</v>
      </c>
      <c r="W53" s="453">
        <v>12</v>
      </c>
      <c r="X53" s="446">
        <f t="shared" si="12"/>
        <v>270672.24746666697</v>
      </c>
      <c r="Y53" s="449"/>
      <c r="Z53" s="457">
        <f t="shared" si="13"/>
        <v>270672.24746666697</v>
      </c>
      <c r="AA53" s="458">
        <v>180306.806858667</v>
      </c>
      <c r="AB53" s="458">
        <f>Z53-AA53</f>
        <v>90365.440607999903</v>
      </c>
      <c r="AC53" s="458"/>
      <c r="AD53" s="458"/>
      <c r="AE53" s="458"/>
    </row>
    <row r="54" spans="1:31" ht="18">
      <c r="A54" s="443">
        <v>48</v>
      </c>
      <c r="B54" s="10" t="s">
        <v>321</v>
      </c>
      <c r="C54" s="446">
        <v>700675.58333333302</v>
      </c>
      <c r="D54" s="445">
        <v>12</v>
      </c>
      <c r="E54" s="446">
        <f>C54*D54</f>
        <v>8408107</v>
      </c>
      <c r="F54" s="446"/>
      <c r="G54" s="446">
        <v>595848.56000000006</v>
      </c>
      <c r="H54" s="449"/>
      <c r="I54" s="446">
        <f>E54-F54-G54-H54</f>
        <v>7812258.4400000004</v>
      </c>
      <c r="J54" s="446">
        <v>200000</v>
      </c>
      <c r="K54" s="446">
        <v>0.2</v>
      </c>
      <c r="L54" s="446">
        <f t="shared" si="1"/>
        <v>1562451.6880000001</v>
      </c>
      <c r="M54" s="446">
        <f t="shared" si="2"/>
        <v>1762451.6880000001</v>
      </c>
      <c r="N54" s="446">
        <f>F54+G54+H54+M54</f>
        <v>2358300.2480000001</v>
      </c>
      <c r="O54" s="446">
        <f>E54-N54</f>
        <v>6049806.7520000003</v>
      </c>
      <c r="P54" s="446">
        <f t="shared" si="5"/>
        <v>21000</v>
      </c>
      <c r="Q54" s="446">
        <f t="shared" si="6"/>
        <v>33000</v>
      </c>
      <c r="R54" s="446">
        <f t="shared" si="7"/>
        <v>75000</v>
      </c>
      <c r="S54" s="446">
        <f t="shared" si="8"/>
        <v>95000</v>
      </c>
      <c r="T54" s="446">
        <f t="shared" si="9"/>
        <v>336000</v>
      </c>
      <c r="U54" s="446">
        <f t="shared" si="10"/>
        <v>683953.62048000004</v>
      </c>
      <c r="V54" s="446">
        <f t="shared" si="11"/>
        <v>1243953.62048</v>
      </c>
      <c r="W54" s="453">
        <v>12</v>
      </c>
      <c r="X54" s="446">
        <f t="shared" si="12"/>
        <v>103662.801706667</v>
      </c>
      <c r="Y54" s="449"/>
      <c r="Z54" s="457">
        <f t="shared" si="13"/>
        <v>103662.801706667</v>
      </c>
      <c r="AA54" s="458">
        <v>64596.9391466667</v>
      </c>
      <c r="AB54" s="458">
        <f>Z54-AA54</f>
        <v>39065.862560000001</v>
      </c>
      <c r="AC54" s="458"/>
      <c r="AD54" s="458"/>
      <c r="AE54" s="458"/>
    </row>
    <row r="55" spans="1:31" ht="17.5">
      <c r="A55" s="443"/>
      <c r="B55" s="19"/>
      <c r="C55" s="446"/>
      <c r="D55" s="445"/>
      <c r="E55" s="446"/>
      <c r="F55" s="446"/>
      <c r="G55" s="449">
        <v>0</v>
      </c>
      <c r="H55" s="449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53"/>
      <c r="X55" s="446"/>
      <c r="Y55" s="449"/>
      <c r="Z55" s="457"/>
      <c r="AA55" s="458"/>
      <c r="AB55" s="458"/>
      <c r="AC55" s="458"/>
      <c r="AD55" s="458"/>
      <c r="AE55" s="458"/>
    </row>
    <row r="56" spans="1:31" ht="35">
      <c r="A56" s="443">
        <v>49</v>
      </c>
      <c r="B56" s="19" t="s">
        <v>45</v>
      </c>
      <c r="C56" s="446"/>
      <c r="D56" s="445"/>
      <c r="E56" s="446"/>
      <c r="F56" s="446"/>
      <c r="G56" s="449">
        <v>0</v>
      </c>
      <c r="H56" s="449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53"/>
      <c r="X56" s="446"/>
      <c r="Y56" s="449"/>
      <c r="Z56" s="457"/>
      <c r="AA56" s="458"/>
      <c r="AB56" s="458"/>
      <c r="AC56" s="458"/>
      <c r="AD56" s="458"/>
      <c r="AE56" s="458"/>
    </row>
    <row r="57" spans="1:31" ht="18">
      <c r="A57" s="443">
        <v>50</v>
      </c>
      <c r="B57" s="10" t="s">
        <v>323</v>
      </c>
      <c r="C57" s="446">
        <v>1635720</v>
      </c>
      <c r="D57" s="445">
        <v>12</v>
      </c>
      <c r="E57" s="446">
        <f>C57*D57</f>
        <v>19628640</v>
      </c>
      <c r="F57" s="446"/>
      <c r="G57" s="447">
        <v>0</v>
      </c>
      <c r="H57" s="449"/>
      <c r="I57" s="446">
        <f t="shared" ref="I57:I66" si="36">E57-F57-G57-H57</f>
        <v>19628640</v>
      </c>
      <c r="J57" s="446">
        <v>200000</v>
      </c>
      <c r="K57" s="446">
        <v>0.2</v>
      </c>
      <c r="L57" s="446">
        <f t="shared" si="1"/>
        <v>3925728</v>
      </c>
      <c r="M57" s="446">
        <f t="shared" si="2"/>
        <v>4125728</v>
      </c>
      <c r="N57" s="446">
        <f t="shared" ref="N57:N66" si="37">F57+G57+H57+M57</f>
        <v>4125728</v>
      </c>
      <c r="O57" s="446">
        <f t="shared" ref="O57:O66" si="38">E57-N57</f>
        <v>15502912</v>
      </c>
      <c r="P57" s="446">
        <f t="shared" si="5"/>
        <v>21000</v>
      </c>
      <c r="Q57" s="446">
        <f t="shared" si="6"/>
        <v>33000</v>
      </c>
      <c r="R57" s="446">
        <f t="shared" si="7"/>
        <v>75000</v>
      </c>
      <c r="S57" s="446">
        <f t="shared" si="8"/>
        <v>95000</v>
      </c>
      <c r="T57" s="446">
        <f t="shared" si="9"/>
        <v>336000</v>
      </c>
      <c r="U57" s="446">
        <f t="shared" si="10"/>
        <v>2952698.88</v>
      </c>
      <c r="V57" s="446">
        <f t="shared" si="11"/>
        <v>3512698.8799999999</v>
      </c>
      <c r="W57" s="453">
        <v>12</v>
      </c>
      <c r="X57" s="446">
        <f t="shared" si="12"/>
        <v>292724.90666666703</v>
      </c>
      <c r="Y57" s="449"/>
      <c r="Z57" s="457">
        <f t="shared" si="13"/>
        <v>292724.90666666703</v>
      </c>
      <c r="AA57" s="458">
        <v>180306.806858667</v>
      </c>
      <c r="AB57" s="458">
        <f>Z57-AA57</f>
        <v>112418.099808</v>
      </c>
      <c r="AC57" s="458"/>
      <c r="AD57" s="458"/>
      <c r="AE57" s="458"/>
    </row>
    <row r="58" spans="1:31" ht="23.25" customHeight="1">
      <c r="A58" s="443">
        <v>51</v>
      </c>
      <c r="B58" s="328" t="s">
        <v>325</v>
      </c>
      <c r="C58" s="446">
        <v>761396.83333333302</v>
      </c>
      <c r="D58" s="445">
        <v>12</v>
      </c>
      <c r="E58" s="446">
        <f t="shared" ref="E58:E66" si="39">C58*D58</f>
        <v>9136762</v>
      </c>
      <c r="F58" s="446"/>
      <c r="G58" s="452">
        <f>48111.7466666667*12</f>
        <v>577340.96</v>
      </c>
      <c r="H58" s="449"/>
      <c r="I58" s="446">
        <f t="shared" si="36"/>
        <v>8559421.0399999991</v>
      </c>
      <c r="J58" s="446">
        <v>200000</v>
      </c>
      <c r="K58" s="446">
        <v>0.2</v>
      </c>
      <c r="L58" s="446">
        <f t="shared" si="1"/>
        <v>1711884.2080000001</v>
      </c>
      <c r="M58" s="446">
        <f t="shared" si="2"/>
        <v>1911884.2080000001</v>
      </c>
      <c r="N58" s="446">
        <f t="shared" si="37"/>
        <v>2489225.1680000001</v>
      </c>
      <c r="O58" s="446">
        <f t="shared" si="38"/>
        <v>6647536.8320000004</v>
      </c>
      <c r="P58" s="446">
        <f t="shared" si="5"/>
        <v>21000</v>
      </c>
      <c r="Q58" s="446">
        <f t="shared" si="6"/>
        <v>33000</v>
      </c>
      <c r="R58" s="446">
        <f t="shared" si="7"/>
        <v>75000</v>
      </c>
      <c r="S58" s="446">
        <f t="shared" si="8"/>
        <v>95000</v>
      </c>
      <c r="T58" s="446">
        <f t="shared" si="9"/>
        <v>336000</v>
      </c>
      <c r="U58" s="446">
        <f t="shared" si="10"/>
        <v>827408.83967999998</v>
      </c>
      <c r="V58" s="446">
        <f t="shared" si="11"/>
        <v>1387408.83968</v>
      </c>
      <c r="W58" s="453">
        <v>12</v>
      </c>
      <c r="X58" s="446">
        <f t="shared" si="12"/>
        <v>115617.40330666699</v>
      </c>
      <c r="Y58" s="449"/>
      <c r="Z58" s="457">
        <f t="shared" si="13"/>
        <v>115617.40330666699</v>
      </c>
      <c r="AA58" s="458">
        <v>77764.980266666695</v>
      </c>
      <c r="AB58" s="458">
        <f t="shared" ref="AB58:AB66" si="40">Z58-AA58</f>
        <v>37852.423040000001</v>
      </c>
      <c r="AC58" s="458"/>
      <c r="AD58" s="458"/>
      <c r="AE58" s="458"/>
    </row>
    <row r="59" spans="1:31" ht="18">
      <c r="A59" s="443">
        <v>52</v>
      </c>
      <c r="B59" s="10" t="s">
        <v>328</v>
      </c>
      <c r="C59" s="446">
        <v>582746.5</v>
      </c>
      <c r="D59" s="445">
        <v>12</v>
      </c>
      <c r="E59" s="446">
        <f t="shared" si="39"/>
        <v>6992958</v>
      </c>
      <c r="F59" s="446"/>
      <c r="G59" s="447">
        <v>425036.64</v>
      </c>
      <c r="H59" s="449"/>
      <c r="I59" s="446">
        <f t="shared" si="36"/>
        <v>6567921.3600000003</v>
      </c>
      <c r="J59" s="446">
        <v>200000</v>
      </c>
      <c r="K59" s="446">
        <v>0.2</v>
      </c>
      <c r="L59" s="446">
        <f t="shared" si="1"/>
        <v>1313584.2720000001</v>
      </c>
      <c r="M59" s="446">
        <f t="shared" si="2"/>
        <v>1513584.2720000001</v>
      </c>
      <c r="N59" s="446">
        <f t="shared" si="37"/>
        <v>1938620.912</v>
      </c>
      <c r="O59" s="446">
        <f t="shared" si="38"/>
        <v>5054337.0880000005</v>
      </c>
      <c r="P59" s="446">
        <f t="shared" si="5"/>
        <v>21000</v>
      </c>
      <c r="Q59" s="446">
        <f t="shared" si="6"/>
        <v>33000</v>
      </c>
      <c r="R59" s="446">
        <f t="shared" si="7"/>
        <v>75000</v>
      </c>
      <c r="S59" s="446">
        <f t="shared" si="8"/>
        <v>95000</v>
      </c>
      <c r="T59" s="446">
        <f t="shared" si="9"/>
        <v>336000</v>
      </c>
      <c r="U59" s="446">
        <f t="shared" si="10"/>
        <v>445040.90111999999</v>
      </c>
      <c r="V59" s="446">
        <f t="shared" si="11"/>
        <v>1005040.9011200001</v>
      </c>
      <c r="W59" s="453">
        <v>12</v>
      </c>
      <c r="X59" s="446">
        <f t="shared" si="12"/>
        <v>83753.408426666603</v>
      </c>
      <c r="Y59" s="449"/>
      <c r="Z59" s="457">
        <f t="shared" si="13"/>
        <v>83753.408426666603</v>
      </c>
      <c r="AA59" s="458">
        <v>54931.249226666703</v>
      </c>
      <c r="AB59" s="458">
        <f t="shared" si="40"/>
        <v>28822.159199999998</v>
      </c>
      <c r="AC59" s="458"/>
      <c r="AD59" s="458"/>
      <c r="AE59" s="458"/>
    </row>
    <row r="60" spans="1:31" ht="18">
      <c r="A60" s="443">
        <v>53</v>
      </c>
      <c r="B60" s="17" t="s">
        <v>329</v>
      </c>
      <c r="C60" s="446">
        <v>548915.91666666698</v>
      </c>
      <c r="D60" s="445">
        <v>12</v>
      </c>
      <c r="E60" s="446">
        <f t="shared" si="39"/>
        <v>6586991</v>
      </c>
      <c r="F60" s="446"/>
      <c r="G60" s="447">
        <v>411759.28</v>
      </c>
      <c r="H60" s="449"/>
      <c r="I60" s="446">
        <f t="shared" si="36"/>
        <v>6175231.7199999997</v>
      </c>
      <c r="J60" s="446">
        <v>200000</v>
      </c>
      <c r="K60" s="446">
        <v>0.2</v>
      </c>
      <c r="L60" s="446">
        <f t="shared" si="1"/>
        <v>1235046.344</v>
      </c>
      <c r="M60" s="446">
        <f t="shared" si="2"/>
        <v>1435046.344</v>
      </c>
      <c r="N60" s="446">
        <f t="shared" si="37"/>
        <v>1846805.6240000001</v>
      </c>
      <c r="O60" s="446">
        <f t="shared" si="38"/>
        <v>4740185.3760000002</v>
      </c>
      <c r="P60" s="446">
        <f t="shared" si="5"/>
        <v>21000</v>
      </c>
      <c r="Q60" s="446">
        <f t="shared" si="6"/>
        <v>33000</v>
      </c>
      <c r="R60" s="446">
        <f t="shared" si="7"/>
        <v>75000</v>
      </c>
      <c r="S60" s="446">
        <f t="shared" si="8"/>
        <v>95000</v>
      </c>
      <c r="T60" s="446">
        <f t="shared" si="9"/>
        <v>336000</v>
      </c>
      <c r="U60" s="446">
        <f t="shared" si="10"/>
        <v>369644.49024000001</v>
      </c>
      <c r="V60" s="446">
        <f t="shared" si="11"/>
        <v>929644.49023999996</v>
      </c>
      <c r="W60" s="453">
        <v>12</v>
      </c>
      <c r="X60" s="446">
        <f t="shared" si="12"/>
        <v>77470.374186666697</v>
      </c>
      <c r="Y60" s="449"/>
      <c r="Z60" s="457">
        <f t="shared" si="13"/>
        <v>77470.374186666697</v>
      </c>
      <c r="AA60" s="458">
        <v>49548.776186666699</v>
      </c>
      <c r="AB60" s="458">
        <f t="shared" si="40"/>
        <v>27921.598000000002</v>
      </c>
      <c r="AC60" s="458"/>
      <c r="AD60" s="458"/>
      <c r="AE60" s="458"/>
    </row>
    <row r="61" spans="1:31" ht="18">
      <c r="A61" s="443">
        <v>54</v>
      </c>
      <c r="B61" s="13" t="s">
        <v>330</v>
      </c>
      <c r="C61" s="446">
        <v>624373.75</v>
      </c>
      <c r="D61" s="445">
        <v>12</v>
      </c>
      <c r="E61" s="446">
        <f t="shared" si="39"/>
        <v>7492485</v>
      </c>
      <c r="F61" s="446"/>
      <c r="G61" s="447">
        <v>464998.8</v>
      </c>
      <c r="H61" s="449"/>
      <c r="I61" s="446">
        <f t="shared" si="36"/>
        <v>7027486.2000000002</v>
      </c>
      <c r="J61" s="446">
        <v>200000</v>
      </c>
      <c r="K61" s="446">
        <v>0.2</v>
      </c>
      <c r="L61" s="446">
        <f t="shared" si="1"/>
        <v>1405497.24</v>
      </c>
      <c r="M61" s="446">
        <f t="shared" si="2"/>
        <v>1605497.24</v>
      </c>
      <c r="N61" s="446">
        <f t="shared" si="37"/>
        <v>2070496.04</v>
      </c>
      <c r="O61" s="446">
        <f t="shared" si="38"/>
        <v>5421988.96</v>
      </c>
      <c r="P61" s="446">
        <f t="shared" si="5"/>
        <v>21000</v>
      </c>
      <c r="Q61" s="446">
        <f t="shared" si="6"/>
        <v>33000</v>
      </c>
      <c r="R61" s="446">
        <f t="shared" si="7"/>
        <v>75000</v>
      </c>
      <c r="S61" s="446">
        <f t="shared" si="8"/>
        <v>95000</v>
      </c>
      <c r="T61" s="446">
        <f t="shared" si="9"/>
        <v>336000</v>
      </c>
      <c r="U61" s="446">
        <f t="shared" si="10"/>
        <v>533277.3504</v>
      </c>
      <c r="V61" s="446">
        <f t="shared" si="11"/>
        <v>1093277.3504000001</v>
      </c>
      <c r="W61" s="453">
        <v>12</v>
      </c>
      <c r="X61" s="446">
        <f t="shared" si="12"/>
        <v>91106.445866666705</v>
      </c>
      <c r="Y61" s="449"/>
      <c r="Z61" s="457">
        <f t="shared" si="13"/>
        <v>91106.445866666705</v>
      </c>
      <c r="AA61" s="458">
        <v>46666.666666666701</v>
      </c>
      <c r="AB61" s="458">
        <f t="shared" si="40"/>
        <v>44439.779199999997</v>
      </c>
      <c r="AC61" s="458"/>
      <c r="AD61" s="458"/>
      <c r="AE61" s="458"/>
    </row>
    <row r="62" spans="1:31" ht="18">
      <c r="A62" s="443">
        <v>55</v>
      </c>
      <c r="B62" s="10" t="s">
        <v>331</v>
      </c>
      <c r="C62" s="446">
        <v>475703.83333333302</v>
      </c>
      <c r="D62" s="445">
        <v>12</v>
      </c>
      <c r="E62" s="446">
        <f t="shared" si="39"/>
        <v>5708446</v>
      </c>
      <c r="F62" s="446"/>
      <c r="G62" s="447">
        <v>351075.68</v>
      </c>
      <c r="H62" s="449"/>
      <c r="I62" s="446">
        <f t="shared" si="36"/>
        <v>5357370.32</v>
      </c>
      <c r="J62" s="446">
        <v>200000</v>
      </c>
      <c r="K62" s="446">
        <v>0.2</v>
      </c>
      <c r="L62" s="446">
        <f t="shared" si="1"/>
        <v>1071474.064</v>
      </c>
      <c r="M62" s="446">
        <f t="shared" si="2"/>
        <v>1271474.064</v>
      </c>
      <c r="N62" s="446">
        <f t="shared" si="37"/>
        <v>1622549.7439999999</v>
      </c>
      <c r="O62" s="446">
        <f t="shared" si="38"/>
        <v>4085896.2560000001</v>
      </c>
      <c r="P62" s="446">
        <f t="shared" si="5"/>
        <v>21000</v>
      </c>
      <c r="Q62" s="446">
        <f t="shared" si="6"/>
        <v>33000</v>
      </c>
      <c r="R62" s="446">
        <f t="shared" si="7"/>
        <v>75000</v>
      </c>
      <c r="S62" s="446">
        <f t="shared" si="8"/>
        <v>95000</v>
      </c>
      <c r="T62" s="446">
        <f t="shared" si="9"/>
        <v>336000</v>
      </c>
      <c r="U62" s="446">
        <f t="shared" si="10"/>
        <v>212615.10144</v>
      </c>
      <c r="V62" s="446">
        <f t="shared" si="11"/>
        <v>772615.10144</v>
      </c>
      <c r="W62" s="453">
        <v>12</v>
      </c>
      <c r="X62" s="446">
        <f t="shared" si="12"/>
        <v>64384.591786666701</v>
      </c>
      <c r="Y62" s="449"/>
      <c r="Z62" s="457">
        <f t="shared" si="13"/>
        <v>64384.591786666701</v>
      </c>
      <c r="AA62" s="458">
        <v>41338.951098666701</v>
      </c>
      <c r="AB62" s="458">
        <f t="shared" si="40"/>
        <v>23045.640687999999</v>
      </c>
      <c r="AC62" s="458"/>
      <c r="AD62" s="458"/>
      <c r="AE62" s="458"/>
    </row>
    <row r="63" spans="1:31" ht="18">
      <c r="A63" s="443">
        <v>56</v>
      </c>
      <c r="B63" s="10" t="s">
        <v>333</v>
      </c>
      <c r="C63" s="446">
        <v>475703.83333333302</v>
      </c>
      <c r="D63" s="445">
        <v>12</v>
      </c>
      <c r="E63" s="446">
        <f t="shared" si="39"/>
        <v>5708446</v>
      </c>
      <c r="F63" s="446"/>
      <c r="G63" s="447">
        <v>351075.68</v>
      </c>
      <c r="H63" s="449"/>
      <c r="I63" s="446">
        <f t="shared" si="36"/>
        <v>5357370.32</v>
      </c>
      <c r="J63" s="446">
        <v>200000</v>
      </c>
      <c r="K63" s="446">
        <v>0.2</v>
      </c>
      <c r="L63" s="446">
        <f t="shared" si="1"/>
        <v>1071474.064</v>
      </c>
      <c r="M63" s="446">
        <f t="shared" si="2"/>
        <v>1271474.064</v>
      </c>
      <c r="N63" s="446">
        <f t="shared" si="37"/>
        <v>1622549.7439999999</v>
      </c>
      <c r="O63" s="446">
        <f t="shared" si="38"/>
        <v>4085896.2560000001</v>
      </c>
      <c r="P63" s="446">
        <f t="shared" si="5"/>
        <v>21000</v>
      </c>
      <c r="Q63" s="446">
        <f t="shared" si="6"/>
        <v>33000</v>
      </c>
      <c r="R63" s="446">
        <f t="shared" si="7"/>
        <v>75000</v>
      </c>
      <c r="S63" s="446">
        <f t="shared" si="8"/>
        <v>95000</v>
      </c>
      <c r="T63" s="446">
        <f t="shared" si="9"/>
        <v>336000</v>
      </c>
      <c r="U63" s="446">
        <f t="shared" si="10"/>
        <v>212615.10144</v>
      </c>
      <c r="V63" s="446">
        <f t="shared" si="11"/>
        <v>772615.10144</v>
      </c>
      <c r="W63" s="453">
        <v>12</v>
      </c>
      <c r="X63" s="446">
        <f t="shared" si="12"/>
        <v>64384.591786666701</v>
      </c>
      <c r="Y63" s="449"/>
      <c r="Z63" s="457">
        <f t="shared" si="13"/>
        <v>64384.591786666701</v>
      </c>
      <c r="AA63" s="458">
        <v>41338.951098666701</v>
      </c>
      <c r="AB63" s="458">
        <f t="shared" si="40"/>
        <v>23045.640687999999</v>
      </c>
      <c r="AC63" s="458"/>
      <c r="AD63" s="458"/>
      <c r="AE63" s="458"/>
    </row>
    <row r="64" spans="1:31" ht="18">
      <c r="A64" s="443">
        <v>57</v>
      </c>
      <c r="B64" s="10" t="s">
        <v>334</v>
      </c>
      <c r="C64" s="446">
        <v>475703.83333333302</v>
      </c>
      <c r="D64" s="445">
        <v>12</v>
      </c>
      <c r="E64" s="446">
        <f t="shared" si="39"/>
        <v>5708446</v>
      </c>
      <c r="F64" s="446"/>
      <c r="G64" s="447">
        <v>351075.68</v>
      </c>
      <c r="H64" s="449"/>
      <c r="I64" s="446">
        <f t="shared" si="36"/>
        <v>5357370.32</v>
      </c>
      <c r="J64" s="446">
        <v>200000</v>
      </c>
      <c r="K64" s="446">
        <v>0.2</v>
      </c>
      <c r="L64" s="446">
        <f t="shared" si="1"/>
        <v>1071474.064</v>
      </c>
      <c r="M64" s="446">
        <f t="shared" si="2"/>
        <v>1271474.064</v>
      </c>
      <c r="N64" s="446">
        <f t="shared" si="37"/>
        <v>1622549.7439999999</v>
      </c>
      <c r="O64" s="446">
        <f t="shared" si="38"/>
        <v>4085896.2560000001</v>
      </c>
      <c r="P64" s="446">
        <f t="shared" si="5"/>
        <v>21000</v>
      </c>
      <c r="Q64" s="446">
        <f t="shared" si="6"/>
        <v>33000</v>
      </c>
      <c r="R64" s="446">
        <f t="shared" si="7"/>
        <v>75000</v>
      </c>
      <c r="S64" s="446">
        <f t="shared" si="8"/>
        <v>95000</v>
      </c>
      <c r="T64" s="446">
        <f t="shared" si="9"/>
        <v>336000</v>
      </c>
      <c r="U64" s="446">
        <f t="shared" si="10"/>
        <v>212615.10144</v>
      </c>
      <c r="V64" s="446">
        <f t="shared" si="11"/>
        <v>772615.10144</v>
      </c>
      <c r="W64" s="453">
        <v>12</v>
      </c>
      <c r="X64" s="446">
        <f t="shared" si="12"/>
        <v>64384.591786666701</v>
      </c>
      <c r="Y64" s="449"/>
      <c r="Z64" s="457">
        <f t="shared" si="13"/>
        <v>64384.591786666701</v>
      </c>
      <c r="AA64" s="458">
        <v>41338.951098666701</v>
      </c>
      <c r="AB64" s="458">
        <f t="shared" si="40"/>
        <v>23045.640687999999</v>
      </c>
      <c r="AC64" s="458"/>
      <c r="AD64" s="458"/>
      <c r="AE64" s="458"/>
    </row>
    <row r="65" spans="1:31" ht="18">
      <c r="A65" s="443">
        <v>58</v>
      </c>
      <c r="B65" s="10" t="s">
        <v>335</v>
      </c>
      <c r="C65" s="446">
        <v>487895.16666666698</v>
      </c>
      <c r="D65" s="445">
        <v>12</v>
      </c>
      <c r="E65" s="446">
        <f t="shared" si="39"/>
        <v>5854742</v>
      </c>
      <c r="F65" s="446"/>
      <c r="G65" s="447">
        <v>362779.36</v>
      </c>
      <c r="H65" s="449"/>
      <c r="I65" s="446">
        <f t="shared" si="36"/>
        <v>5491962.6399999997</v>
      </c>
      <c r="J65" s="446">
        <v>200000</v>
      </c>
      <c r="K65" s="446">
        <v>0.2</v>
      </c>
      <c r="L65" s="446">
        <f t="shared" si="1"/>
        <v>1098392.5279999999</v>
      </c>
      <c r="M65" s="446">
        <f t="shared" si="2"/>
        <v>1298392.5279999999</v>
      </c>
      <c r="N65" s="446">
        <f t="shared" si="37"/>
        <v>1661171.888</v>
      </c>
      <c r="O65" s="446">
        <f t="shared" si="38"/>
        <v>4193570.1120000002</v>
      </c>
      <c r="P65" s="446">
        <f t="shared" si="5"/>
        <v>21000</v>
      </c>
      <c r="Q65" s="446">
        <f t="shared" si="6"/>
        <v>33000</v>
      </c>
      <c r="R65" s="446">
        <f t="shared" si="7"/>
        <v>75000</v>
      </c>
      <c r="S65" s="446">
        <f t="shared" si="8"/>
        <v>95000</v>
      </c>
      <c r="T65" s="446">
        <f t="shared" si="9"/>
        <v>336000</v>
      </c>
      <c r="U65" s="446">
        <f t="shared" si="10"/>
        <v>238456.82688000001</v>
      </c>
      <c r="V65" s="446">
        <f t="shared" si="11"/>
        <v>798456.82687999995</v>
      </c>
      <c r="W65" s="453">
        <v>12</v>
      </c>
      <c r="X65" s="446">
        <f t="shared" si="12"/>
        <v>66538.068906666696</v>
      </c>
      <c r="Y65" s="449"/>
      <c r="Z65" s="457">
        <f t="shared" si="13"/>
        <v>66538.068906666696</v>
      </c>
      <c r="AA65" s="458">
        <v>43368.882414666703</v>
      </c>
      <c r="AB65" s="458">
        <f t="shared" si="40"/>
        <v>23169.186492000001</v>
      </c>
      <c r="AC65" s="458"/>
      <c r="AD65" s="458"/>
      <c r="AE65" s="458"/>
    </row>
    <row r="66" spans="1:31" ht="18">
      <c r="A66" s="443">
        <v>59</v>
      </c>
      <c r="B66" s="10" t="s">
        <v>337</v>
      </c>
      <c r="C66" s="446">
        <v>400965.58333333302</v>
      </c>
      <c r="D66" s="445">
        <v>12</v>
      </c>
      <c r="E66" s="446">
        <f t="shared" si="39"/>
        <v>4811587</v>
      </c>
      <c r="F66" s="446"/>
      <c r="G66" s="451">
        <v>288926.96000000002</v>
      </c>
      <c r="H66" s="449"/>
      <c r="I66" s="446">
        <f t="shared" si="36"/>
        <v>4522660.04</v>
      </c>
      <c r="J66" s="446">
        <v>200000</v>
      </c>
      <c r="K66" s="446">
        <v>0.2</v>
      </c>
      <c r="L66" s="446">
        <f t="shared" si="1"/>
        <v>904532.00800000003</v>
      </c>
      <c r="M66" s="446">
        <f t="shared" si="2"/>
        <v>1104532.0079999999</v>
      </c>
      <c r="N66" s="446">
        <f t="shared" si="37"/>
        <v>1393458.9680000001</v>
      </c>
      <c r="O66" s="446">
        <f t="shared" si="38"/>
        <v>3418128.0320000001</v>
      </c>
      <c r="P66" s="446">
        <f t="shared" si="5"/>
        <v>21000</v>
      </c>
      <c r="Q66" s="446">
        <f t="shared" si="6"/>
        <v>33000</v>
      </c>
      <c r="R66" s="446">
        <f t="shared" si="7"/>
        <v>75000</v>
      </c>
      <c r="S66" s="446">
        <f t="shared" si="8"/>
        <v>95000</v>
      </c>
      <c r="T66" s="446">
        <f t="shared" si="9"/>
        <v>336000</v>
      </c>
      <c r="U66" s="446">
        <f t="shared" si="10"/>
        <v>52350.727680000004</v>
      </c>
      <c r="V66" s="446">
        <f t="shared" si="11"/>
        <v>612350.72768000001</v>
      </c>
      <c r="W66" s="453">
        <v>12</v>
      </c>
      <c r="X66" s="446">
        <f t="shared" si="12"/>
        <v>51029.227306666697</v>
      </c>
      <c r="Y66" s="449"/>
      <c r="Z66" s="457">
        <f t="shared" si="13"/>
        <v>51029.227306666697</v>
      </c>
      <c r="AA66" s="458">
        <v>33825.986562666702</v>
      </c>
      <c r="AB66" s="458">
        <f t="shared" si="40"/>
        <v>17203.240743999999</v>
      </c>
      <c r="AC66" s="458"/>
      <c r="AD66" s="458"/>
      <c r="AE66" s="458"/>
    </row>
    <row r="67" spans="1:31" ht="17.5">
      <c r="A67" s="443">
        <v>60</v>
      </c>
      <c r="B67" s="19"/>
      <c r="C67" s="446"/>
      <c r="D67" s="445"/>
      <c r="E67" s="446"/>
      <c r="F67" s="446"/>
      <c r="G67" s="449"/>
      <c r="H67" s="449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53"/>
      <c r="X67" s="446"/>
      <c r="Y67" s="449"/>
      <c r="Z67" s="457"/>
      <c r="AA67" s="458"/>
      <c r="AB67" s="458"/>
      <c r="AC67" s="458"/>
      <c r="AD67" s="458"/>
      <c r="AE67" s="458"/>
    </row>
    <row r="68" spans="1:31" ht="17.5">
      <c r="A68" s="443">
        <v>61</v>
      </c>
      <c r="B68" s="21"/>
      <c r="C68" s="446"/>
      <c r="D68" s="445"/>
      <c r="E68" s="446"/>
      <c r="F68" s="446"/>
      <c r="G68" s="449"/>
      <c r="H68" s="449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53"/>
      <c r="X68" s="446"/>
      <c r="Y68" s="449"/>
      <c r="Z68" s="457"/>
      <c r="AA68" s="458"/>
      <c r="AB68" s="458"/>
      <c r="AC68" s="458"/>
      <c r="AD68" s="458"/>
      <c r="AE68" s="458"/>
    </row>
    <row r="69" spans="1:31" ht="17.5">
      <c r="A69" s="443"/>
      <c r="B69" s="19" t="s">
        <v>51</v>
      </c>
      <c r="C69" s="446"/>
      <c r="D69" s="445"/>
      <c r="E69" s="446"/>
      <c r="F69" s="446"/>
      <c r="G69" s="449"/>
      <c r="H69" s="449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53"/>
      <c r="X69" s="446"/>
      <c r="Y69" s="449"/>
      <c r="Z69" s="457"/>
      <c r="AA69" s="458"/>
      <c r="AB69" s="458"/>
      <c r="AC69" s="458"/>
      <c r="AD69" s="458"/>
      <c r="AE69" s="458"/>
    </row>
    <row r="70" spans="1:31" ht="18">
      <c r="A70" s="443"/>
      <c r="B70" s="10" t="s">
        <v>338</v>
      </c>
      <c r="C70" s="446">
        <v>1635720</v>
      </c>
      <c r="D70" s="445">
        <v>12</v>
      </c>
      <c r="E70" s="446">
        <f>C70*D70</f>
        <v>19628640</v>
      </c>
      <c r="F70" s="446"/>
      <c r="G70" s="447">
        <v>1378291.2</v>
      </c>
      <c r="H70" s="449"/>
      <c r="I70" s="446">
        <f t="shared" ref="I70:I76" si="41">E70-F70-G70-H70</f>
        <v>18250348.800000001</v>
      </c>
      <c r="J70" s="446">
        <v>200000</v>
      </c>
      <c r="K70" s="446">
        <v>0.2</v>
      </c>
      <c r="L70" s="446">
        <f t="shared" ref="L70" si="42">I70*K70</f>
        <v>3650069.76</v>
      </c>
      <c r="M70" s="446">
        <f t="shared" ref="M70" si="43">J70+L70</f>
        <v>3850069.76</v>
      </c>
      <c r="N70" s="446">
        <f t="shared" ref="N70:N76" si="44">F70+G70+H70+M70</f>
        <v>5228360.96</v>
      </c>
      <c r="O70" s="446">
        <f t="shared" ref="O70:O76" si="45">E70-N70</f>
        <v>14400279.039999999</v>
      </c>
      <c r="P70" s="446">
        <f t="shared" ref="P70" si="46">IF(O70&lt;300000,0.07*O70,21000)</f>
        <v>21000</v>
      </c>
      <c r="Q70" s="446">
        <f t="shared" ref="Q70" si="47">IF((O70-300000)&lt;0,0,IF((O70-300000)&lt;300000,0.11*(O70-300000),33000))</f>
        <v>33000</v>
      </c>
      <c r="R70" s="446">
        <f t="shared" ref="R70" si="48">IF((O70-600000)&lt;0,0,IF((O70-600000)&lt;500000,0.15*(O70-600000),75000))</f>
        <v>75000</v>
      </c>
      <c r="S70" s="446">
        <f t="shared" ref="S70" si="49">IF((O70-1100000)&lt;0,0,IF((O70-1100000)&lt;500000,0.19*(O70-1100000),95000))</f>
        <v>95000</v>
      </c>
      <c r="T70" s="446">
        <f t="shared" ref="T70" si="50">IF((O70-1600000)&lt;0,0,IF((O70-1600000)&lt;1600000,0.21*(O70-1600000),336000))</f>
        <v>336000</v>
      </c>
      <c r="U70" s="446">
        <f t="shared" ref="U70" si="51">24%*(O70-3200000)</f>
        <v>2688066.9696</v>
      </c>
      <c r="V70" s="446">
        <f t="shared" ref="V70" si="52">P70+Q70+R70+S70+T70+U70</f>
        <v>3248066.9696</v>
      </c>
      <c r="W70" s="453">
        <v>12</v>
      </c>
      <c r="X70" s="446">
        <f t="shared" ref="X70" si="53">V70/W70</f>
        <v>270672.24746666697</v>
      </c>
      <c r="Y70" s="449"/>
      <c r="Z70" s="457">
        <f t="shared" ref="Z70" si="54">X70</f>
        <v>270672.24746666697</v>
      </c>
      <c r="AA70" s="458">
        <v>180306.806858667</v>
      </c>
      <c r="AB70" s="458">
        <f>Z70-AA70</f>
        <v>90365.440607999903</v>
      </c>
      <c r="AC70" s="458"/>
      <c r="AD70" s="458"/>
      <c r="AE70" s="458"/>
    </row>
    <row r="71" spans="1:31" ht="18">
      <c r="A71" s="443">
        <v>62</v>
      </c>
      <c r="B71" s="13" t="s">
        <v>220</v>
      </c>
      <c r="C71" s="446">
        <v>761396.83333333302</v>
      </c>
      <c r="D71" s="445">
        <v>12</v>
      </c>
      <c r="E71" s="446">
        <f t="shared" ref="E71:E76" si="55">C71*D71</f>
        <v>9136762</v>
      </c>
      <c r="F71" s="446"/>
      <c r="G71" s="447">
        <v>0</v>
      </c>
      <c r="H71" s="449"/>
      <c r="I71" s="446">
        <f t="shared" si="41"/>
        <v>9136762</v>
      </c>
      <c r="J71" s="446">
        <v>200000</v>
      </c>
      <c r="K71" s="446">
        <v>0.2</v>
      </c>
      <c r="L71" s="446">
        <f t="shared" si="1"/>
        <v>1827352.4</v>
      </c>
      <c r="M71" s="446">
        <f t="shared" si="2"/>
        <v>2027352.4</v>
      </c>
      <c r="N71" s="446">
        <f t="shared" si="44"/>
        <v>2027352.4</v>
      </c>
      <c r="O71" s="446">
        <f t="shared" si="45"/>
        <v>7109409.5999999996</v>
      </c>
      <c r="P71" s="446">
        <f t="shared" si="5"/>
        <v>21000</v>
      </c>
      <c r="Q71" s="446">
        <f t="shared" si="6"/>
        <v>33000</v>
      </c>
      <c r="R71" s="446">
        <f t="shared" si="7"/>
        <v>75000</v>
      </c>
      <c r="S71" s="446">
        <f t="shared" si="8"/>
        <v>95000</v>
      </c>
      <c r="T71" s="446">
        <f t="shared" si="9"/>
        <v>336000</v>
      </c>
      <c r="U71" s="446">
        <f t="shared" si="10"/>
        <v>938258.304</v>
      </c>
      <c r="V71" s="446">
        <f t="shared" si="11"/>
        <v>1498258.304</v>
      </c>
      <c r="W71" s="453">
        <v>12</v>
      </c>
      <c r="X71" s="446">
        <f t="shared" si="12"/>
        <v>124854.858666667</v>
      </c>
      <c r="Y71" s="449"/>
      <c r="Z71" s="457">
        <f t="shared" si="13"/>
        <v>124854.858666667</v>
      </c>
      <c r="AA71" s="458">
        <v>77764.980266666695</v>
      </c>
      <c r="AB71" s="458">
        <f t="shared" ref="AB71:AB76" si="56">Z71-AA71</f>
        <v>47089.878400000001</v>
      </c>
      <c r="AC71" s="458"/>
      <c r="AD71" s="458"/>
      <c r="AE71" s="458"/>
    </row>
    <row r="72" spans="1:31" ht="36">
      <c r="A72" s="443">
        <v>63</v>
      </c>
      <c r="B72" s="17" t="s">
        <v>223</v>
      </c>
      <c r="C72" s="446">
        <f>700675.583333333+80000</f>
        <v>780675.58333333302</v>
      </c>
      <c r="D72" s="445">
        <v>12</v>
      </c>
      <c r="E72" s="446">
        <f t="shared" si="55"/>
        <v>9368107</v>
      </c>
      <c r="F72" s="446"/>
      <c r="G72" s="447">
        <v>0</v>
      </c>
      <c r="H72" s="449"/>
      <c r="I72" s="446">
        <f t="shared" si="41"/>
        <v>9368107</v>
      </c>
      <c r="J72" s="446">
        <v>200000</v>
      </c>
      <c r="K72" s="446">
        <v>0.2</v>
      </c>
      <c r="L72" s="446">
        <f t="shared" si="1"/>
        <v>1873621.4</v>
      </c>
      <c r="M72" s="446">
        <f t="shared" si="2"/>
        <v>2073621.4</v>
      </c>
      <c r="N72" s="446">
        <f t="shared" si="44"/>
        <v>2073621.4</v>
      </c>
      <c r="O72" s="446">
        <f t="shared" si="45"/>
        <v>7294485.5999999996</v>
      </c>
      <c r="P72" s="446">
        <f t="shared" si="5"/>
        <v>21000</v>
      </c>
      <c r="Q72" s="446">
        <f t="shared" si="6"/>
        <v>33000</v>
      </c>
      <c r="R72" s="446">
        <f t="shared" si="7"/>
        <v>75000</v>
      </c>
      <c r="S72" s="446">
        <f t="shared" si="8"/>
        <v>95000</v>
      </c>
      <c r="T72" s="446">
        <f t="shared" si="9"/>
        <v>336000</v>
      </c>
      <c r="U72" s="446">
        <f t="shared" si="10"/>
        <v>982676.54399999895</v>
      </c>
      <c r="V72" s="446">
        <f t="shared" si="11"/>
        <v>1542676.544</v>
      </c>
      <c r="W72" s="453">
        <v>12</v>
      </c>
      <c r="X72" s="446">
        <f t="shared" si="12"/>
        <v>128556.37866666701</v>
      </c>
      <c r="Y72" s="449"/>
      <c r="Z72" s="457">
        <f t="shared" si="13"/>
        <v>128556.37866666701</v>
      </c>
      <c r="AA72" s="458">
        <v>64596.9391466667</v>
      </c>
      <c r="AB72" s="458">
        <f t="shared" si="56"/>
        <v>63959.439519999898</v>
      </c>
      <c r="AC72" s="458"/>
      <c r="AD72" s="458"/>
      <c r="AE72" s="458"/>
    </row>
    <row r="73" spans="1:31" ht="18">
      <c r="A73" s="443">
        <v>64</v>
      </c>
      <c r="B73" s="10" t="s">
        <v>340</v>
      </c>
      <c r="C73" s="446">
        <v>596622.25</v>
      </c>
      <c r="D73" s="445">
        <v>12</v>
      </c>
      <c r="E73" s="446">
        <f t="shared" si="55"/>
        <v>7159467</v>
      </c>
      <c r="F73" s="446">
        <f>'[5]JANUARY 2024'!$V$78*12</f>
        <v>8019.7950000000001</v>
      </c>
      <c r="G73" s="447">
        <v>438357.36</v>
      </c>
      <c r="H73" s="449"/>
      <c r="I73" s="446">
        <f t="shared" si="41"/>
        <v>6713089.8449999997</v>
      </c>
      <c r="J73" s="446">
        <v>200000</v>
      </c>
      <c r="K73" s="446">
        <v>0.2</v>
      </c>
      <c r="L73" s="446">
        <f t="shared" si="1"/>
        <v>1342617.969</v>
      </c>
      <c r="M73" s="446">
        <f t="shared" si="2"/>
        <v>1542617.969</v>
      </c>
      <c r="N73" s="446">
        <f t="shared" si="44"/>
        <v>1988995.1240000001</v>
      </c>
      <c r="O73" s="446">
        <f t="shared" si="45"/>
        <v>5170471.8760000002</v>
      </c>
      <c r="P73" s="446">
        <f t="shared" si="5"/>
        <v>21000</v>
      </c>
      <c r="Q73" s="446">
        <f t="shared" si="6"/>
        <v>33000</v>
      </c>
      <c r="R73" s="446">
        <f t="shared" si="7"/>
        <v>75000</v>
      </c>
      <c r="S73" s="446">
        <f t="shared" si="8"/>
        <v>95000</v>
      </c>
      <c r="T73" s="446">
        <f t="shared" si="9"/>
        <v>336000</v>
      </c>
      <c r="U73" s="446">
        <f t="shared" si="10"/>
        <v>472913.25024000002</v>
      </c>
      <c r="V73" s="446">
        <f t="shared" si="11"/>
        <v>1032913.25024</v>
      </c>
      <c r="W73" s="453">
        <v>12</v>
      </c>
      <c r="X73" s="446">
        <f t="shared" si="12"/>
        <v>86076.104186666693</v>
      </c>
      <c r="Y73" s="449"/>
      <c r="Z73" s="457">
        <f t="shared" si="13"/>
        <v>86076.104186666693</v>
      </c>
      <c r="AA73" s="458">
        <v>56350.586186666696</v>
      </c>
      <c r="AB73" s="458">
        <f t="shared" si="56"/>
        <v>29725.518</v>
      </c>
      <c r="AC73" s="458"/>
      <c r="AD73" s="458"/>
      <c r="AE73" s="458"/>
    </row>
    <row r="74" spans="1:31" ht="18">
      <c r="A74" s="443">
        <v>65</v>
      </c>
      <c r="B74" s="10" t="s">
        <v>343</v>
      </c>
      <c r="C74" s="446">
        <v>408901.5</v>
      </c>
      <c r="D74" s="445">
        <v>12</v>
      </c>
      <c r="E74" s="446">
        <f t="shared" si="55"/>
        <v>4906818</v>
      </c>
      <c r="F74" s="446"/>
      <c r="G74" s="447">
        <v>296545.44</v>
      </c>
      <c r="H74" s="449"/>
      <c r="I74" s="446">
        <f t="shared" si="41"/>
        <v>4610272.5599999996</v>
      </c>
      <c r="J74" s="446">
        <v>200000</v>
      </c>
      <c r="K74" s="446">
        <v>0.2</v>
      </c>
      <c r="L74" s="446">
        <f t="shared" si="1"/>
        <v>922054.51199999999</v>
      </c>
      <c r="M74" s="446">
        <f t="shared" si="2"/>
        <v>1122054.5120000001</v>
      </c>
      <c r="N74" s="446">
        <f t="shared" si="44"/>
        <v>1418599.952</v>
      </c>
      <c r="O74" s="446">
        <f t="shared" si="45"/>
        <v>3488218.048</v>
      </c>
      <c r="P74" s="446">
        <f t="shared" si="5"/>
        <v>21000</v>
      </c>
      <c r="Q74" s="446">
        <f t="shared" si="6"/>
        <v>33000</v>
      </c>
      <c r="R74" s="446">
        <f t="shared" si="7"/>
        <v>75000</v>
      </c>
      <c r="S74" s="446">
        <f t="shared" si="8"/>
        <v>95000</v>
      </c>
      <c r="T74" s="446">
        <f t="shared" si="9"/>
        <v>336000</v>
      </c>
      <c r="U74" s="446">
        <f>0.24*(O74-3200000)</f>
        <v>69172.331520000007</v>
      </c>
      <c r="V74" s="446">
        <f t="shared" si="11"/>
        <v>629172.33152000001</v>
      </c>
      <c r="W74" s="453">
        <v>12</v>
      </c>
      <c r="X74" s="446">
        <f t="shared" si="12"/>
        <v>52431.027626666699</v>
      </c>
      <c r="Y74" s="449"/>
      <c r="Z74" s="457">
        <f t="shared" si="13"/>
        <v>52431.027626666699</v>
      </c>
      <c r="AA74" s="458">
        <v>17507.548966666702</v>
      </c>
      <c r="AB74" s="458">
        <f t="shared" si="56"/>
        <v>34923.478660000001</v>
      </c>
      <c r="AC74" s="458"/>
      <c r="AD74" s="458"/>
      <c r="AE74" s="458"/>
    </row>
    <row r="75" spans="1:31" ht="24.75" customHeight="1">
      <c r="A75" s="443"/>
      <c r="B75" s="10" t="s">
        <v>346</v>
      </c>
      <c r="C75" s="446">
        <v>363165.33333333302</v>
      </c>
      <c r="D75" s="445">
        <v>12</v>
      </c>
      <c r="E75" s="446">
        <f t="shared" si="55"/>
        <v>4357984</v>
      </c>
      <c r="F75" s="446"/>
      <c r="G75" s="447">
        <v>252638.72</v>
      </c>
      <c r="H75" s="449"/>
      <c r="I75" s="446">
        <f t="shared" si="41"/>
        <v>4105345.28</v>
      </c>
      <c r="J75" s="446">
        <v>200000</v>
      </c>
      <c r="K75" s="446">
        <v>0.2</v>
      </c>
      <c r="L75" s="446">
        <f t="shared" si="1"/>
        <v>821069.05599999998</v>
      </c>
      <c r="M75" s="446">
        <f t="shared" si="2"/>
        <v>1021069.056</v>
      </c>
      <c r="N75" s="446">
        <f t="shared" si="44"/>
        <v>1273707.7760000001</v>
      </c>
      <c r="O75" s="446">
        <f t="shared" si="45"/>
        <v>3084276.2239999999</v>
      </c>
      <c r="P75" s="446">
        <f t="shared" si="5"/>
        <v>21000</v>
      </c>
      <c r="Q75" s="446">
        <f t="shared" si="6"/>
        <v>33000</v>
      </c>
      <c r="R75" s="446">
        <f t="shared" si="7"/>
        <v>75000</v>
      </c>
      <c r="S75" s="446">
        <f t="shared" si="8"/>
        <v>95000</v>
      </c>
      <c r="T75" s="446">
        <f t="shared" si="9"/>
        <v>311698.00704</v>
      </c>
      <c r="U75" s="446"/>
      <c r="V75" s="446">
        <f t="shared" si="11"/>
        <v>535698.00704000005</v>
      </c>
      <c r="W75" s="453">
        <v>12</v>
      </c>
      <c r="X75" s="446">
        <f t="shared" si="12"/>
        <v>44641.500586666698</v>
      </c>
      <c r="Y75" s="449"/>
      <c r="Z75" s="457">
        <f t="shared" si="13"/>
        <v>44641.500586666698</v>
      </c>
      <c r="AA75" s="458">
        <v>29058.4826046667</v>
      </c>
      <c r="AB75" s="458">
        <f t="shared" si="56"/>
        <v>15583.017981999999</v>
      </c>
      <c r="AC75" s="458"/>
      <c r="AD75" s="458"/>
      <c r="AE75" s="458"/>
    </row>
    <row r="76" spans="1:31" ht="18">
      <c r="A76" s="443"/>
      <c r="B76" s="10" t="s">
        <v>347</v>
      </c>
      <c r="C76" s="446">
        <v>324459.75</v>
      </c>
      <c r="D76" s="445">
        <v>12</v>
      </c>
      <c r="E76" s="446">
        <f t="shared" si="55"/>
        <v>3893517</v>
      </c>
      <c r="F76" s="446"/>
      <c r="G76" s="447">
        <v>215481.36</v>
      </c>
      <c r="H76" s="449"/>
      <c r="I76" s="446">
        <f t="shared" si="41"/>
        <v>3678035.64</v>
      </c>
      <c r="J76" s="446">
        <v>200000</v>
      </c>
      <c r="K76" s="446">
        <v>0.2</v>
      </c>
      <c r="L76" s="446">
        <f t="shared" ref="L76" si="57">I76*K76</f>
        <v>735607.12800000003</v>
      </c>
      <c r="M76" s="446">
        <f t="shared" ref="M76" si="58">J76+L76</f>
        <v>935607.12800000003</v>
      </c>
      <c r="N76" s="446">
        <f t="shared" si="44"/>
        <v>1151088.4879999999</v>
      </c>
      <c r="O76" s="446">
        <f t="shared" si="45"/>
        <v>2742428.5120000001</v>
      </c>
      <c r="P76" s="446">
        <f t="shared" ref="P76" si="59">IF(O76&lt;300000,0.07*O76,21000)</f>
        <v>21000</v>
      </c>
      <c r="Q76" s="446">
        <f t="shared" ref="Q76" si="60">IF((O76-300000)&lt;0,0,IF((O76-300000)&lt;300000,0.11*(O76-300000),33000))</f>
        <v>33000</v>
      </c>
      <c r="R76" s="446">
        <f t="shared" ref="R76" si="61">IF((O76-600000)&lt;0,0,IF((O76-600000)&lt;500000,0.15*(O76-600000),75000))</f>
        <v>75000</v>
      </c>
      <c r="S76" s="446">
        <f t="shared" ref="S76" si="62">IF((O76-1100000)&lt;0,0,IF((O76-1100000)&lt;500000,0.19*(O76-1100000),95000))</f>
        <v>95000</v>
      </c>
      <c r="T76" s="446">
        <f t="shared" ref="T76" si="63">IF((O76-1600000)&lt;0,0,IF((O76-1600000)&lt;1600000,0.21*(O76-1600000),336000))</f>
        <v>239909.98752</v>
      </c>
      <c r="U76" s="446"/>
      <c r="V76" s="446">
        <f t="shared" ref="V76" si="64">P76+Q76+R76+S76+T76+U76</f>
        <v>463909.98752000002</v>
      </c>
      <c r="W76" s="453">
        <v>12</v>
      </c>
      <c r="X76" s="446">
        <f t="shared" ref="X76" si="65">V76/W76</f>
        <v>38659.165626666698</v>
      </c>
      <c r="Y76" s="449"/>
      <c r="Z76" s="457">
        <f t="shared" ref="Z76" si="66">X76</f>
        <v>38659.165626666698</v>
      </c>
      <c r="AA76" s="458">
        <v>24751.170462666701</v>
      </c>
      <c r="AB76" s="458">
        <f t="shared" si="56"/>
        <v>13907.995164</v>
      </c>
      <c r="AC76" s="458"/>
      <c r="AD76" s="458"/>
      <c r="AE76" s="458"/>
    </row>
    <row r="77" spans="1:31" ht="17.5">
      <c r="A77" s="443"/>
      <c r="B77" s="19" t="s">
        <v>34</v>
      </c>
      <c r="C77" s="446"/>
      <c r="D77" s="445"/>
      <c r="E77" s="446"/>
      <c r="F77" s="446"/>
      <c r="G77" s="449"/>
      <c r="H77" s="449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53"/>
      <c r="X77" s="446"/>
      <c r="Y77" s="449"/>
      <c r="Z77" s="457"/>
      <c r="AA77" s="458"/>
      <c r="AB77" s="458"/>
      <c r="AC77" s="458"/>
      <c r="AD77" s="458"/>
      <c r="AE77" s="458"/>
    </row>
    <row r="78" spans="1:31" ht="17.5">
      <c r="A78" s="443">
        <v>66</v>
      </c>
      <c r="B78" s="19"/>
      <c r="C78" s="446"/>
      <c r="D78" s="445"/>
      <c r="E78" s="446"/>
      <c r="F78" s="446"/>
      <c r="G78" s="449"/>
      <c r="H78" s="449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53"/>
      <c r="X78" s="446"/>
      <c r="Y78" s="449"/>
      <c r="Z78" s="457"/>
      <c r="AA78" s="458"/>
      <c r="AB78" s="458"/>
      <c r="AC78" s="458"/>
      <c r="AD78" s="458"/>
      <c r="AE78" s="458"/>
    </row>
    <row r="79" spans="1:31" ht="35">
      <c r="A79" s="443">
        <v>67</v>
      </c>
      <c r="B79" s="19" t="s">
        <v>56</v>
      </c>
      <c r="C79" s="446"/>
      <c r="Z79" s="460"/>
      <c r="AB79" s="274" t="s">
        <v>522</v>
      </c>
      <c r="AC79" s="458"/>
      <c r="AD79" s="458"/>
      <c r="AE79" s="458"/>
    </row>
    <row r="80" spans="1:31" s="594" customFormat="1" ht="18">
      <c r="A80" s="595">
        <v>68</v>
      </c>
      <c r="B80" s="596" t="s">
        <v>349</v>
      </c>
      <c r="C80" s="599">
        <f>880675.583333333+100000</f>
        <v>980675.58333333302</v>
      </c>
      <c r="D80" s="598">
        <v>12</v>
      </c>
      <c r="E80" s="599">
        <f>C80*D80</f>
        <v>11768107</v>
      </c>
      <c r="F80" s="599"/>
      <c r="G80" s="604">
        <v>595848.56000000006</v>
      </c>
      <c r="H80" s="605"/>
      <c r="I80" s="599">
        <f t="shared" ref="I80:I89" si="67">E80-F80-G80-H80</f>
        <v>11172258.439999999</v>
      </c>
      <c r="J80" s="599">
        <v>200000</v>
      </c>
      <c r="K80" s="599">
        <v>0.2</v>
      </c>
      <c r="L80" s="599">
        <f t="shared" ref="L80:L89" si="68">I80*K80</f>
        <v>2234451.6880000001</v>
      </c>
      <c r="M80" s="599">
        <f t="shared" ref="M80:M89" si="69">J80+L80</f>
        <v>2434451.6880000001</v>
      </c>
      <c r="N80" s="599">
        <f t="shared" ref="N80:N89" si="70">F80+G80+H80+M80</f>
        <v>3030300.2480000001</v>
      </c>
      <c r="O80" s="599">
        <f t="shared" ref="O80:O89" si="71">E80-N80</f>
        <v>8737806.7520000003</v>
      </c>
      <c r="P80" s="599">
        <f t="shared" ref="P80:P89" si="72">IF(O80&lt;300000,0.07*O80,21000)</f>
        <v>21000</v>
      </c>
      <c r="Q80" s="599">
        <f t="shared" ref="Q80:Q89" si="73">IF((O80-300000)&lt;0,0,IF((O80-300000)&lt;300000,0.11*(O80-300000),33000))</f>
        <v>33000</v>
      </c>
      <c r="R80" s="599">
        <f t="shared" ref="R80:R89" si="74">IF((O80-600000)&lt;0,0,IF((O80-600000)&lt;500000,0.15*(O80-600000),75000))</f>
        <v>75000</v>
      </c>
      <c r="S80" s="599">
        <f t="shared" ref="S80:S89" si="75">IF((O80-1100000)&lt;0,0,IF((O80-1100000)&lt;500000,0.19*(O80-1100000),95000))</f>
        <v>95000</v>
      </c>
      <c r="T80" s="599">
        <f t="shared" ref="T80:T89" si="76">IF((O80-1600000)&lt;0,0,IF((O80-1600000)&lt;1600000,0.21*(O80-1600000),336000))</f>
        <v>336000</v>
      </c>
      <c r="U80" s="599">
        <f t="shared" ref="U80:U88" si="77">24%*(O80-3200000)</f>
        <v>1329073.62048</v>
      </c>
      <c r="V80" s="599">
        <f t="shared" ref="V80:V89" si="78">P80+Q80+R80+S80+T80+U80</f>
        <v>1889073.62048</v>
      </c>
      <c r="W80" s="602">
        <v>12</v>
      </c>
      <c r="X80" s="599">
        <f t="shared" ref="X80:X89" si="79">V80/W80</f>
        <v>157422.801706667</v>
      </c>
      <c r="Y80" s="605"/>
      <c r="Z80" s="599">
        <f t="shared" ref="Z80:Z89" si="80">X80</f>
        <v>157422.801706667</v>
      </c>
      <c r="AA80" s="599">
        <v>99156.9391466667</v>
      </c>
      <c r="AB80" s="603">
        <f>Z80-AA80</f>
        <v>58265.8625599999</v>
      </c>
      <c r="AC80" s="603" t="s">
        <v>349</v>
      </c>
      <c r="AD80" s="603"/>
      <c r="AE80" s="603"/>
    </row>
    <row r="81" spans="1:31" ht="18">
      <c r="A81" s="443">
        <v>69</v>
      </c>
      <c r="B81" s="10" t="s">
        <v>350</v>
      </c>
      <c r="C81" s="446">
        <v>780675.58333333302</v>
      </c>
      <c r="D81" s="445">
        <v>12</v>
      </c>
      <c r="E81" s="446">
        <f t="shared" ref="E81:E87" si="81">C81*D81</f>
        <v>9368107</v>
      </c>
      <c r="F81" s="446">
        <f>'[5]JANUARY 2024'!$V$86*12</f>
        <v>10052.25</v>
      </c>
      <c r="G81" s="447">
        <v>595848.56000000006</v>
      </c>
      <c r="H81" s="449"/>
      <c r="I81" s="446">
        <f t="shared" si="67"/>
        <v>8762206.1899999995</v>
      </c>
      <c r="J81" s="446">
        <v>200000</v>
      </c>
      <c r="K81" s="446">
        <v>0.2</v>
      </c>
      <c r="L81" s="446">
        <f t="shared" si="68"/>
        <v>1752441.2379999999</v>
      </c>
      <c r="M81" s="446">
        <f t="shared" si="69"/>
        <v>1952441.2379999999</v>
      </c>
      <c r="N81" s="446">
        <f t="shared" si="70"/>
        <v>2558342.048</v>
      </c>
      <c r="O81" s="446">
        <f t="shared" si="71"/>
        <v>6809764.9519999996</v>
      </c>
      <c r="P81" s="446">
        <f t="shared" si="72"/>
        <v>21000</v>
      </c>
      <c r="Q81" s="446">
        <f t="shared" si="73"/>
        <v>33000</v>
      </c>
      <c r="R81" s="446">
        <f t="shared" si="74"/>
        <v>75000</v>
      </c>
      <c r="S81" s="446">
        <f t="shared" si="75"/>
        <v>95000</v>
      </c>
      <c r="T81" s="446">
        <f t="shared" si="76"/>
        <v>336000</v>
      </c>
      <c r="U81" s="446">
        <f t="shared" si="77"/>
        <v>866343.58848000003</v>
      </c>
      <c r="V81" s="446">
        <f t="shared" si="78"/>
        <v>1426343.5884799999</v>
      </c>
      <c r="W81" s="453">
        <v>12</v>
      </c>
      <c r="X81" s="446">
        <f t="shared" si="79"/>
        <v>118861.965706667</v>
      </c>
      <c r="Y81" s="449"/>
      <c r="Z81" s="457">
        <f t="shared" si="80"/>
        <v>118861.965706667</v>
      </c>
      <c r="AA81" s="446">
        <v>98996.103146666705</v>
      </c>
      <c r="AB81" s="458">
        <f t="shared" ref="AB81:AB87" si="82">Z81-AA81</f>
        <v>19865.862560000001</v>
      </c>
      <c r="AC81" s="458" t="s">
        <v>350</v>
      </c>
      <c r="AD81" s="458"/>
      <c r="AE81" s="458"/>
    </row>
    <row r="82" spans="1:31" ht="36">
      <c r="A82" s="443">
        <v>70</v>
      </c>
      <c r="B82" s="10" t="s">
        <v>351</v>
      </c>
      <c r="C82" s="446">
        <v>742118.08333333302</v>
      </c>
      <c r="D82" s="445">
        <v>12</v>
      </c>
      <c r="E82" s="446">
        <f t="shared" si="81"/>
        <v>8905417</v>
      </c>
      <c r="F82" s="446"/>
      <c r="G82" s="447">
        <v>558833.36</v>
      </c>
      <c r="H82" s="449"/>
      <c r="I82" s="446">
        <f t="shared" si="67"/>
        <v>8346583.6399999997</v>
      </c>
      <c r="J82" s="446">
        <v>200000</v>
      </c>
      <c r="K82" s="446">
        <v>0.2</v>
      </c>
      <c r="L82" s="446">
        <f t="shared" si="68"/>
        <v>1669316.7279999999</v>
      </c>
      <c r="M82" s="446">
        <f t="shared" si="69"/>
        <v>1869316.7279999999</v>
      </c>
      <c r="N82" s="446">
        <f t="shared" si="70"/>
        <v>2428150.088</v>
      </c>
      <c r="O82" s="446">
        <f t="shared" si="71"/>
        <v>6477266.9119999995</v>
      </c>
      <c r="P82" s="446">
        <f t="shared" si="72"/>
        <v>21000</v>
      </c>
      <c r="Q82" s="446">
        <f t="shared" si="73"/>
        <v>33000</v>
      </c>
      <c r="R82" s="446">
        <f t="shared" si="74"/>
        <v>75000</v>
      </c>
      <c r="S82" s="446">
        <f t="shared" si="75"/>
        <v>95000</v>
      </c>
      <c r="T82" s="446">
        <f t="shared" si="76"/>
        <v>336000</v>
      </c>
      <c r="U82" s="446">
        <f t="shared" si="77"/>
        <v>786544.05888000003</v>
      </c>
      <c r="V82" s="446">
        <f t="shared" si="78"/>
        <v>1346544.0588799999</v>
      </c>
      <c r="W82" s="453">
        <v>12</v>
      </c>
      <c r="X82" s="446">
        <f t="shared" si="79"/>
        <v>112212.004906667</v>
      </c>
      <c r="Y82" s="449"/>
      <c r="Z82" s="457">
        <f t="shared" si="80"/>
        <v>112212.004906667</v>
      </c>
      <c r="AA82" s="446">
        <v>79956.9391466667</v>
      </c>
      <c r="AB82" s="458">
        <f t="shared" si="82"/>
        <v>32255.065760000001</v>
      </c>
      <c r="AC82" s="458" t="s">
        <v>351</v>
      </c>
      <c r="AD82" s="458"/>
      <c r="AE82" s="458"/>
    </row>
    <row r="83" spans="1:31" ht="18">
      <c r="A83" s="443">
        <v>71</v>
      </c>
      <c r="B83" s="10" t="s">
        <v>352</v>
      </c>
      <c r="C83" s="446">
        <v>561804.91666666698</v>
      </c>
      <c r="D83" s="445">
        <v>12</v>
      </c>
      <c r="E83" s="446">
        <f t="shared" si="81"/>
        <v>6741659</v>
      </c>
      <c r="F83" s="446"/>
      <c r="G83" s="447">
        <v>424132.72</v>
      </c>
      <c r="H83" s="449"/>
      <c r="I83" s="446">
        <f t="shared" si="67"/>
        <v>6317526.2800000003</v>
      </c>
      <c r="J83" s="446">
        <v>200000</v>
      </c>
      <c r="K83" s="446">
        <v>0.2</v>
      </c>
      <c r="L83" s="446">
        <f t="shared" si="68"/>
        <v>1263505.2560000001</v>
      </c>
      <c r="M83" s="446">
        <f t="shared" si="69"/>
        <v>1463505.2560000001</v>
      </c>
      <c r="N83" s="446">
        <f t="shared" si="70"/>
        <v>1887637.976</v>
      </c>
      <c r="O83" s="446">
        <f t="shared" si="71"/>
        <v>4854021.0240000002</v>
      </c>
      <c r="P83" s="446">
        <f t="shared" si="72"/>
        <v>21000</v>
      </c>
      <c r="Q83" s="446">
        <f t="shared" si="73"/>
        <v>33000</v>
      </c>
      <c r="R83" s="446">
        <f t="shared" si="74"/>
        <v>75000</v>
      </c>
      <c r="S83" s="446">
        <f t="shared" si="75"/>
        <v>95000</v>
      </c>
      <c r="T83" s="446">
        <f t="shared" si="76"/>
        <v>336000</v>
      </c>
      <c r="U83" s="446">
        <f t="shared" si="77"/>
        <v>396965.04576000001</v>
      </c>
      <c r="V83" s="446">
        <f t="shared" si="78"/>
        <v>956965.04576000001</v>
      </c>
      <c r="W83" s="453">
        <v>12</v>
      </c>
      <c r="X83" s="446">
        <f t="shared" si="79"/>
        <v>79747.087146666701</v>
      </c>
      <c r="Y83" s="449"/>
      <c r="Z83" s="457">
        <f t="shared" si="80"/>
        <v>79747.087146666701</v>
      </c>
      <c r="AA83" s="446">
        <v>75574.677290666703</v>
      </c>
      <c r="AB83" s="458">
        <f t="shared" si="82"/>
        <v>4172.4098559999802</v>
      </c>
      <c r="AC83" s="458" t="s">
        <v>352</v>
      </c>
      <c r="AD83" s="458"/>
      <c r="AE83" s="458"/>
    </row>
    <row r="84" spans="1:31" ht="18">
      <c r="A84" s="443">
        <v>72</v>
      </c>
      <c r="B84" s="10" t="s">
        <v>354</v>
      </c>
      <c r="C84" s="446">
        <v>548915.91666666698</v>
      </c>
      <c r="D84" s="445">
        <v>12</v>
      </c>
      <c r="E84" s="446">
        <f t="shared" si="81"/>
        <v>6586991</v>
      </c>
      <c r="F84" s="446"/>
      <c r="G84" s="447">
        <v>411759.28</v>
      </c>
      <c r="H84" s="449"/>
      <c r="I84" s="446">
        <f t="shared" si="67"/>
        <v>6175231.7199999997</v>
      </c>
      <c r="J84" s="446">
        <v>200000</v>
      </c>
      <c r="K84" s="446">
        <v>0.2</v>
      </c>
      <c r="L84" s="446">
        <f t="shared" si="68"/>
        <v>1235046.344</v>
      </c>
      <c r="M84" s="446">
        <f t="shared" si="69"/>
        <v>1435046.344</v>
      </c>
      <c r="N84" s="446">
        <f t="shared" si="70"/>
        <v>1846805.6240000001</v>
      </c>
      <c r="O84" s="446">
        <f t="shared" si="71"/>
        <v>4740185.3760000002</v>
      </c>
      <c r="P84" s="446">
        <f t="shared" si="72"/>
        <v>21000</v>
      </c>
      <c r="Q84" s="446">
        <f t="shared" si="73"/>
        <v>33000</v>
      </c>
      <c r="R84" s="446">
        <f t="shared" si="74"/>
        <v>75000</v>
      </c>
      <c r="S84" s="446">
        <f t="shared" si="75"/>
        <v>95000</v>
      </c>
      <c r="T84" s="446">
        <f t="shared" si="76"/>
        <v>336000</v>
      </c>
      <c r="U84" s="446">
        <f t="shared" si="77"/>
        <v>369644.49024000001</v>
      </c>
      <c r="V84" s="446">
        <f t="shared" si="78"/>
        <v>929644.49023999996</v>
      </c>
      <c r="W84" s="453">
        <v>12</v>
      </c>
      <c r="X84" s="446">
        <f t="shared" si="79"/>
        <v>77470.374186666697</v>
      </c>
      <c r="Y84" s="449"/>
      <c r="Z84" s="457">
        <f t="shared" si="80"/>
        <v>77470.374186666697</v>
      </c>
      <c r="AA84" s="446">
        <v>50985.977546666698</v>
      </c>
      <c r="AB84" s="458">
        <f t="shared" si="82"/>
        <v>26484.396639999999</v>
      </c>
      <c r="AC84" s="458" t="s">
        <v>354</v>
      </c>
      <c r="AD84" s="458"/>
      <c r="AE84" s="458"/>
    </row>
    <row r="85" spans="1:31" ht="36">
      <c r="A85" s="443">
        <v>73</v>
      </c>
      <c r="B85" s="10" t="s">
        <v>355</v>
      </c>
      <c r="C85" s="446">
        <v>568870.75</v>
      </c>
      <c r="D85" s="445">
        <v>12</v>
      </c>
      <c r="E85" s="446">
        <f t="shared" si="81"/>
        <v>6826449</v>
      </c>
      <c r="F85" s="446"/>
      <c r="G85" s="447">
        <v>411715.92</v>
      </c>
      <c r="H85" s="449"/>
      <c r="I85" s="446">
        <f t="shared" si="67"/>
        <v>6414733.0800000001</v>
      </c>
      <c r="J85" s="446">
        <v>200000</v>
      </c>
      <c r="K85" s="446">
        <v>0.2</v>
      </c>
      <c r="L85" s="446">
        <f t="shared" si="68"/>
        <v>1282946.6159999999</v>
      </c>
      <c r="M85" s="446">
        <f t="shared" si="69"/>
        <v>1482946.6159999999</v>
      </c>
      <c r="N85" s="446">
        <f t="shared" si="70"/>
        <v>1894662.5360000001</v>
      </c>
      <c r="O85" s="446">
        <f t="shared" si="71"/>
        <v>4931786.4639999997</v>
      </c>
      <c r="P85" s="446">
        <f t="shared" si="72"/>
        <v>21000</v>
      </c>
      <c r="Q85" s="446">
        <f t="shared" si="73"/>
        <v>33000</v>
      </c>
      <c r="R85" s="446">
        <f t="shared" si="74"/>
        <v>75000</v>
      </c>
      <c r="S85" s="446">
        <f t="shared" si="75"/>
        <v>95000</v>
      </c>
      <c r="T85" s="446">
        <f t="shared" si="76"/>
        <v>336000</v>
      </c>
      <c r="U85" s="446">
        <f t="shared" si="77"/>
        <v>415628.75135999999</v>
      </c>
      <c r="V85" s="446">
        <f t="shared" si="78"/>
        <v>975628.75135999999</v>
      </c>
      <c r="W85" s="453">
        <v>12</v>
      </c>
      <c r="X85" s="446">
        <f t="shared" si="79"/>
        <v>81302.3959466667</v>
      </c>
      <c r="Y85" s="449"/>
      <c r="Z85" s="446">
        <f t="shared" si="80"/>
        <v>81302.3959466667</v>
      </c>
      <c r="AA85" s="457">
        <v>49548.776186666699</v>
      </c>
      <c r="AB85" s="458">
        <f t="shared" si="82"/>
        <v>31753.619760000001</v>
      </c>
      <c r="AC85" s="458" t="s">
        <v>355</v>
      </c>
      <c r="AD85" s="458"/>
      <c r="AE85" s="458"/>
    </row>
    <row r="86" spans="1:31" ht="18">
      <c r="A86" s="443">
        <v>74</v>
      </c>
      <c r="B86" s="10" t="s">
        <v>357</v>
      </c>
      <c r="C86" s="446">
        <v>475703.83333333302</v>
      </c>
      <c r="D86" s="445">
        <v>12</v>
      </c>
      <c r="E86" s="446">
        <f t="shared" si="81"/>
        <v>5708446</v>
      </c>
      <c r="F86" s="446"/>
      <c r="G86" s="452">
        <f>29256.3066666667*12</f>
        <v>351075.68</v>
      </c>
      <c r="H86" s="449"/>
      <c r="I86" s="446">
        <f t="shared" si="67"/>
        <v>5357370.32</v>
      </c>
      <c r="J86" s="446">
        <v>200000</v>
      </c>
      <c r="K86" s="446">
        <v>0.2</v>
      </c>
      <c r="L86" s="446">
        <f t="shared" si="68"/>
        <v>1071474.064</v>
      </c>
      <c r="M86" s="446">
        <f t="shared" si="69"/>
        <v>1271474.064</v>
      </c>
      <c r="N86" s="446">
        <f t="shared" si="70"/>
        <v>1622549.7439999999</v>
      </c>
      <c r="O86" s="446">
        <f t="shared" si="71"/>
        <v>4085896.2560000001</v>
      </c>
      <c r="P86" s="446">
        <f t="shared" si="72"/>
        <v>21000</v>
      </c>
      <c r="Q86" s="446">
        <f t="shared" si="73"/>
        <v>33000</v>
      </c>
      <c r="R86" s="446">
        <f t="shared" si="74"/>
        <v>75000</v>
      </c>
      <c r="S86" s="446">
        <f t="shared" si="75"/>
        <v>95000</v>
      </c>
      <c r="T86" s="446">
        <f t="shared" si="76"/>
        <v>336000</v>
      </c>
      <c r="U86" s="446">
        <f t="shared" si="77"/>
        <v>212615.10144</v>
      </c>
      <c r="V86" s="446">
        <f t="shared" si="78"/>
        <v>772615.10144</v>
      </c>
      <c r="W86" s="453">
        <v>12</v>
      </c>
      <c r="X86" s="446">
        <f t="shared" si="79"/>
        <v>64384.591786666701</v>
      </c>
      <c r="Y86" s="449"/>
      <c r="Z86" s="457">
        <f t="shared" si="80"/>
        <v>64384.591786666701</v>
      </c>
      <c r="AA86" s="446">
        <v>53384.053562666697</v>
      </c>
      <c r="AB86" s="458">
        <f t="shared" si="82"/>
        <v>11000.538224</v>
      </c>
      <c r="AC86" s="458" t="s">
        <v>357</v>
      </c>
      <c r="AD86" s="458"/>
      <c r="AE86" s="458"/>
    </row>
    <row r="87" spans="1:31" ht="24" customHeight="1">
      <c r="A87" s="443">
        <v>75</v>
      </c>
      <c r="B87" s="10" t="s">
        <v>358</v>
      </c>
      <c r="C87" s="446">
        <v>510248.91666666698</v>
      </c>
      <c r="D87" s="445">
        <v>12</v>
      </c>
      <c r="E87" s="446">
        <f t="shared" si="81"/>
        <v>6122987</v>
      </c>
      <c r="F87" s="446">
        <f>'[5]JANUARY 2024'!$V$92*12</f>
        <v>6922.4970000000003</v>
      </c>
      <c r="G87" s="447">
        <v>374638.96</v>
      </c>
      <c r="H87" s="449"/>
      <c r="I87" s="446">
        <f t="shared" si="67"/>
        <v>5741425.5429999996</v>
      </c>
      <c r="J87" s="446">
        <v>200000</v>
      </c>
      <c r="K87" s="446">
        <v>0.2</v>
      </c>
      <c r="L87" s="446">
        <f t="shared" si="68"/>
        <v>1148285.1085999999</v>
      </c>
      <c r="M87" s="446">
        <f t="shared" si="69"/>
        <v>1348285.1085999999</v>
      </c>
      <c r="N87" s="446">
        <f t="shared" si="70"/>
        <v>1729846.5656000001</v>
      </c>
      <c r="O87" s="446">
        <f t="shared" si="71"/>
        <v>4393140.4343999997</v>
      </c>
      <c r="P87" s="446">
        <f t="shared" si="72"/>
        <v>21000</v>
      </c>
      <c r="Q87" s="446">
        <f t="shared" si="73"/>
        <v>33000</v>
      </c>
      <c r="R87" s="446">
        <f t="shared" si="74"/>
        <v>75000</v>
      </c>
      <c r="S87" s="446">
        <f t="shared" si="75"/>
        <v>95000</v>
      </c>
      <c r="T87" s="446">
        <f t="shared" si="76"/>
        <v>336000</v>
      </c>
      <c r="U87" s="446">
        <f t="shared" si="77"/>
        <v>286353.704256</v>
      </c>
      <c r="V87" s="446">
        <f t="shared" si="78"/>
        <v>846353.704256</v>
      </c>
      <c r="W87" s="453">
        <v>12</v>
      </c>
      <c r="X87" s="446">
        <f t="shared" si="79"/>
        <v>70529.475354666705</v>
      </c>
      <c r="Y87" s="449"/>
      <c r="Z87" s="446">
        <f t="shared" si="80"/>
        <v>70529.475354666705</v>
      </c>
      <c r="AA87" s="461">
        <v>41242.0361406667</v>
      </c>
      <c r="AB87" s="458">
        <f t="shared" si="82"/>
        <v>29287.439214000002</v>
      </c>
      <c r="AC87" s="458" t="s">
        <v>358</v>
      </c>
      <c r="AD87" s="458"/>
      <c r="AE87" s="458"/>
    </row>
    <row r="88" spans="1:31" ht="18">
      <c r="A88" s="443">
        <v>76</v>
      </c>
      <c r="B88" s="10" t="s">
        <v>359</v>
      </c>
      <c r="C88" s="446">
        <v>400965.58333333302</v>
      </c>
      <c r="D88" s="445">
        <v>12</v>
      </c>
      <c r="E88" s="446">
        <f t="shared" ref="E88:E89" si="83">C88*D88</f>
        <v>4811587</v>
      </c>
      <c r="F88" s="446"/>
      <c r="G88" s="447">
        <v>288926.96000000002</v>
      </c>
      <c r="H88" s="449"/>
      <c r="I88" s="446">
        <f t="shared" si="67"/>
        <v>4522660.04</v>
      </c>
      <c r="J88" s="446">
        <v>200000</v>
      </c>
      <c r="K88" s="446">
        <v>0.2</v>
      </c>
      <c r="L88" s="446">
        <f t="shared" si="68"/>
        <v>904532.00800000003</v>
      </c>
      <c r="M88" s="446">
        <f t="shared" si="69"/>
        <v>1104532.0079999999</v>
      </c>
      <c r="N88" s="446">
        <f t="shared" si="70"/>
        <v>1393458.9680000001</v>
      </c>
      <c r="O88" s="446">
        <f t="shared" si="71"/>
        <v>3418128.0320000001</v>
      </c>
      <c r="P88" s="446">
        <f t="shared" si="72"/>
        <v>21000</v>
      </c>
      <c r="Q88" s="446">
        <f t="shared" si="73"/>
        <v>33000</v>
      </c>
      <c r="R88" s="446">
        <f t="shared" si="74"/>
        <v>75000</v>
      </c>
      <c r="S88" s="446">
        <f t="shared" si="75"/>
        <v>95000</v>
      </c>
      <c r="T88" s="446">
        <f t="shared" si="76"/>
        <v>336000</v>
      </c>
      <c r="U88" s="446">
        <f t="shared" si="77"/>
        <v>52350.727680000004</v>
      </c>
      <c r="V88" s="446">
        <f t="shared" si="78"/>
        <v>612350.72768000001</v>
      </c>
      <c r="W88" s="453">
        <v>12</v>
      </c>
      <c r="X88" s="446">
        <f t="shared" si="79"/>
        <v>51029.227306666697</v>
      </c>
      <c r="Y88" s="449"/>
      <c r="Z88" s="457">
        <f t="shared" si="80"/>
        <v>51029.227306666697</v>
      </c>
      <c r="AA88" s="446">
        <v>45414.4562526667</v>
      </c>
      <c r="AB88" s="458">
        <f t="shared" ref="AB88:AB89" si="84">Z88-AA88</f>
        <v>5614.7710539999998</v>
      </c>
      <c r="AC88" s="458" t="s">
        <v>359</v>
      </c>
      <c r="AD88" s="458"/>
      <c r="AE88" s="458"/>
    </row>
    <row r="89" spans="1:31" ht="18">
      <c r="A89" s="443"/>
      <c r="B89" s="10" t="s">
        <v>361</v>
      </c>
      <c r="C89" s="446">
        <v>330631.91666666698</v>
      </c>
      <c r="D89" s="445">
        <v>12</v>
      </c>
      <c r="E89" s="446">
        <f t="shared" si="83"/>
        <v>3967583</v>
      </c>
      <c r="F89" s="446"/>
      <c r="G89" s="447">
        <v>221406.64</v>
      </c>
      <c r="H89" s="449"/>
      <c r="I89" s="446">
        <f t="shared" si="67"/>
        <v>3746176.36</v>
      </c>
      <c r="J89" s="446">
        <v>200000</v>
      </c>
      <c r="K89" s="446">
        <v>0.2</v>
      </c>
      <c r="L89" s="446">
        <f t="shared" si="68"/>
        <v>749235.272</v>
      </c>
      <c r="M89" s="446">
        <f t="shared" si="69"/>
        <v>949235.272</v>
      </c>
      <c r="N89" s="446">
        <f t="shared" si="70"/>
        <v>1170641.912</v>
      </c>
      <c r="O89" s="446">
        <f t="shared" si="71"/>
        <v>2796941.088</v>
      </c>
      <c r="P89" s="446">
        <f t="shared" si="72"/>
        <v>21000</v>
      </c>
      <c r="Q89" s="446">
        <f t="shared" si="73"/>
        <v>33000</v>
      </c>
      <c r="R89" s="446">
        <f t="shared" si="74"/>
        <v>75000</v>
      </c>
      <c r="S89" s="446">
        <f t="shared" si="75"/>
        <v>95000</v>
      </c>
      <c r="T89" s="446">
        <f t="shared" si="76"/>
        <v>251357.62848000001</v>
      </c>
      <c r="U89" s="446"/>
      <c r="V89" s="446">
        <f t="shared" si="78"/>
        <v>475357.62848000001</v>
      </c>
      <c r="W89" s="453">
        <v>12</v>
      </c>
      <c r="X89" s="446">
        <f t="shared" si="79"/>
        <v>39613.135706666697</v>
      </c>
      <c r="Y89" s="449"/>
      <c r="Z89" s="457">
        <f t="shared" si="80"/>
        <v>39613.135706666697</v>
      </c>
      <c r="AA89" s="446">
        <v>33825.986562666702</v>
      </c>
      <c r="AB89" s="458">
        <f t="shared" si="84"/>
        <v>5787.149144</v>
      </c>
      <c r="AC89" s="458" t="s">
        <v>361</v>
      </c>
      <c r="AD89" s="458"/>
      <c r="AE89" s="458"/>
    </row>
    <row r="90" spans="1:31" ht="17.5">
      <c r="A90" s="443"/>
      <c r="B90" s="19"/>
      <c r="C90" s="446"/>
      <c r="D90" s="445"/>
      <c r="E90" s="446"/>
      <c r="F90" s="446"/>
      <c r="G90" s="449"/>
      <c r="H90" s="449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53"/>
      <c r="X90" s="446"/>
      <c r="Y90" s="449"/>
      <c r="Z90" s="457"/>
      <c r="AA90" s="458"/>
      <c r="AB90" s="458"/>
      <c r="AC90" s="458"/>
      <c r="AD90" s="458"/>
      <c r="AE90" s="458"/>
    </row>
    <row r="91" spans="1:31" ht="17.5">
      <c r="A91" s="443"/>
      <c r="B91" s="21"/>
      <c r="C91" s="446"/>
      <c r="D91" s="445"/>
      <c r="E91" s="446"/>
      <c r="F91" s="446"/>
      <c r="G91" s="449"/>
      <c r="H91" s="449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53"/>
      <c r="X91" s="446"/>
      <c r="Y91" s="449"/>
      <c r="Z91" s="457"/>
      <c r="AA91" s="458"/>
      <c r="AB91" s="458"/>
      <c r="AC91" s="458"/>
      <c r="AD91" s="458"/>
      <c r="AE91" s="458"/>
    </row>
    <row r="92" spans="1:31" ht="17.5">
      <c r="A92" s="443">
        <v>78</v>
      </c>
      <c r="B92" s="19" t="s">
        <v>58</v>
      </c>
      <c r="C92" s="446"/>
      <c r="Z92" s="460"/>
      <c r="AC92" s="458"/>
      <c r="AD92" s="458"/>
      <c r="AE92" s="458"/>
    </row>
    <row r="93" spans="1:31" ht="36">
      <c r="A93" s="443">
        <v>79</v>
      </c>
      <c r="B93" s="13" t="s">
        <v>363</v>
      </c>
      <c r="C93" s="446">
        <v>1452042.67</v>
      </c>
      <c r="D93" s="445">
        <v>12</v>
      </c>
      <c r="E93" s="446">
        <f>C93*D93</f>
        <v>17424512.039999999</v>
      </c>
      <c r="F93" s="446">
        <f>'[5]JANUARY 2024'!$V$98*12</f>
        <v>12795.950999999999</v>
      </c>
      <c r="G93" s="447">
        <f>(0.08*1352042.67)*12</f>
        <v>1297960.9632000001</v>
      </c>
      <c r="H93" s="449"/>
      <c r="I93" s="446">
        <f>E93-F93-G93-H93</f>
        <v>16113755.125800001</v>
      </c>
      <c r="J93" s="446">
        <v>200000</v>
      </c>
      <c r="K93" s="446">
        <v>0.2</v>
      </c>
      <c r="L93" s="446">
        <f>I93*K93</f>
        <v>3222751.0251600002</v>
      </c>
      <c r="M93" s="446">
        <f>J93+L93</f>
        <v>3422751.0251600002</v>
      </c>
      <c r="N93" s="446">
        <f>F93+G93+H93+M93</f>
        <v>4733507.9393600002</v>
      </c>
      <c r="O93" s="446">
        <f>E93-N93</f>
        <v>12691004.100640001</v>
      </c>
      <c r="P93" s="446">
        <f>IF(O93&lt;300000,0.07*O93,21000)</f>
        <v>21000</v>
      </c>
      <c r="Q93" s="446">
        <f>IF((O93-300000)&lt;0,0,IF((O93-300000)&lt;300000,0.11*(O93-300000),33000))</f>
        <v>33000</v>
      </c>
      <c r="R93" s="446">
        <f>IF((O93-600000)&lt;0,0,IF((O93-600000)&lt;500000,0.15*(O93-600000),75000))</f>
        <v>75000</v>
      </c>
      <c r="S93" s="446">
        <f>IF((O93-1100000)&lt;0,0,IF((O93-1100000)&lt;500000,0.19*(O93-1100000),95000))</f>
        <v>95000</v>
      </c>
      <c r="T93" s="446">
        <f>IF((O93-1600000)&lt;0,0,IF((O93-1600000)&lt;1600000,0.21*(O93-1600000),336000))</f>
        <v>336000</v>
      </c>
      <c r="U93" s="446">
        <f>24%*(O93-3200000)</f>
        <v>2277840.9841535999</v>
      </c>
      <c r="V93" s="446">
        <f>P93+Q93+R93+S93+T93+U93</f>
        <v>2837840.9841535999</v>
      </c>
      <c r="W93" s="453">
        <v>12</v>
      </c>
      <c r="X93" s="446">
        <f>V93/W93</f>
        <v>236486.74867946701</v>
      </c>
      <c r="Y93" s="449"/>
      <c r="Z93" s="457">
        <f>X93</f>
        <v>236486.74867946701</v>
      </c>
      <c r="AA93" s="458">
        <v>82423.216202666707</v>
      </c>
      <c r="AB93" s="458">
        <f>Z93-AA93</f>
        <v>154063.5324768</v>
      </c>
      <c r="AC93" s="458" t="s">
        <v>363</v>
      </c>
      <c r="AD93" s="458"/>
      <c r="AE93" s="458"/>
    </row>
    <row r="94" spans="1:31" ht="18">
      <c r="A94" s="443">
        <v>80</v>
      </c>
      <c r="B94" s="10" t="s">
        <v>366</v>
      </c>
      <c r="C94" s="446">
        <v>526622.25</v>
      </c>
      <c r="D94" s="445">
        <v>12</v>
      </c>
      <c r="E94" s="446">
        <f t="shared" ref="E94:E96" si="85">C94*D94</f>
        <v>6319467</v>
      </c>
      <c r="F94" s="446"/>
      <c r="G94" s="447">
        <v>438357.36</v>
      </c>
      <c r="H94" s="449"/>
      <c r="I94" s="446">
        <f>E94-F94-G94-H94</f>
        <v>5881109.6399999997</v>
      </c>
      <c r="J94" s="446">
        <v>200000</v>
      </c>
      <c r="K94" s="446">
        <v>0.2</v>
      </c>
      <c r="L94" s="446">
        <f>I94*K94</f>
        <v>1176221.9280000001</v>
      </c>
      <c r="M94" s="446">
        <f>J94+L94</f>
        <v>1376221.9280000001</v>
      </c>
      <c r="N94" s="446">
        <f>F94+G94+H94+M94</f>
        <v>1814579.2879999999</v>
      </c>
      <c r="O94" s="446">
        <f>E94-N94</f>
        <v>4504887.7120000003</v>
      </c>
      <c r="P94" s="446">
        <f>IF(O94&lt;300000,0.07*O94,21000)</f>
        <v>21000</v>
      </c>
      <c r="Q94" s="446">
        <f>IF((O94-300000)&lt;0,0,IF((O94-300000)&lt;300000,0.11*(O94-300000),33000))</f>
        <v>33000</v>
      </c>
      <c r="R94" s="446">
        <f>IF((O94-600000)&lt;0,0,IF((O94-600000)&lt;500000,0.15*(O94-600000),75000))</f>
        <v>75000</v>
      </c>
      <c r="S94" s="446">
        <f>IF((O94-1100000)&lt;0,0,IF((O94-1100000)&lt;500000,0.19*(O94-1100000),95000))</f>
        <v>95000</v>
      </c>
      <c r="T94" s="446">
        <f>IF((O94-1600000)&lt;0,0,IF((O94-1600000)&lt;1600000,0.21*(O94-1600000),336000))</f>
        <v>336000</v>
      </c>
      <c r="U94" s="446">
        <f t="shared" ref="U94:U95" si="86">24%*(O94-3200000)</f>
        <v>313173.05088</v>
      </c>
      <c r="V94" s="446">
        <f>P94+Q94+R94+S94+T94+U94</f>
        <v>873173.05088</v>
      </c>
      <c r="W94" s="453">
        <v>12</v>
      </c>
      <c r="X94" s="446">
        <f>V94/W94</f>
        <v>72764.420906666695</v>
      </c>
      <c r="Y94" s="449"/>
      <c r="Z94" s="457">
        <f>X94</f>
        <v>72764.420906666695</v>
      </c>
      <c r="AA94" s="458">
        <v>82627.951418666693</v>
      </c>
      <c r="AB94" s="458">
        <f t="shared" ref="AB94:AB96" si="87">Z94-AA94</f>
        <v>-9863.5305120000303</v>
      </c>
      <c r="AC94" s="458" t="s">
        <v>366</v>
      </c>
      <c r="AD94" s="458"/>
      <c r="AE94" s="458"/>
    </row>
    <row r="95" spans="1:31" ht="36">
      <c r="A95" s="443">
        <v>81</v>
      </c>
      <c r="B95" s="10" t="s">
        <v>368</v>
      </c>
      <c r="C95" s="446">
        <v>437895.16666666698</v>
      </c>
      <c r="D95" s="445">
        <v>12</v>
      </c>
      <c r="E95" s="446">
        <f t="shared" si="85"/>
        <v>5254742</v>
      </c>
      <c r="F95" s="446"/>
      <c r="G95" s="447">
        <v>362779.36</v>
      </c>
      <c r="H95" s="449"/>
      <c r="I95" s="446">
        <f>E95-F95-G95-H95</f>
        <v>4891962.6399999997</v>
      </c>
      <c r="J95" s="446">
        <v>200000</v>
      </c>
      <c r="K95" s="446">
        <v>0.2</v>
      </c>
      <c r="L95" s="446">
        <f>I95*K95</f>
        <v>978392.52800000005</v>
      </c>
      <c r="M95" s="446">
        <f>J95+L95</f>
        <v>1178392.5279999999</v>
      </c>
      <c r="N95" s="446">
        <f>F95+G95+H95+M95</f>
        <v>1541171.888</v>
      </c>
      <c r="O95" s="446">
        <f>E95-N95</f>
        <v>3713570.1120000002</v>
      </c>
      <c r="P95" s="446">
        <f>IF(O95&lt;300000,0.07*O95,21000)</f>
        <v>21000</v>
      </c>
      <c r="Q95" s="446">
        <f>IF((O95-300000)&lt;0,0,IF((O95-300000)&lt;300000,0.11*(O95-300000),33000))</f>
        <v>33000</v>
      </c>
      <c r="R95" s="446">
        <f>IF((O95-600000)&lt;0,0,IF((O95-600000)&lt;500000,0.15*(O95-600000),75000))</f>
        <v>75000</v>
      </c>
      <c r="S95" s="446">
        <f>IF((O95-1100000)&lt;0,0,IF((O95-1100000)&lt;500000,0.19*(O95-1100000),95000))</f>
        <v>95000</v>
      </c>
      <c r="T95" s="446">
        <f>IF((O95-1600000)&lt;0,0,IF((O95-1600000)&lt;1600000,0.21*(O95-1600000),336000))</f>
        <v>336000</v>
      </c>
      <c r="U95" s="446">
        <f t="shared" si="86"/>
        <v>123256.82687999999</v>
      </c>
      <c r="V95" s="446">
        <f>P95+Q95+R95+S95+T95+U95</f>
        <v>683256.82687999995</v>
      </c>
      <c r="W95" s="453">
        <v>12</v>
      </c>
      <c r="X95" s="446">
        <f>V95/W95</f>
        <v>56938.068906666696</v>
      </c>
      <c r="Y95" s="449"/>
      <c r="Z95" s="457">
        <f>X95</f>
        <v>56938.068906666696</v>
      </c>
      <c r="AA95" s="458">
        <v>43492.373376666699</v>
      </c>
      <c r="AB95" s="458">
        <f t="shared" si="87"/>
        <v>13445.695530000001</v>
      </c>
      <c r="AC95" s="458" t="s">
        <v>368</v>
      </c>
      <c r="AD95" s="458"/>
      <c r="AE95" s="458"/>
    </row>
    <row r="96" spans="1:31" ht="18">
      <c r="A96" s="443"/>
      <c r="B96" s="10" t="s">
        <v>370</v>
      </c>
      <c r="C96" s="446">
        <v>360965.58333333302</v>
      </c>
      <c r="D96" s="445">
        <v>12</v>
      </c>
      <c r="E96" s="446">
        <f t="shared" si="85"/>
        <v>4331587</v>
      </c>
      <c r="F96" s="446"/>
      <c r="G96" s="447">
        <v>288926.96000000002</v>
      </c>
      <c r="H96" s="449"/>
      <c r="I96" s="446">
        <f>E96-F96-G96-H96</f>
        <v>4042660.04</v>
      </c>
      <c r="J96" s="446">
        <v>200000</v>
      </c>
      <c r="K96" s="446">
        <v>0.2</v>
      </c>
      <c r="L96" s="446">
        <f>I96*K96</f>
        <v>808532.00800000003</v>
      </c>
      <c r="M96" s="446">
        <f>J96+L96</f>
        <v>1008532.008</v>
      </c>
      <c r="N96" s="446">
        <f>F96+G96+H96+M96</f>
        <v>1297458.9680000001</v>
      </c>
      <c r="O96" s="446">
        <f>E96-N96</f>
        <v>3034128.0320000001</v>
      </c>
      <c r="P96" s="446">
        <f>IF(O96&lt;300000,0.07*O96,21000)</f>
        <v>21000</v>
      </c>
      <c r="Q96" s="446">
        <f>IF((O96-300000)&lt;0,0,IF((O96-300000)&lt;300000,0.11*(O96-300000),33000))</f>
        <v>33000</v>
      </c>
      <c r="R96" s="446">
        <f>IF((O96-600000)&lt;0,0,IF((O96-600000)&lt;500000,0.15*(O96-600000),75000))</f>
        <v>75000</v>
      </c>
      <c r="S96" s="446">
        <f>IF((O96-1100000)&lt;0,0,IF((O96-1100000)&lt;500000,0.19*(O96-1100000),95000))</f>
        <v>95000</v>
      </c>
      <c r="T96" s="446">
        <f>IF((O96-1600000)&lt;0,0,IF((O96-1600000)&lt;1600000,0.21*(O96-1600000),336000))</f>
        <v>301166.88672000001</v>
      </c>
      <c r="U96" s="446"/>
      <c r="V96" s="446">
        <f>P96+Q96+R96+S96+T96+U96</f>
        <v>525166.88671999995</v>
      </c>
      <c r="W96" s="453">
        <v>12</v>
      </c>
      <c r="X96" s="446">
        <f>V96/W96</f>
        <v>43763.907226666699</v>
      </c>
      <c r="Y96" s="449"/>
      <c r="Z96" s="457">
        <f>X96</f>
        <v>43763.907226666699</v>
      </c>
      <c r="AA96" s="458">
        <v>34968.882414666703</v>
      </c>
      <c r="AB96" s="458">
        <f t="shared" si="87"/>
        <v>8795.0248119999997</v>
      </c>
      <c r="AC96" s="458" t="s">
        <v>370</v>
      </c>
      <c r="AD96" s="458"/>
      <c r="AE96" s="458"/>
    </row>
    <row r="97" spans="1:31" ht="17.5">
      <c r="A97" s="443"/>
      <c r="B97" s="19" t="s">
        <v>34</v>
      </c>
      <c r="C97" s="446"/>
      <c r="D97" s="445"/>
      <c r="E97" s="446"/>
      <c r="F97" s="446"/>
      <c r="G97" s="449">
        <v>0</v>
      </c>
      <c r="H97" s="449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53"/>
      <c r="X97" s="446"/>
      <c r="Y97" s="449"/>
      <c r="Z97" s="457"/>
      <c r="AA97" s="458"/>
      <c r="AB97" s="458"/>
      <c r="AC97" s="458"/>
      <c r="AD97" s="458"/>
      <c r="AE97" s="458"/>
    </row>
    <row r="98" spans="1:31" ht="17.5">
      <c r="A98" s="443">
        <v>83</v>
      </c>
      <c r="B98" s="21"/>
      <c r="C98" s="446"/>
      <c r="G98" s="274">
        <v>0</v>
      </c>
      <c r="Z98" s="460"/>
      <c r="AC98" s="458"/>
      <c r="AD98" s="458"/>
      <c r="AE98" s="458"/>
    </row>
    <row r="99" spans="1:31" ht="35">
      <c r="A99" s="443">
        <v>84</v>
      </c>
      <c r="B99" s="19" t="s">
        <v>372</v>
      </c>
      <c r="C99" s="446"/>
      <c r="G99" s="274">
        <v>0</v>
      </c>
      <c r="Z99" s="460"/>
      <c r="AB99" s="274" t="s">
        <v>520</v>
      </c>
      <c r="AC99" s="458"/>
      <c r="AD99" s="458"/>
      <c r="AE99" s="458"/>
    </row>
    <row r="100" spans="1:31" ht="18">
      <c r="A100" s="443">
        <v>85</v>
      </c>
      <c r="B100" s="10" t="s">
        <v>373</v>
      </c>
      <c r="C100" s="446">
        <v>1635720</v>
      </c>
      <c r="D100" s="445">
        <v>12</v>
      </c>
      <c r="E100" s="446">
        <f>C100*D100</f>
        <v>19628640</v>
      </c>
      <c r="F100" s="446"/>
      <c r="G100" s="447">
        <v>1378291.2</v>
      </c>
      <c r="H100" s="449"/>
      <c r="I100" s="446">
        <f t="shared" ref="I100:I105" si="88">E100-F100-G100-H100</f>
        <v>18250348.800000001</v>
      </c>
      <c r="J100" s="446">
        <v>200000</v>
      </c>
      <c r="K100" s="446">
        <v>0.2</v>
      </c>
      <c r="L100" s="446">
        <f t="shared" ref="L100:L106" si="89">I100*K100</f>
        <v>3650069.76</v>
      </c>
      <c r="M100" s="446">
        <f t="shared" ref="M100:M106" si="90">J100+L100</f>
        <v>3850069.76</v>
      </c>
      <c r="N100" s="446">
        <f t="shared" ref="N100:N105" si="91">F100+G100+H100+M100</f>
        <v>5228360.96</v>
      </c>
      <c r="O100" s="446">
        <f t="shared" ref="O100:O106" si="92">E100-N100</f>
        <v>14400279.039999999</v>
      </c>
      <c r="P100" s="446">
        <f t="shared" ref="P100:P106" si="93">IF(O100&lt;300000,0.07*O100,21000)</f>
        <v>21000</v>
      </c>
      <c r="Q100" s="446">
        <f t="shared" ref="Q100:Q106" si="94">IF((O100-300000)&lt;0,0,IF((O100-300000)&lt;300000,0.11*(O100-300000),33000))</f>
        <v>33000</v>
      </c>
      <c r="R100" s="446">
        <f t="shared" ref="R100:R106" si="95">IF((O100-600000)&lt;0,0,IF((O100-600000)&lt;500000,0.15*(O100-600000),75000))</f>
        <v>75000</v>
      </c>
      <c r="S100" s="446">
        <f t="shared" ref="S100:S106" si="96">IF((O100-1100000)&lt;0,0,IF((O100-1100000)&lt;500000,0.19*(O100-1100000),95000))</f>
        <v>95000</v>
      </c>
      <c r="T100" s="446">
        <f t="shared" ref="T100:T106" si="97">IF((O100-1600000)&lt;0,0,IF((O100-1600000)&lt;1600000,0.21*(O100-1600000),336000))</f>
        <v>336000</v>
      </c>
      <c r="U100" s="446">
        <f>24%*(O100-3200000)</f>
        <v>2688066.9696</v>
      </c>
      <c r="V100" s="446">
        <f t="shared" ref="V100:V106" si="98">P100+Q100+R100+S100+T100+U100</f>
        <v>3248066.9696</v>
      </c>
      <c r="W100" s="453">
        <v>12</v>
      </c>
      <c r="X100" s="446">
        <f t="shared" ref="X100:X106" si="99">V100/W100</f>
        <v>270672.24746666697</v>
      </c>
      <c r="Y100" s="449"/>
      <c r="Z100" s="457">
        <f t="shared" ref="Z100:Z106" si="100">X100</f>
        <v>270672.24746666697</v>
      </c>
      <c r="AA100" s="458">
        <v>180306.806858667</v>
      </c>
      <c r="AB100" s="458">
        <f>Z100-AA100</f>
        <v>90365.440607999903</v>
      </c>
      <c r="AC100" s="458" t="s">
        <v>373</v>
      </c>
      <c r="AD100" s="458"/>
      <c r="AE100" s="458"/>
    </row>
    <row r="101" spans="1:31" ht="18">
      <c r="A101" s="443">
        <v>86</v>
      </c>
      <c r="B101" s="10" t="s">
        <v>375</v>
      </c>
      <c r="C101" s="446">
        <v>942373.16666666698</v>
      </c>
      <c r="D101" s="445">
        <v>12</v>
      </c>
      <c r="E101" s="446">
        <f t="shared" ref="E101:E106" si="101">C101*D101</f>
        <v>11308478</v>
      </c>
      <c r="F101" s="446">
        <f>'[5]JANUARY 2024'!$V$106*12</f>
        <v>12795.950999999999</v>
      </c>
      <c r="G101" s="447">
        <v>731878.24</v>
      </c>
      <c r="H101" s="449"/>
      <c r="I101" s="446">
        <f t="shared" si="88"/>
        <v>10563803.809</v>
      </c>
      <c r="J101" s="446">
        <v>200000</v>
      </c>
      <c r="K101" s="446">
        <v>0.2</v>
      </c>
      <c r="L101" s="446">
        <f t="shared" si="89"/>
        <v>2112760.7618</v>
      </c>
      <c r="M101" s="446">
        <f t="shared" si="90"/>
        <v>2312760.7618</v>
      </c>
      <c r="N101" s="446">
        <f t="shared" si="91"/>
        <v>3057434.9528000001</v>
      </c>
      <c r="O101" s="446">
        <f t="shared" si="92"/>
        <v>8251043.0471999999</v>
      </c>
      <c r="P101" s="446">
        <f t="shared" si="93"/>
        <v>21000</v>
      </c>
      <c r="Q101" s="446">
        <f t="shared" si="94"/>
        <v>33000</v>
      </c>
      <c r="R101" s="446">
        <f t="shared" si="95"/>
        <v>75000</v>
      </c>
      <c r="S101" s="446">
        <f t="shared" si="96"/>
        <v>95000</v>
      </c>
      <c r="T101" s="446">
        <f t="shared" si="97"/>
        <v>336000</v>
      </c>
      <c r="U101" s="446">
        <f>24%*(O101-3200000)</f>
        <v>1212250.3313279999</v>
      </c>
      <c r="V101" s="446">
        <f t="shared" si="98"/>
        <v>1772250.3313279999</v>
      </c>
      <c r="W101" s="453">
        <v>12</v>
      </c>
      <c r="X101" s="446">
        <f t="shared" si="99"/>
        <v>147687.52761066699</v>
      </c>
      <c r="Y101" s="449"/>
      <c r="Z101" s="457">
        <f t="shared" si="100"/>
        <v>147687.52761066699</v>
      </c>
      <c r="AA101" s="458">
        <v>99703.216202666707</v>
      </c>
      <c r="AB101" s="458">
        <f t="shared" ref="AB101:AB106" si="102">Z101-AA101</f>
        <v>47984.311408000001</v>
      </c>
      <c r="AC101" s="458" t="s">
        <v>375</v>
      </c>
      <c r="AD101" s="458"/>
      <c r="AE101" s="458"/>
    </row>
    <row r="102" spans="1:31" ht="18">
      <c r="A102" s="443">
        <v>87</v>
      </c>
      <c r="B102" s="10" t="s">
        <v>377</v>
      </c>
      <c r="C102" s="446">
        <v>603237.85519166698</v>
      </c>
      <c r="D102" s="445">
        <v>12</v>
      </c>
      <c r="E102" s="446">
        <f t="shared" si="101"/>
        <v>7238854.2622999996</v>
      </c>
      <c r="F102" s="446">
        <f>'[5]JANUARY 2024'!$V$107*12</f>
        <v>7901.79</v>
      </c>
      <c r="G102" s="447">
        <v>424132.72</v>
      </c>
      <c r="H102" s="449"/>
      <c r="I102" s="446">
        <f t="shared" si="88"/>
        <v>6806819.7522999998</v>
      </c>
      <c r="J102" s="446">
        <v>200000</v>
      </c>
      <c r="K102" s="446">
        <v>0.2</v>
      </c>
      <c r="L102" s="446">
        <f t="shared" si="89"/>
        <v>1361363.95046</v>
      </c>
      <c r="M102" s="446">
        <f t="shared" si="90"/>
        <v>1561363.95046</v>
      </c>
      <c r="N102" s="446">
        <f t="shared" si="91"/>
        <v>1993398.46046</v>
      </c>
      <c r="O102" s="446">
        <f t="shared" si="92"/>
        <v>5245455.8018399999</v>
      </c>
      <c r="P102" s="446">
        <f t="shared" si="93"/>
        <v>21000</v>
      </c>
      <c r="Q102" s="446">
        <f t="shared" si="94"/>
        <v>33000</v>
      </c>
      <c r="R102" s="446">
        <f t="shared" si="95"/>
        <v>75000</v>
      </c>
      <c r="S102" s="446">
        <f t="shared" si="96"/>
        <v>95000</v>
      </c>
      <c r="T102" s="446">
        <f t="shared" si="97"/>
        <v>336000</v>
      </c>
      <c r="U102" s="446">
        <f>24%*(O102-3200000)</f>
        <v>490909.39244159998</v>
      </c>
      <c r="V102" s="446">
        <f t="shared" si="98"/>
        <v>1050909.3924416001</v>
      </c>
      <c r="W102" s="453">
        <v>12</v>
      </c>
      <c r="X102" s="446">
        <f t="shared" si="99"/>
        <v>87575.782703466699</v>
      </c>
      <c r="Y102" s="449"/>
      <c r="Z102" s="457">
        <f t="shared" si="100"/>
        <v>87575.782703466699</v>
      </c>
      <c r="AA102" s="458">
        <v>180180.378218667</v>
      </c>
      <c r="AB102" s="458">
        <f t="shared" si="102"/>
        <v>-92604.595515200301</v>
      </c>
      <c r="AC102" s="458" t="s">
        <v>377</v>
      </c>
      <c r="AD102" s="458"/>
      <c r="AE102" s="458"/>
    </row>
    <row r="103" spans="1:31" ht="18">
      <c r="A103" s="443">
        <v>88</v>
      </c>
      <c r="B103" s="10" t="s">
        <v>379</v>
      </c>
      <c r="C103" s="446">
        <v>601625.033321667</v>
      </c>
      <c r="D103" s="445">
        <v>12</v>
      </c>
      <c r="E103" s="446">
        <f t="shared" si="101"/>
        <v>7219500.3998600002</v>
      </c>
      <c r="F103" s="446"/>
      <c r="G103" s="447">
        <v>424132.72</v>
      </c>
      <c r="H103" s="449"/>
      <c r="I103" s="446">
        <f t="shared" si="88"/>
        <v>6795367.6798599996</v>
      </c>
      <c r="J103" s="446">
        <v>200000</v>
      </c>
      <c r="K103" s="446">
        <v>0.2</v>
      </c>
      <c r="L103" s="446">
        <f t="shared" si="89"/>
        <v>1359073.5359720001</v>
      </c>
      <c r="M103" s="446">
        <f t="shared" si="90"/>
        <v>1559073.5359720001</v>
      </c>
      <c r="N103" s="446">
        <f t="shared" si="91"/>
        <v>1983206.2559720001</v>
      </c>
      <c r="O103" s="446">
        <f t="shared" si="92"/>
        <v>5236294.1438880004</v>
      </c>
      <c r="P103" s="446">
        <f t="shared" si="93"/>
        <v>21000</v>
      </c>
      <c r="Q103" s="446">
        <f t="shared" si="94"/>
        <v>33000</v>
      </c>
      <c r="R103" s="446">
        <f t="shared" si="95"/>
        <v>75000</v>
      </c>
      <c r="S103" s="446">
        <f t="shared" si="96"/>
        <v>95000</v>
      </c>
      <c r="T103" s="446">
        <f t="shared" si="97"/>
        <v>336000</v>
      </c>
      <c r="U103" s="446">
        <f>0.24*(O103-3200000)</f>
        <v>488710.59453311999</v>
      </c>
      <c r="V103" s="446">
        <f t="shared" si="98"/>
        <v>1048710.59453312</v>
      </c>
      <c r="W103" s="453">
        <v>12</v>
      </c>
      <c r="X103" s="446">
        <f t="shared" si="99"/>
        <v>87392.5495444267</v>
      </c>
      <c r="Y103" s="449"/>
      <c r="Z103" s="457">
        <f t="shared" si="100"/>
        <v>87392.5495444267</v>
      </c>
      <c r="AA103" s="458">
        <v>99907.951418666693</v>
      </c>
      <c r="AB103" s="458">
        <f t="shared" si="102"/>
        <v>-12515.40187424</v>
      </c>
      <c r="AC103" s="458" t="s">
        <v>379</v>
      </c>
      <c r="AD103" s="458"/>
      <c r="AE103" s="458"/>
    </row>
    <row r="104" spans="1:31" ht="18">
      <c r="A104" s="443">
        <v>89</v>
      </c>
      <c r="B104" s="10" t="s">
        <v>380</v>
      </c>
      <c r="C104" s="446">
        <v>374481.86414666701</v>
      </c>
      <c r="D104" s="445">
        <v>12</v>
      </c>
      <c r="E104" s="446">
        <f t="shared" si="101"/>
        <v>4493782.3697600001</v>
      </c>
      <c r="F104" s="446"/>
      <c r="G104" s="447">
        <v>239182.48</v>
      </c>
      <c r="H104" s="449"/>
      <c r="I104" s="446">
        <f t="shared" si="88"/>
        <v>4254599.8897599997</v>
      </c>
      <c r="J104" s="446">
        <v>200000</v>
      </c>
      <c r="K104" s="446">
        <v>0.2</v>
      </c>
      <c r="L104" s="446">
        <f t="shared" si="89"/>
        <v>850919.97795199999</v>
      </c>
      <c r="M104" s="446">
        <f t="shared" si="90"/>
        <v>1050919.977952</v>
      </c>
      <c r="N104" s="446">
        <f t="shared" si="91"/>
        <v>1290102.457952</v>
      </c>
      <c r="O104" s="446">
        <f t="shared" si="92"/>
        <v>3203679.9118079999</v>
      </c>
      <c r="P104" s="446">
        <f t="shared" si="93"/>
        <v>21000</v>
      </c>
      <c r="Q104" s="446">
        <f t="shared" si="94"/>
        <v>33000</v>
      </c>
      <c r="R104" s="446">
        <f t="shared" si="95"/>
        <v>75000</v>
      </c>
      <c r="S104" s="446">
        <f t="shared" si="96"/>
        <v>95000</v>
      </c>
      <c r="T104" s="446">
        <f t="shared" si="97"/>
        <v>336000</v>
      </c>
      <c r="U104" s="446">
        <f>0.24*(O104-3200000)</f>
        <v>883.17883391987505</v>
      </c>
      <c r="V104" s="446">
        <f t="shared" si="98"/>
        <v>560883.17883392004</v>
      </c>
      <c r="W104" s="453">
        <v>12</v>
      </c>
      <c r="X104" s="446">
        <f t="shared" si="99"/>
        <v>46740.264902826697</v>
      </c>
      <c r="Y104" s="449"/>
      <c r="Z104" s="457">
        <f t="shared" si="100"/>
        <v>46740.264902826697</v>
      </c>
      <c r="AA104" s="458">
        <v>58941.101743466701</v>
      </c>
      <c r="AB104" s="458">
        <f t="shared" si="102"/>
        <v>-12200.83684064</v>
      </c>
      <c r="AC104" s="458" t="s">
        <v>380</v>
      </c>
      <c r="AD104" s="458"/>
      <c r="AE104" s="458"/>
    </row>
    <row r="105" spans="1:31" ht="36">
      <c r="A105" s="443"/>
      <c r="B105" s="17" t="s">
        <v>383</v>
      </c>
      <c r="C105" s="446">
        <v>367926.02100000001</v>
      </c>
      <c r="D105" s="445">
        <v>12</v>
      </c>
      <c r="E105" s="446">
        <f t="shared" si="101"/>
        <v>4415112.2520000003</v>
      </c>
      <c r="F105" s="446"/>
      <c r="G105" s="447">
        <v>233257.2</v>
      </c>
      <c r="H105" s="449"/>
      <c r="I105" s="446">
        <f t="shared" si="88"/>
        <v>4181855.0520000001</v>
      </c>
      <c r="J105" s="446">
        <v>200000</v>
      </c>
      <c r="K105" s="446">
        <v>0.2</v>
      </c>
      <c r="L105" s="446">
        <f t="shared" si="89"/>
        <v>836371.01040000003</v>
      </c>
      <c r="M105" s="446">
        <f t="shared" si="90"/>
        <v>1036371.0104</v>
      </c>
      <c r="N105" s="446">
        <f t="shared" si="91"/>
        <v>1269628.2104</v>
      </c>
      <c r="O105" s="446">
        <f t="shared" si="92"/>
        <v>3145484.0416000001</v>
      </c>
      <c r="P105" s="446">
        <f t="shared" si="93"/>
        <v>21000</v>
      </c>
      <c r="Q105" s="446">
        <f t="shared" si="94"/>
        <v>33000</v>
      </c>
      <c r="R105" s="446">
        <f t="shared" si="95"/>
        <v>75000</v>
      </c>
      <c r="S105" s="446">
        <f t="shared" si="96"/>
        <v>95000</v>
      </c>
      <c r="T105" s="446">
        <f t="shared" si="97"/>
        <v>324551.648736</v>
      </c>
      <c r="U105" s="446"/>
      <c r="V105" s="446">
        <f t="shared" si="98"/>
        <v>548551.64873599994</v>
      </c>
      <c r="W105" s="453">
        <v>12</v>
      </c>
      <c r="X105" s="446">
        <f t="shared" si="99"/>
        <v>45712.637394666701</v>
      </c>
      <c r="Y105" s="449"/>
      <c r="Z105" s="457">
        <f t="shared" si="100"/>
        <v>45712.637394666701</v>
      </c>
      <c r="AA105" s="458">
        <v>58631.439944426696</v>
      </c>
      <c r="AB105" s="458">
        <f t="shared" si="102"/>
        <v>-12918.802549759999</v>
      </c>
      <c r="AC105" s="458" t="s">
        <v>383</v>
      </c>
      <c r="AD105" s="458"/>
      <c r="AE105" s="458"/>
    </row>
    <row r="106" spans="1:31" ht="18">
      <c r="A106" s="443"/>
      <c r="B106" s="17" t="s">
        <v>385</v>
      </c>
      <c r="C106" s="446">
        <v>355198.112111667</v>
      </c>
      <c r="D106" s="445">
        <v>12</v>
      </c>
      <c r="E106" s="446">
        <f t="shared" si="101"/>
        <v>4262377.3453400005</v>
      </c>
      <c r="G106" s="447">
        <v>221406.64</v>
      </c>
      <c r="H106" s="449"/>
      <c r="I106" s="446">
        <f>E106-F107-G106-H106</f>
        <v>4040970.7053399999</v>
      </c>
      <c r="J106" s="446">
        <v>200000</v>
      </c>
      <c r="K106" s="446">
        <v>0.2</v>
      </c>
      <c r="L106" s="446">
        <f t="shared" si="89"/>
        <v>808194.141068</v>
      </c>
      <c r="M106" s="446">
        <f t="shared" si="90"/>
        <v>1008194.141068</v>
      </c>
      <c r="N106" s="446">
        <f>F107+G106+H106+M106</f>
        <v>1229600.781068</v>
      </c>
      <c r="O106" s="446">
        <f t="shared" si="92"/>
        <v>3032776.564272</v>
      </c>
      <c r="P106" s="446">
        <f t="shared" si="93"/>
        <v>21000</v>
      </c>
      <c r="Q106" s="446">
        <f t="shared" si="94"/>
        <v>33000</v>
      </c>
      <c r="R106" s="446">
        <f t="shared" si="95"/>
        <v>75000</v>
      </c>
      <c r="S106" s="446">
        <f t="shared" si="96"/>
        <v>95000</v>
      </c>
      <c r="T106" s="446">
        <f t="shared" si="97"/>
        <v>300883.07849712</v>
      </c>
      <c r="U106" s="446"/>
      <c r="V106" s="446">
        <f t="shared" si="98"/>
        <v>524883.07849711995</v>
      </c>
      <c r="W106" s="453">
        <v>12</v>
      </c>
      <c r="X106" s="446">
        <f t="shared" si="99"/>
        <v>43740.256541426701</v>
      </c>
      <c r="Y106" s="449"/>
      <c r="Z106" s="457">
        <f t="shared" si="100"/>
        <v>43740.256541426701</v>
      </c>
      <c r="AA106" s="458">
        <v>31871.335203306699</v>
      </c>
      <c r="AB106" s="458">
        <f t="shared" si="102"/>
        <v>11868.921338120001</v>
      </c>
      <c r="AC106" s="458" t="s">
        <v>385</v>
      </c>
      <c r="AD106" s="458"/>
      <c r="AE106" s="458"/>
    </row>
    <row r="107" spans="1:31" ht="17.5">
      <c r="A107" s="443"/>
      <c r="B107" s="19" t="s">
        <v>34</v>
      </c>
      <c r="C107" s="446"/>
      <c r="D107" s="445"/>
      <c r="E107" s="446"/>
      <c r="F107" s="446"/>
      <c r="G107" s="447"/>
      <c r="H107" s="449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53"/>
      <c r="X107" s="446"/>
      <c r="Y107" s="449"/>
      <c r="Z107" s="457"/>
      <c r="AA107" s="458"/>
      <c r="AB107" s="458"/>
      <c r="AC107" s="458"/>
      <c r="AD107" s="458"/>
      <c r="AE107" s="458"/>
    </row>
    <row r="108" spans="1:31" ht="17.5">
      <c r="A108" s="443">
        <v>90</v>
      </c>
      <c r="B108" s="19"/>
      <c r="C108" s="446"/>
      <c r="G108" s="447"/>
      <c r="U108" s="446"/>
      <c r="Z108" s="460"/>
      <c r="AC108" s="458"/>
      <c r="AD108" s="458"/>
      <c r="AE108" s="458"/>
    </row>
    <row r="109" spans="1:31" ht="35">
      <c r="A109" s="443">
        <v>91</v>
      </c>
      <c r="B109" s="19" t="s">
        <v>61</v>
      </c>
      <c r="C109" s="446"/>
      <c r="G109" s="447"/>
      <c r="U109" s="446"/>
      <c r="Z109" s="460"/>
      <c r="AC109" s="458"/>
      <c r="AD109" s="458"/>
      <c r="AE109" s="458"/>
    </row>
    <row r="110" spans="1:31" ht="36">
      <c r="A110" s="443">
        <v>92</v>
      </c>
      <c r="B110" s="13" t="s">
        <v>386</v>
      </c>
      <c r="C110" s="446">
        <v>761396.83333333302</v>
      </c>
      <c r="D110" s="445">
        <v>12</v>
      </c>
      <c r="E110" s="446">
        <f>C110*D110</f>
        <v>9136762</v>
      </c>
      <c r="F110" s="446">
        <f>'[5]JANUARY 2024'!$V$115*12</f>
        <v>9678.9599999999991</v>
      </c>
      <c r="G110" s="447">
        <v>577340.96</v>
      </c>
      <c r="H110" s="449"/>
      <c r="I110" s="446">
        <f>E110-F110-G110-H110</f>
        <v>8549742.0800000001</v>
      </c>
      <c r="J110" s="446">
        <v>200000</v>
      </c>
      <c r="K110" s="446">
        <v>0.2</v>
      </c>
      <c r="L110" s="446">
        <f>I110*K110</f>
        <v>1709948.416</v>
      </c>
      <c r="M110" s="446">
        <f>J110+L110</f>
        <v>1909948.416</v>
      </c>
      <c r="N110" s="446">
        <f>F110+G110+H110+M110</f>
        <v>2496968.3360000001</v>
      </c>
      <c r="O110" s="446">
        <f>E110-N110</f>
        <v>6639793.6639999999</v>
      </c>
      <c r="P110" s="446">
        <f>IF(O110&lt;300000,0.07*O110,21000)</f>
        <v>21000</v>
      </c>
      <c r="Q110" s="446">
        <f>IF((O110-300000)&lt;0,0,IF((O110-300000)&lt;300000,0.11*(O110-300000),33000))</f>
        <v>33000</v>
      </c>
      <c r="R110" s="446">
        <f>IF((O110-600000)&lt;0,0,IF((O110-600000)&lt;500000,0.15*(O110-600000),75000))</f>
        <v>75000</v>
      </c>
      <c r="S110" s="446">
        <f>IF((O110-1100000)&lt;0,0,IF((O110-1100000)&lt;500000,0.19*(O110-1100000),95000))</f>
        <v>95000</v>
      </c>
      <c r="T110" s="446">
        <f>IF((O110-1600000)&lt;0,0,IF((O110-1600000)&lt;1600000,0.21*(O110-1600000),336000))</f>
        <v>336000</v>
      </c>
      <c r="U110" s="446">
        <f t="shared" ref="U110:U141" si="103">0.24*(O110-3200000)</f>
        <v>825550.47936</v>
      </c>
      <c r="V110" s="446">
        <f>P110+Q110+R110+S110+T110+U110</f>
        <v>1385550.47936</v>
      </c>
      <c r="W110" s="453">
        <v>12</v>
      </c>
      <c r="X110" s="446">
        <f>V110/W110</f>
        <v>115462.53994666701</v>
      </c>
      <c r="Y110" s="449"/>
      <c r="Z110" s="457">
        <f>X110</f>
        <v>115462.53994666701</v>
      </c>
      <c r="AA110" s="458">
        <v>77610.116906666706</v>
      </c>
      <c r="AB110" s="458">
        <f>Z110-AA110</f>
        <v>37852.423040000001</v>
      </c>
      <c r="AC110" s="458"/>
      <c r="AD110" s="458"/>
      <c r="AE110" s="458"/>
    </row>
    <row r="111" spans="1:31" ht="18">
      <c r="A111" s="443">
        <v>93</v>
      </c>
      <c r="B111" s="10" t="s">
        <v>387</v>
      </c>
      <c r="C111" s="446">
        <v>487895.16666666698</v>
      </c>
      <c r="D111" s="445">
        <v>12</v>
      </c>
      <c r="E111" s="446">
        <f t="shared" ref="E111:E112" si="104">C111*D111</f>
        <v>5854742</v>
      </c>
      <c r="F111" s="446"/>
      <c r="G111" s="447">
        <v>362779.36</v>
      </c>
      <c r="H111" s="449"/>
      <c r="I111" s="446">
        <f>E111-F111-G111-H111</f>
        <v>5491962.6399999997</v>
      </c>
      <c r="J111" s="446">
        <v>200000</v>
      </c>
      <c r="K111" s="446">
        <v>0.2</v>
      </c>
      <c r="L111" s="446">
        <f>I111*K111</f>
        <v>1098392.5279999999</v>
      </c>
      <c r="M111" s="446">
        <f>J111+L111</f>
        <v>1298392.5279999999</v>
      </c>
      <c r="N111" s="446">
        <f>F111+G111+H111+M111</f>
        <v>1661171.888</v>
      </c>
      <c r="O111" s="446">
        <f>E111-N111</f>
        <v>4193570.1120000002</v>
      </c>
      <c r="P111" s="446">
        <f>IF(O111&lt;300000,0.07*O111,21000)</f>
        <v>21000</v>
      </c>
      <c r="Q111" s="446">
        <f>IF((O111-300000)&lt;0,0,IF((O111-300000)&lt;300000,0.11*(O111-300000),33000))</f>
        <v>33000</v>
      </c>
      <c r="R111" s="446">
        <f>IF((O111-600000)&lt;0,0,IF((O111-600000)&lt;500000,0.15*(O111-600000),75000))</f>
        <v>75000</v>
      </c>
      <c r="S111" s="446">
        <f>IF((O111-1100000)&lt;0,0,IF((O111-1100000)&lt;500000,0.19*(O111-1100000),95000))</f>
        <v>95000</v>
      </c>
      <c r="T111" s="446">
        <f>IF((O111-1600000)&lt;0,0,IF((O111-1600000)&lt;1600000,0.21*(O111-1600000),336000))</f>
        <v>336000</v>
      </c>
      <c r="U111" s="446">
        <f t="shared" si="103"/>
        <v>238456.82688000001</v>
      </c>
      <c r="V111" s="446">
        <f>P111+Q111+R111+S111+T111+U111</f>
        <v>798456.82687999995</v>
      </c>
      <c r="W111" s="453">
        <v>12</v>
      </c>
      <c r="X111" s="446">
        <f>V111/W111</f>
        <v>66538.068906666696</v>
      </c>
      <c r="Y111" s="449"/>
      <c r="Z111" s="457">
        <f>X111</f>
        <v>66538.068906666696</v>
      </c>
      <c r="AA111" s="458">
        <v>43368.882414666703</v>
      </c>
      <c r="AB111" s="458">
        <f t="shared" ref="AB111:AB112" si="105">Z111-AA111</f>
        <v>23169.186492000001</v>
      </c>
      <c r="AC111" s="458"/>
      <c r="AD111" s="458"/>
      <c r="AE111" s="458"/>
    </row>
    <row r="112" spans="1:31" ht="18">
      <c r="A112" s="443">
        <v>94</v>
      </c>
      <c r="B112" s="10" t="s">
        <v>389</v>
      </c>
      <c r="C112" s="452">
        <v>450086.5</v>
      </c>
      <c r="D112" s="445">
        <v>12</v>
      </c>
      <c r="E112" s="446">
        <f t="shared" si="104"/>
        <v>5401038</v>
      </c>
      <c r="F112" s="446">
        <f>'[5]JANUARY 2024'!$V$117*12</f>
        <v>6919.4549999999999</v>
      </c>
      <c r="G112" s="447">
        <v>374483.04</v>
      </c>
      <c r="H112" s="449"/>
      <c r="I112" s="446">
        <f>E112-F112-G112-H112</f>
        <v>5019635.5049999999</v>
      </c>
      <c r="J112" s="446">
        <v>200000</v>
      </c>
      <c r="K112" s="446">
        <v>0.2</v>
      </c>
      <c r="L112" s="446">
        <f>I112*K112</f>
        <v>1003927.101</v>
      </c>
      <c r="M112" s="446">
        <f>J112+L112</f>
        <v>1203927.101</v>
      </c>
      <c r="N112" s="446">
        <f>F112+G112+H112+M112</f>
        <v>1585329.5959999999</v>
      </c>
      <c r="O112" s="446">
        <f>E112-N112</f>
        <v>3815708.4040000001</v>
      </c>
      <c r="P112" s="446">
        <f>IF(O112&lt;300000,0.07*O112,21000)</f>
        <v>21000</v>
      </c>
      <c r="Q112" s="446">
        <f>IF((O112-300000)&lt;0,0,IF((O112-300000)&lt;300000,0.11*(O112-300000),33000))</f>
        <v>33000</v>
      </c>
      <c r="R112" s="446">
        <f>IF((O112-600000)&lt;0,0,IF((O112-600000)&lt;500000,0.15*(O112-600000),75000))</f>
        <v>75000</v>
      </c>
      <c r="S112" s="446">
        <f>IF((O112-1100000)&lt;0,0,IF((O112-1100000)&lt;500000,0.19*(O112-1100000),95000))</f>
        <v>95000</v>
      </c>
      <c r="T112" s="446">
        <f>IF((O112-1600000)&lt;0,0,IF((O112-1600000)&lt;1600000,0.21*(O112-1600000),336000))</f>
        <v>336000</v>
      </c>
      <c r="U112" s="446">
        <f t="shared" si="103"/>
        <v>147770.01696000001</v>
      </c>
      <c r="V112" s="446">
        <f>P112+Q112+R112+S112+T112+U112</f>
        <v>707770.01696000004</v>
      </c>
      <c r="W112" s="453">
        <v>12</v>
      </c>
      <c r="X112" s="446">
        <f>V112/W112</f>
        <v>58980.834746666696</v>
      </c>
      <c r="Y112" s="449"/>
      <c r="Z112" s="457">
        <f>X112</f>
        <v>58980.834746666696</v>
      </c>
      <c r="AA112" s="458">
        <v>35221.954086666701</v>
      </c>
      <c r="AB112" s="458">
        <f t="shared" si="105"/>
        <v>23758.880659999999</v>
      </c>
      <c r="AC112" s="458"/>
      <c r="AD112" s="458"/>
      <c r="AE112" s="458"/>
    </row>
    <row r="113" spans="1:31" ht="17.5">
      <c r="A113" s="443">
        <v>95</v>
      </c>
      <c r="B113" s="19"/>
      <c r="C113" s="446"/>
      <c r="D113" s="445"/>
      <c r="E113" s="446"/>
      <c r="F113" s="446"/>
      <c r="G113" s="449"/>
      <c r="H113" s="449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53"/>
      <c r="X113" s="446"/>
      <c r="Y113" s="449"/>
      <c r="Z113" s="457"/>
      <c r="AA113" s="458"/>
      <c r="AB113" s="458"/>
      <c r="AC113" s="458"/>
      <c r="AD113" s="458"/>
      <c r="AE113" s="458"/>
    </row>
    <row r="114" spans="1:31" ht="17.5">
      <c r="A114" s="443">
        <v>96</v>
      </c>
      <c r="B114" s="21"/>
      <c r="C114" s="446"/>
      <c r="U114" s="459"/>
      <c r="Z114" s="460"/>
      <c r="AC114" s="458"/>
      <c r="AD114" s="458"/>
      <c r="AE114" s="458"/>
    </row>
    <row r="115" spans="1:31" ht="17.5">
      <c r="A115" s="443">
        <v>97</v>
      </c>
      <c r="B115" s="19" t="s">
        <v>67</v>
      </c>
      <c r="C115" s="446"/>
      <c r="U115" s="459"/>
      <c r="Z115" s="460"/>
      <c r="AC115" s="458"/>
      <c r="AD115" s="458"/>
      <c r="AE115" s="458"/>
    </row>
    <row r="116" spans="1:31" ht="18">
      <c r="A116" s="443">
        <v>98</v>
      </c>
      <c r="B116" s="10" t="s">
        <v>392</v>
      </c>
      <c r="C116" s="446">
        <v>1635720</v>
      </c>
      <c r="D116" s="445">
        <v>12</v>
      </c>
      <c r="E116" s="446">
        <f>C116*D116</f>
        <v>19628640</v>
      </c>
      <c r="F116" s="446">
        <f>2043.5005*12</f>
        <v>24522.006000000001</v>
      </c>
      <c r="G116" s="447">
        <v>1378291.2</v>
      </c>
      <c r="H116" s="449"/>
      <c r="I116" s="446">
        <f t="shared" ref="I116:I125" si="106">E116-F116-G116-H116</f>
        <v>18225826.794</v>
      </c>
      <c r="J116" s="446">
        <v>200000</v>
      </c>
      <c r="K116" s="446">
        <v>0.2</v>
      </c>
      <c r="L116" s="446">
        <f>I116*K116</f>
        <v>3645165.3588</v>
      </c>
      <c r="M116" s="446">
        <f>J116+L116</f>
        <v>3845165.3588</v>
      </c>
      <c r="N116" s="446">
        <f t="shared" ref="N116:N125" si="107">F116+G116+H116+M116</f>
        <v>5247978.5647999998</v>
      </c>
      <c r="O116" s="446">
        <f t="shared" ref="O116:O125" si="108">E116-N116</f>
        <v>14380661.4352</v>
      </c>
      <c r="P116" s="446">
        <f>IF(O116&lt;300000,0.07*O116,21000)</f>
        <v>21000</v>
      </c>
      <c r="Q116" s="446">
        <f>IF((O116-300000)&lt;0,0,IF((O116-300000)&lt;300000,0.11*(O116-300000),33000))</f>
        <v>33000</v>
      </c>
      <c r="R116" s="446">
        <f>IF((O116-600000)&lt;0,0,IF((O116-600000)&lt;500000,0.15*(O116-600000),75000))</f>
        <v>75000</v>
      </c>
      <c r="S116" s="446">
        <f>IF((O116-1100000)&lt;0,0,IF((O116-1100000)&lt;500000,0.19*(O116-1100000),95000))</f>
        <v>95000</v>
      </c>
      <c r="T116" s="446">
        <f>IF((O116-1600000)&lt;0,0,IF((O116-1600000)&lt;1600000,0.21*(O116-1600000),336000))</f>
        <v>336000</v>
      </c>
      <c r="U116" s="446">
        <f t="shared" si="103"/>
        <v>2683358.7444480001</v>
      </c>
      <c r="V116" s="446">
        <f>P116+Q116+R116+S116+T116+U116</f>
        <v>3243358.7444480001</v>
      </c>
      <c r="W116" s="453">
        <v>12</v>
      </c>
      <c r="X116" s="446">
        <f>V116/W116</f>
        <v>270279.89537066699</v>
      </c>
      <c r="Y116" s="449"/>
      <c r="Z116" s="457">
        <f>X116</f>
        <v>270279.89537066699</v>
      </c>
      <c r="AA116" s="458">
        <v>179914.45476266701</v>
      </c>
      <c r="AB116" s="458">
        <f>Z116-AA116</f>
        <v>90365.440608000004</v>
      </c>
      <c r="AC116" s="458"/>
      <c r="AD116" s="458"/>
      <c r="AE116" s="458"/>
    </row>
    <row r="117" spans="1:31" ht="18">
      <c r="A117" s="443">
        <v>99</v>
      </c>
      <c r="B117" s="10" t="s">
        <v>130</v>
      </c>
      <c r="C117" s="446">
        <v>929203.58333333302</v>
      </c>
      <c r="D117" s="445">
        <v>12</v>
      </c>
      <c r="E117" s="446">
        <f t="shared" ref="E117:E125" si="109">C117*D117</f>
        <v>11150443</v>
      </c>
      <c r="F117" s="446">
        <f>1028.94225*12</f>
        <v>12347.307000000001</v>
      </c>
      <c r="G117" s="447">
        <v>709635.44</v>
      </c>
      <c r="H117" s="449"/>
      <c r="I117" s="446">
        <f t="shared" si="106"/>
        <v>10428460.253</v>
      </c>
      <c r="J117" s="446">
        <v>200000</v>
      </c>
      <c r="K117" s="446">
        <v>0.2</v>
      </c>
      <c r="L117" s="446">
        <f>I117*K117</f>
        <v>2085692.0506</v>
      </c>
      <c r="M117" s="446">
        <f>J117+L117</f>
        <v>2285692.0506000002</v>
      </c>
      <c r="N117" s="446">
        <f t="shared" si="107"/>
        <v>3007674.7976000002</v>
      </c>
      <c r="O117" s="446">
        <f t="shared" si="108"/>
        <v>8142768.2023999998</v>
      </c>
      <c r="P117" s="446">
        <f>IF(O117&lt;300000,0.07*O117,21000)</f>
        <v>21000</v>
      </c>
      <c r="Q117" s="446">
        <f>IF((O117-300000)&lt;0,0,IF((O117-300000)&lt;300000,0.11*(O117-300000),33000))</f>
        <v>33000</v>
      </c>
      <c r="R117" s="446">
        <f>IF((O117-600000)&lt;0,0,IF((O117-600000)&lt;500000,0.15*(O117-600000),75000))</f>
        <v>75000</v>
      </c>
      <c r="S117" s="446">
        <f>IF((O117-1100000)&lt;0,0,IF((O117-1100000)&lt;500000,0.19*(O117-1100000),95000))</f>
        <v>95000</v>
      </c>
      <c r="T117" s="446">
        <f>IF((O117-1600000)&lt;0,0,IF((O117-1600000)&lt;1600000,0.21*(O117-1600000),336000))</f>
        <v>336000</v>
      </c>
      <c r="U117" s="446">
        <f t="shared" si="103"/>
        <v>1186264.368576</v>
      </c>
      <c r="V117" s="446">
        <f>P117+Q117+R117+S117+T117+U117</f>
        <v>1746264.368576</v>
      </c>
      <c r="W117" s="453">
        <v>12</v>
      </c>
      <c r="X117" s="446">
        <f>V117/W117</f>
        <v>145522.03071466699</v>
      </c>
      <c r="Y117" s="449"/>
      <c r="Z117" s="457">
        <f>X117</f>
        <v>145522.03071466699</v>
      </c>
      <c r="AA117" s="458">
        <v>98995.956938666699</v>
      </c>
      <c r="AB117" s="458">
        <f t="shared" ref="AB117:AB125" si="110">Z117-AA117</f>
        <v>46526.073775999997</v>
      </c>
      <c r="AC117" s="458"/>
      <c r="AD117" s="458"/>
      <c r="AE117" s="458"/>
    </row>
    <row r="118" spans="1:31" ht="18">
      <c r="A118" s="443"/>
      <c r="B118" s="13" t="s">
        <v>395</v>
      </c>
      <c r="C118" s="446">
        <v>830675.58333333302</v>
      </c>
      <c r="D118" s="445">
        <v>12</v>
      </c>
      <c r="E118" s="446">
        <f t="shared" si="109"/>
        <v>9968107</v>
      </c>
      <c r="F118" s="446">
        <f>837.6875*12</f>
        <v>10052.25</v>
      </c>
      <c r="G118" s="447">
        <v>595848.56000000006</v>
      </c>
      <c r="H118" s="449"/>
      <c r="I118" s="446">
        <f t="shared" si="106"/>
        <v>9362206.1899999995</v>
      </c>
      <c r="J118" s="446">
        <v>200000</v>
      </c>
      <c r="K118" s="446">
        <v>0.2</v>
      </c>
      <c r="L118" s="446">
        <f>I118*K118</f>
        <v>1872441.2379999999</v>
      </c>
      <c r="M118" s="446">
        <f>J118+L118</f>
        <v>2072441.2379999999</v>
      </c>
      <c r="N118" s="446">
        <f t="shared" si="107"/>
        <v>2678342.048</v>
      </c>
      <c r="O118" s="446">
        <f t="shared" si="108"/>
        <v>7289764.9519999996</v>
      </c>
      <c r="P118" s="446">
        <f>IF(O118&lt;300000,0.07*O118,21000)</f>
        <v>21000</v>
      </c>
      <c r="Q118" s="446">
        <f>IF((O118-300000)&lt;0,0,IF((O118-300000)&lt;300000,0.11*(O118-300000),33000))</f>
        <v>33000</v>
      </c>
      <c r="R118" s="446">
        <f>IF((O118-600000)&lt;0,0,IF((O118-600000)&lt;500000,0.15*(O118-600000),75000))</f>
        <v>75000</v>
      </c>
      <c r="S118" s="446">
        <f>IF((O118-1100000)&lt;0,0,IF((O118-1100000)&lt;500000,0.19*(O118-1100000),95000))</f>
        <v>95000</v>
      </c>
      <c r="T118" s="446">
        <f>IF((O118-1600000)&lt;0,0,IF((O118-1600000)&lt;1600000,0.21*(O118-1600000),336000))</f>
        <v>336000</v>
      </c>
      <c r="U118" s="446">
        <f t="shared" si="103"/>
        <v>981543.58848000003</v>
      </c>
      <c r="V118" s="446">
        <f>P118+Q118+R118+S118+T118+U118</f>
        <v>1541543.5884799999</v>
      </c>
      <c r="W118" s="453">
        <v>12</v>
      </c>
      <c r="X118" s="446">
        <f>V118/W118</f>
        <v>128461.965706667</v>
      </c>
      <c r="Y118" s="449"/>
      <c r="Z118" s="457">
        <f>X118</f>
        <v>128461.965706667</v>
      </c>
      <c r="AA118" s="458">
        <v>89396.103146666603</v>
      </c>
      <c r="AB118" s="458">
        <f t="shared" si="110"/>
        <v>39065.862560000001</v>
      </c>
      <c r="AC118" s="458"/>
      <c r="AD118" s="458"/>
      <c r="AE118" s="458"/>
    </row>
    <row r="119" spans="1:31" ht="18">
      <c r="A119" s="443"/>
      <c r="B119" s="13" t="s">
        <v>226</v>
      </c>
      <c r="C119" s="446">
        <v>662118.08333333302</v>
      </c>
      <c r="D119" s="445">
        <v>12</v>
      </c>
      <c r="E119" s="446">
        <f t="shared" si="109"/>
        <v>7945417</v>
      </c>
      <c r="F119" s="446"/>
      <c r="G119" s="447">
        <v>0</v>
      </c>
      <c r="H119" s="449"/>
      <c r="I119" s="446">
        <f t="shared" si="106"/>
        <v>7945417</v>
      </c>
      <c r="J119" s="446">
        <v>200000</v>
      </c>
      <c r="K119" s="446">
        <v>0.2</v>
      </c>
      <c r="L119" s="446">
        <f>I119*K119</f>
        <v>1589083.4</v>
      </c>
      <c r="M119" s="446">
        <f>J119+L119</f>
        <v>1789083.4</v>
      </c>
      <c r="N119" s="446">
        <f t="shared" si="107"/>
        <v>1789083.4</v>
      </c>
      <c r="O119" s="446">
        <f t="shared" si="108"/>
        <v>6156333.5999999996</v>
      </c>
      <c r="P119" s="446">
        <f>IF(O119&lt;300000,0.07*O119,21000)</f>
        <v>21000</v>
      </c>
      <c r="Q119" s="446">
        <f>IF((O119-300000)&lt;0,0,IF((O119-300000)&lt;300000,0.11*(O119-300000),33000))</f>
        <v>33000</v>
      </c>
      <c r="R119" s="446">
        <f>IF((O119-600000)&lt;0,0,IF((O119-600000)&lt;500000,0.15*(O119-600000),75000))</f>
        <v>75000</v>
      </c>
      <c r="S119" s="446">
        <f>IF((O119-1100000)&lt;0,0,IF((O119-1100000)&lt;500000,0.19*(O119-1100000),95000))</f>
        <v>95000</v>
      </c>
      <c r="T119" s="446">
        <f>IF((O119-1600000)&lt;0,0,IF((O119-1600000)&lt;1600000,0.21*(O119-1600000),336000))</f>
        <v>336000</v>
      </c>
      <c r="U119" s="446">
        <f t="shared" si="103"/>
        <v>709520.06400000001</v>
      </c>
      <c r="V119" s="446">
        <f>P119+Q119+R119+S119+T119+U119</f>
        <v>1269520.064</v>
      </c>
      <c r="W119" s="453">
        <v>12</v>
      </c>
      <c r="X119" s="446">
        <f>V119/W119</f>
        <v>105793.338666667</v>
      </c>
      <c r="Y119" s="449"/>
      <c r="Z119" s="457">
        <f>X119</f>
        <v>105793.338666667</v>
      </c>
      <c r="AA119" s="458">
        <v>60214.677290666703</v>
      </c>
      <c r="AB119" s="458">
        <f t="shared" si="110"/>
        <v>45578.661375999996</v>
      </c>
      <c r="AC119" s="458"/>
      <c r="AD119" s="458"/>
      <c r="AE119" s="458"/>
    </row>
    <row r="120" spans="1:31" ht="18">
      <c r="A120" s="443">
        <v>101</v>
      </c>
      <c r="B120" s="10" t="s">
        <v>396</v>
      </c>
      <c r="C120" s="446">
        <v>540498</v>
      </c>
      <c r="D120" s="445">
        <v>12</v>
      </c>
      <c r="E120" s="446">
        <f t="shared" si="109"/>
        <v>6485976</v>
      </c>
      <c r="F120" s="446"/>
      <c r="G120" s="447">
        <v>451678.08</v>
      </c>
      <c r="H120" s="449"/>
      <c r="I120" s="446">
        <f t="shared" si="106"/>
        <v>6034297.9199999999</v>
      </c>
      <c r="J120" s="446">
        <v>200000</v>
      </c>
      <c r="K120" s="446">
        <v>0.2</v>
      </c>
      <c r="L120" s="446">
        <f t="shared" ref="L120:L125" si="111">I120*K120</f>
        <v>1206859.584</v>
      </c>
      <c r="M120" s="446">
        <f t="shared" ref="M120:M125" si="112">J120+L120</f>
        <v>1406859.584</v>
      </c>
      <c r="N120" s="446">
        <f t="shared" si="107"/>
        <v>1858537.6640000001</v>
      </c>
      <c r="O120" s="446">
        <f t="shared" si="108"/>
        <v>4627438.3360000001</v>
      </c>
      <c r="P120" s="446">
        <f t="shared" ref="P120:P125" si="113">IF(O120&lt;300000,0.07*O120,21000)</f>
        <v>21000</v>
      </c>
      <c r="Q120" s="446">
        <f t="shared" ref="Q120:Q125" si="114">IF((O120-300000)&lt;0,0,IF((O120-300000)&lt;300000,0.11*(O120-300000),33000))</f>
        <v>33000</v>
      </c>
      <c r="R120" s="446">
        <f t="shared" ref="R120:R125" si="115">IF((O120-600000)&lt;0,0,IF((O120-600000)&lt;500000,0.15*(O120-600000),75000))</f>
        <v>75000</v>
      </c>
      <c r="S120" s="446">
        <f t="shared" ref="S120:S125" si="116">IF((O120-1100000)&lt;0,0,IF((O120-1100000)&lt;500000,0.19*(O120-1100000),95000))</f>
        <v>95000</v>
      </c>
      <c r="T120" s="446">
        <f t="shared" ref="T120:T125" si="117">IF((O120-1600000)&lt;0,0,IF((O120-1600000)&lt;1600000,0.21*(O120-1600000),336000))</f>
        <v>336000</v>
      </c>
      <c r="U120" s="446">
        <f t="shared" si="103"/>
        <v>342585.20064</v>
      </c>
      <c r="V120" s="446">
        <f t="shared" ref="V120:V125" si="118">P120+Q120+R120+S120+T120+U120</f>
        <v>902585.20064000005</v>
      </c>
      <c r="W120" s="453">
        <v>12</v>
      </c>
      <c r="X120" s="446">
        <f t="shared" ref="X120:X125" si="119">V120/W120</f>
        <v>75215.4333866667</v>
      </c>
      <c r="Y120" s="449"/>
      <c r="Z120" s="457">
        <f t="shared" ref="Z120:Z125" si="120">X120</f>
        <v>75215.4333866667</v>
      </c>
      <c r="AA120" s="458">
        <v>44846.6165886667</v>
      </c>
      <c r="AB120" s="458">
        <f t="shared" si="110"/>
        <v>30368.816798</v>
      </c>
      <c r="AC120" s="458"/>
      <c r="AD120" s="458"/>
      <c r="AE120" s="458"/>
    </row>
    <row r="121" spans="1:31" ht="18">
      <c r="A121" s="443">
        <v>103</v>
      </c>
      <c r="B121" s="10" t="s">
        <v>398</v>
      </c>
      <c r="C121" s="446">
        <v>512746.5</v>
      </c>
      <c r="D121" s="445">
        <v>12</v>
      </c>
      <c r="E121" s="446">
        <f t="shared" si="109"/>
        <v>6152958</v>
      </c>
      <c r="F121" s="452">
        <f>646.3525*12</f>
        <v>7756.23</v>
      </c>
      <c r="G121" s="447">
        <v>425036.64</v>
      </c>
      <c r="H121" s="449"/>
      <c r="I121" s="446">
        <f t="shared" si="106"/>
        <v>5720165.1299999999</v>
      </c>
      <c r="J121" s="446">
        <v>200000</v>
      </c>
      <c r="K121" s="446">
        <v>0.2</v>
      </c>
      <c r="L121" s="446">
        <f t="shared" si="111"/>
        <v>1144033.0260000001</v>
      </c>
      <c r="M121" s="446">
        <f t="shared" si="112"/>
        <v>1344033.0260000001</v>
      </c>
      <c r="N121" s="446">
        <f t="shared" si="107"/>
        <v>1776825.8959999999</v>
      </c>
      <c r="O121" s="446">
        <f t="shared" si="108"/>
        <v>4376132.1040000003</v>
      </c>
      <c r="P121" s="446">
        <f t="shared" si="113"/>
        <v>21000</v>
      </c>
      <c r="Q121" s="446">
        <f t="shared" si="114"/>
        <v>33000</v>
      </c>
      <c r="R121" s="446">
        <f t="shared" si="115"/>
        <v>75000</v>
      </c>
      <c r="S121" s="446">
        <f t="shared" si="116"/>
        <v>95000</v>
      </c>
      <c r="T121" s="446">
        <f t="shared" si="117"/>
        <v>336000</v>
      </c>
      <c r="U121" s="446">
        <f t="shared" si="103"/>
        <v>282271.70496</v>
      </c>
      <c r="V121" s="446">
        <f t="shared" si="118"/>
        <v>842271.70496</v>
      </c>
      <c r="W121" s="453">
        <v>12</v>
      </c>
      <c r="X121" s="446">
        <f t="shared" si="119"/>
        <v>70189.308746666706</v>
      </c>
      <c r="Y121" s="449"/>
      <c r="Z121" s="457">
        <f t="shared" si="120"/>
        <v>70189.308746666706</v>
      </c>
      <c r="AA121" s="458">
        <v>42029.589186666701</v>
      </c>
      <c r="AB121" s="458">
        <f t="shared" si="110"/>
        <v>28159.719560000001</v>
      </c>
      <c r="AC121" s="458"/>
      <c r="AD121" s="458"/>
      <c r="AE121" s="458"/>
    </row>
    <row r="122" spans="1:31" ht="18">
      <c r="A122" s="443">
        <v>105</v>
      </c>
      <c r="B122" s="10" t="s">
        <v>400</v>
      </c>
      <c r="C122" s="446">
        <v>526622.25</v>
      </c>
      <c r="D122" s="445">
        <v>12</v>
      </c>
      <c r="E122" s="446">
        <f t="shared" si="109"/>
        <v>6319467</v>
      </c>
      <c r="F122" s="452">
        <f>668.31625*12</f>
        <v>8019.7950000000001</v>
      </c>
      <c r="G122" s="447">
        <v>438357.36</v>
      </c>
      <c r="H122" s="449"/>
      <c r="I122" s="446">
        <f t="shared" si="106"/>
        <v>5873089.8449999997</v>
      </c>
      <c r="J122" s="446">
        <v>200000</v>
      </c>
      <c r="K122" s="446">
        <v>0.2</v>
      </c>
      <c r="L122" s="446">
        <f t="shared" si="111"/>
        <v>1174617.969</v>
      </c>
      <c r="M122" s="446">
        <f t="shared" si="112"/>
        <v>1374617.969</v>
      </c>
      <c r="N122" s="446">
        <f t="shared" si="107"/>
        <v>1820995.1240000001</v>
      </c>
      <c r="O122" s="446">
        <f t="shared" si="108"/>
        <v>4498471.8760000002</v>
      </c>
      <c r="P122" s="446">
        <f t="shared" si="113"/>
        <v>21000</v>
      </c>
      <c r="Q122" s="446">
        <f t="shared" si="114"/>
        <v>33000</v>
      </c>
      <c r="R122" s="446">
        <f t="shared" si="115"/>
        <v>75000</v>
      </c>
      <c r="S122" s="446">
        <f t="shared" si="116"/>
        <v>95000</v>
      </c>
      <c r="T122" s="446">
        <f t="shared" si="117"/>
        <v>336000</v>
      </c>
      <c r="U122" s="446">
        <f t="shared" si="103"/>
        <v>311633.25024000002</v>
      </c>
      <c r="V122" s="446">
        <f t="shared" si="118"/>
        <v>871633.25023999996</v>
      </c>
      <c r="W122" s="453">
        <v>12</v>
      </c>
      <c r="X122" s="446">
        <f t="shared" si="119"/>
        <v>72636.104186666693</v>
      </c>
      <c r="Y122" s="449"/>
      <c r="Z122" s="457">
        <f t="shared" si="120"/>
        <v>72636.104186666693</v>
      </c>
      <c r="AA122" s="458">
        <v>43380.096246666697</v>
      </c>
      <c r="AB122" s="458">
        <f t="shared" si="110"/>
        <v>29256.00794</v>
      </c>
      <c r="AC122" s="458"/>
      <c r="AD122" s="458"/>
      <c r="AE122" s="458"/>
    </row>
    <row r="123" spans="1:31" ht="18">
      <c r="A123" s="443">
        <v>106</v>
      </c>
      <c r="B123" s="10" t="s">
        <v>401</v>
      </c>
      <c r="C123" s="446">
        <v>330481.66666666698</v>
      </c>
      <c r="D123" s="445">
        <v>12</v>
      </c>
      <c r="E123" s="446">
        <f t="shared" si="109"/>
        <v>3965780</v>
      </c>
      <c r="F123" s="446"/>
      <c r="G123" s="447">
        <v>259662.4</v>
      </c>
      <c r="H123" s="449"/>
      <c r="I123" s="446">
        <f t="shared" si="106"/>
        <v>3706117.6</v>
      </c>
      <c r="J123" s="446">
        <v>200000</v>
      </c>
      <c r="K123" s="446">
        <v>0.2</v>
      </c>
      <c r="L123" s="446">
        <f t="shared" si="111"/>
        <v>741223.52</v>
      </c>
      <c r="M123" s="446">
        <f t="shared" si="112"/>
        <v>941223.52</v>
      </c>
      <c r="N123" s="446">
        <f t="shared" si="107"/>
        <v>1200885.92</v>
      </c>
      <c r="O123" s="446">
        <f t="shared" si="108"/>
        <v>2764894.08</v>
      </c>
      <c r="P123" s="446">
        <f t="shared" si="113"/>
        <v>21000</v>
      </c>
      <c r="Q123" s="446">
        <f t="shared" si="114"/>
        <v>33000</v>
      </c>
      <c r="R123" s="446">
        <f t="shared" si="115"/>
        <v>75000</v>
      </c>
      <c r="S123" s="446">
        <f t="shared" si="116"/>
        <v>95000</v>
      </c>
      <c r="T123" s="446">
        <f t="shared" si="117"/>
        <v>244627.7568</v>
      </c>
      <c r="U123" s="446"/>
      <c r="V123" s="446">
        <f t="shared" si="118"/>
        <v>468627.75679999997</v>
      </c>
      <c r="W123" s="453">
        <v>12</v>
      </c>
      <c r="X123" s="446">
        <f t="shared" si="119"/>
        <v>39052.313066666698</v>
      </c>
      <c r="Y123" s="449"/>
      <c r="Z123" s="457">
        <f t="shared" si="120"/>
        <v>39052.313066666698</v>
      </c>
      <c r="AA123" s="458">
        <v>23036.012346666699</v>
      </c>
      <c r="AB123" s="458">
        <f t="shared" si="110"/>
        <v>16016.300719999999</v>
      </c>
      <c r="AC123" s="458"/>
      <c r="AD123" s="458"/>
      <c r="AE123" s="458"/>
    </row>
    <row r="124" spans="1:31" ht="18">
      <c r="A124" s="443">
        <v>107</v>
      </c>
      <c r="B124" s="17" t="s">
        <v>403</v>
      </c>
      <c r="C124" s="446">
        <v>274459.75</v>
      </c>
      <c r="D124" s="445">
        <v>12</v>
      </c>
      <c r="E124" s="446">
        <f t="shared" si="109"/>
        <v>3293517</v>
      </c>
      <c r="F124" s="446"/>
      <c r="G124" s="447">
        <v>215481.36</v>
      </c>
      <c r="H124" s="449"/>
      <c r="I124" s="446">
        <f t="shared" si="106"/>
        <v>3078035.64</v>
      </c>
      <c r="J124" s="446">
        <v>200000</v>
      </c>
      <c r="K124" s="446">
        <v>0.2</v>
      </c>
      <c r="L124" s="446">
        <f t="shared" si="111"/>
        <v>615607.12800000003</v>
      </c>
      <c r="M124" s="446">
        <f t="shared" si="112"/>
        <v>815607.12800000003</v>
      </c>
      <c r="N124" s="446">
        <f t="shared" si="107"/>
        <v>1031088.488</v>
      </c>
      <c r="O124" s="446">
        <f t="shared" si="108"/>
        <v>2262428.5120000001</v>
      </c>
      <c r="P124" s="446">
        <f t="shared" si="113"/>
        <v>21000</v>
      </c>
      <c r="Q124" s="446">
        <f t="shared" si="114"/>
        <v>33000</v>
      </c>
      <c r="R124" s="446">
        <f t="shared" si="115"/>
        <v>75000</v>
      </c>
      <c r="S124" s="446">
        <f t="shared" si="116"/>
        <v>95000</v>
      </c>
      <c r="T124" s="446">
        <f t="shared" si="117"/>
        <v>139109.98752</v>
      </c>
      <c r="U124" s="446"/>
      <c r="V124" s="446">
        <f t="shared" si="118"/>
        <v>363109.98752000002</v>
      </c>
      <c r="W124" s="453">
        <v>12</v>
      </c>
      <c r="X124" s="446">
        <f t="shared" si="119"/>
        <v>30259.165626666701</v>
      </c>
      <c r="Y124" s="449"/>
      <c r="Z124" s="457">
        <f t="shared" si="120"/>
        <v>30259.165626666701</v>
      </c>
      <c r="AA124" s="458">
        <v>17042.713866666702</v>
      </c>
      <c r="AB124" s="458">
        <f t="shared" si="110"/>
        <v>13216.45176</v>
      </c>
      <c r="AC124" s="458"/>
      <c r="AD124" s="458"/>
      <c r="AE124" s="458"/>
    </row>
    <row r="125" spans="1:31" ht="18">
      <c r="A125" s="443">
        <v>108</v>
      </c>
      <c r="B125" s="17" t="s">
        <v>405</v>
      </c>
      <c r="C125" s="446">
        <v>274459.75</v>
      </c>
      <c r="D125" s="445">
        <v>12</v>
      </c>
      <c r="E125" s="446">
        <f t="shared" si="109"/>
        <v>3293517</v>
      </c>
      <c r="F125" s="446"/>
      <c r="G125" s="447">
        <v>215481.36</v>
      </c>
      <c r="H125" s="449"/>
      <c r="I125" s="446">
        <f t="shared" si="106"/>
        <v>3078035.64</v>
      </c>
      <c r="J125" s="446">
        <v>200000</v>
      </c>
      <c r="K125" s="446">
        <v>0.2</v>
      </c>
      <c r="L125" s="446">
        <f t="shared" si="111"/>
        <v>615607.12800000003</v>
      </c>
      <c r="M125" s="446">
        <f t="shared" si="112"/>
        <v>815607.12800000003</v>
      </c>
      <c r="N125" s="446">
        <f t="shared" si="107"/>
        <v>1031088.488</v>
      </c>
      <c r="O125" s="446">
        <f t="shared" si="108"/>
        <v>2262428.5120000001</v>
      </c>
      <c r="P125" s="446">
        <f t="shared" si="113"/>
        <v>21000</v>
      </c>
      <c r="Q125" s="446">
        <f t="shared" si="114"/>
        <v>33000</v>
      </c>
      <c r="R125" s="446">
        <f t="shared" si="115"/>
        <v>75000</v>
      </c>
      <c r="S125" s="446">
        <f t="shared" si="116"/>
        <v>95000</v>
      </c>
      <c r="T125" s="446">
        <f t="shared" si="117"/>
        <v>139109.98752</v>
      </c>
      <c r="U125" s="446"/>
      <c r="V125" s="446">
        <f t="shared" si="118"/>
        <v>363109.98752000002</v>
      </c>
      <c r="W125" s="453">
        <v>12</v>
      </c>
      <c r="X125" s="446">
        <f t="shared" si="119"/>
        <v>30259.165626666701</v>
      </c>
      <c r="Y125" s="449"/>
      <c r="Z125" s="457">
        <f t="shared" si="120"/>
        <v>30259.165626666701</v>
      </c>
      <c r="AA125" s="458">
        <v>17042.713866666702</v>
      </c>
      <c r="AB125" s="458">
        <f t="shared" si="110"/>
        <v>13216.45176</v>
      </c>
      <c r="AC125" s="458"/>
      <c r="AD125" s="458"/>
      <c r="AE125" s="458"/>
    </row>
    <row r="126" spans="1:31" ht="17.5">
      <c r="A126" s="443">
        <v>109</v>
      </c>
      <c r="B126" s="19" t="s">
        <v>34</v>
      </c>
      <c r="C126" s="446"/>
      <c r="D126" s="445"/>
      <c r="E126" s="446"/>
      <c r="F126" s="446"/>
      <c r="G126" s="449"/>
      <c r="H126" s="449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53"/>
      <c r="X126" s="446"/>
      <c r="Y126" s="449"/>
      <c r="Z126" s="457"/>
      <c r="AA126" s="458"/>
      <c r="AB126" s="458"/>
      <c r="AC126" s="458"/>
      <c r="AD126" s="458"/>
      <c r="AE126" s="458"/>
    </row>
    <row r="127" spans="1:31" ht="17.5">
      <c r="A127" s="443">
        <v>110</v>
      </c>
      <c r="B127" s="21"/>
      <c r="C127" s="446"/>
      <c r="U127" s="459"/>
      <c r="Z127" s="460"/>
      <c r="AC127" s="458"/>
      <c r="AD127" s="458"/>
      <c r="AE127" s="458"/>
    </row>
    <row r="128" spans="1:31" ht="17.5">
      <c r="A128" s="443">
        <v>111</v>
      </c>
      <c r="B128" s="19" t="s">
        <v>71</v>
      </c>
      <c r="C128" s="446"/>
      <c r="U128" s="459"/>
      <c r="Z128" s="460"/>
      <c r="AC128" s="458"/>
      <c r="AD128" s="458"/>
      <c r="AE128" s="458"/>
    </row>
    <row r="129" spans="1:31" ht="18">
      <c r="A129" s="443">
        <v>112</v>
      </c>
      <c r="B129" s="10" t="s">
        <v>407</v>
      </c>
      <c r="C129" s="446">
        <v>1535720</v>
      </c>
      <c r="D129" s="445">
        <v>12</v>
      </c>
      <c r="E129" s="446">
        <f>C129*D129</f>
        <v>18428640</v>
      </c>
      <c r="F129" s="446"/>
      <c r="G129" s="447">
        <v>1378291.2</v>
      </c>
      <c r="H129" s="449"/>
      <c r="I129" s="446">
        <f t="shared" ref="I129:I187" si="121">E129-F129-G129-H129</f>
        <v>17050348.800000001</v>
      </c>
      <c r="J129" s="446">
        <v>200000</v>
      </c>
      <c r="K129" s="446">
        <v>0.2</v>
      </c>
      <c r="L129" s="446">
        <f t="shared" ref="L129:L187" si="122">I129*K129</f>
        <v>3410069.76</v>
      </c>
      <c r="M129" s="446">
        <f t="shared" ref="M129:M187" si="123">J129+L129</f>
        <v>3610069.76</v>
      </c>
      <c r="N129" s="446">
        <f t="shared" ref="N129:N187" si="124">F129+G129+H129+M129</f>
        <v>4988360.96</v>
      </c>
      <c r="O129" s="446">
        <f t="shared" ref="O129:O187" si="125">E129-N129</f>
        <v>13440279.039999999</v>
      </c>
      <c r="P129" s="446">
        <f t="shared" ref="P129:P187" si="126">IF(O129&lt;300000,0.07*O129,21000)</f>
        <v>21000</v>
      </c>
      <c r="Q129" s="446">
        <f t="shared" ref="Q129:Q187" si="127">IF((O129-300000)&lt;0,0,IF((O129-300000)&lt;300000,0.11*(O129-300000),33000))</f>
        <v>33000</v>
      </c>
      <c r="R129" s="446">
        <f t="shared" ref="R129:R187" si="128">IF((O129-600000)&lt;0,0,IF((O129-600000)&lt;500000,0.15*(O129-600000),75000))</f>
        <v>75000</v>
      </c>
      <c r="S129" s="446">
        <f t="shared" ref="S129:S187" si="129">IF((O129-1100000)&lt;0,0,IF((O129-1100000)&lt;500000,0.19*(O129-1100000),95000))</f>
        <v>95000</v>
      </c>
      <c r="T129" s="446">
        <f t="shared" ref="T129:T187" si="130">IF((O129-1600000)&lt;0,0,IF((O129-1600000)&lt;1600000,0.21*(O129-1600000),336000))</f>
        <v>336000</v>
      </c>
      <c r="U129" s="446">
        <f t="shared" si="103"/>
        <v>2457666.9696</v>
      </c>
      <c r="V129" s="446">
        <f>P129+Q129+R129+S129+T129+U129</f>
        <v>3017666.9696</v>
      </c>
      <c r="W129" s="453">
        <v>12</v>
      </c>
      <c r="X129" s="446">
        <f t="shared" ref="X129:X187" si="131">V129/W129</f>
        <v>251472.247466667</v>
      </c>
      <c r="Y129" s="449"/>
      <c r="Z129" s="457">
        <f t="shared" ref="Z129:Z187" si="132">X129</f>
        <v>251472.247466667</v>
      </c>
      <c r="AA129" s="458">
        <v>161106.806858667</v>
      </c>
      <c r="AB129" s="458">
        <f>Z129-AA129</f>
        <v>90365.440607999903</v>
      </c>
      <c r="AC129" s="458"/>
      <c r="AD129" s="458"/>
      <c r="AE129" s="458"/>
    </row>
    <row r="130" spans="1:31" ht="18">
      <c r="A130" s="443">
        <v>113</v>
      </c>
      <c r="B130" s="10" t="s">
        <v>229</v>
      </c>
      <c r="C130" s="446">
        <v>852373.16666666698</v>
      </c>
      <c r="D130" s="445">
        <v>12</v>
      </c>
      <c r="E130" s="446">
        <f t="shared" ref="E130:E187" si="133">C130*D130</f>
        <v>10228478</v>
      </c>
      <c r="F130" s="446"/>
      <c r="G130" s="447">
        <v>0</v>
      </c>
      <c r="H130" s="449"/>
      <c r="I130" s="446">
        <f t="shared" si="121"/>
        <v>10228478</v>
      </c>
      <c r="J130" s="446">
        <v>200000</v>
      </c>
      <c r="K130" s="446">
        <v>0.2</v>
      </c>
      <c r="L130" s="446">
        <f t="shared" si="122"/>
        <v>2045695.6</v>
      </c>
      <c r="M130" s="446">
        <f t="shared" si="123"/>
        <v>2245695.6</v>
      </c>
      <c r="N130" s="446">
        <f t="shared" si="124"/>
        <v>2245695.6</v>
      </c>
      <c r="O130" s="446">
        <f t="shared" si="125"/>
        <v>7982782.4000000004</v>
      </c>
      <c r="P130" s="446">
        <f t="shared" si="126"/>
        <v>21000</v>
      </c>
      <c r="Q130" s="446">
        <f t="shared" si="127"/>
        <v>33000</v>
      </c>
      <c r="R130" s="446">
        <f t="shared" si="128"/>
        <v>75000</v>
      </c>
      <c r="S130" s="446">
        <f t="shared" si="129"/>
        <v>95000</v>
      </c>
      <c r="T130" s="446">
        <f t="shared" si="130"/>
        <v>336000</v>
      </c>
      <c r="U130" s="446">
        <f t="shared" si="103"/>
        <v>1147867.7760000001</v>
      </c>
      <c r="V130" s="446">
        <f>P130+Q130+R130+S130+T130+U130</f>
        <v>1707867.7760000001</v>
      </c>
      <c r="W130" s="453">
        <v>12</v>
      </c>
      <c r="X130" s="446">
        <f t="shared" si="131"/>
        <v>142322.31466666699</v>
      </c>
      <c r="Y130" s="449"/>
      <c r="Z130" s="457">
        <f t="shared" si="132"/>
        <v>142322.31466666699</v>
      </c>
      <c r="AA130" s="458">
        <v>82627.951418666693</v>
      </c>
      <c r="AB130" s="458">
        <f t="shared" ref="AB130:AB187" si="134">Z130-AA130</f>
        <v>59694.363248000001</v>
      </c>
      <c r="AC130" s="458"/>
      <c r="AD130" s="458"/>
      <c r="AE130" s="458"/>
    </row>
    <row r="131" spans="1:31" ht="18">
      <c r="A131" s="443">
        <v>114</v>
      </c>
      <c r="B131" s="13" t="s">
        <v>409</v>
      </c>
      <c r="C131" s="446">
        <v>902373.16666666698</v>
      </c>
      <c r="D131" s="445">
        <v>12</v>
      </c>
      <c r="E131" s="446">
        <f t="shared" si="133"/>
        <v>10828478</v>
      </c>
      <c r="F131" s="446">
        <f>1066.32925*12</f>
        <v>12795.950999999999</v>
      </c>
      <c r="G131" s="447">
        <v>731878.24</v>
      </c>
      <c r="H131" s="449"/>
      <c r="I131" s="446">
        <f t="shared" si="121"/>
        <v>10083803.809</v>
      </c>
      <c r="J131" s="446">
        <v>200000</v>
      </c>
      <c r="K131" s="446">
        <v>0.2</v>
      </c>
      <c r="L131" s="446">
        <f t="shared" si="122"/>
        <v>2016760.7618</v>
      </c>
      <c r="M131" s="446">
        <f t="shared" si="123"/>
        <v>2216760.7618</v>
      </c>
      <c r="N131" s="446">
        <f t="shared" si="124"/>
        <v>2961434.9528000001</v>
      </c>
      <c r="O131" s="446">
        <f t="shared" si="125"/>
        <v>7867043.0471999999</v>
      </c>
      <c r="P131" s="446">
        <f t="shared" si="126"/>
        <v>21000</v>
      </c>
      <c r="Q131" s="446">
        <f t="shared" si="127"/>
        <v>33000</v>
      </c>
      <c r="R131" s="446">
        <f t="shared" si="128"/>
        <v>75000</v>
      </c>
      <c r="S131" s="446">
        <f t="shared" si="129"/>
        <v>95000</v>
      </c>
      <c r="T131" s="446">
        <f t="shared" si="130"/>
        <v>336000</v>
      </c>
      <c r="U131" s="446">
        <f t="shared" si="103"/>
        <v>1120090.3313279999</v>
      </c>
      <c r="V131" s="446">
        <f>P131+Q131+R131+S131+T131+U131</f>
        <v>1680090.3313279999</v>
      </c>
      <c r="W131" s="453">
        <v>12</v>
      </c>
      <c r="X131" s="446">
        <f t="shared" si="131"/>
        <v>140007.52761066699</v>
      </c>
      <c r="Y131" s="449"/>
      <c r="Z131" s="457">
        <f t="shared" si="132"/>
        <v>140007.52761066699</v>
      </c>
      <c r="AA131" s="458">
        <v>92023.216202666707</v>
      </c>
      <c r="AB131" s="458">
        <f t="shared" si="134"/>
        <v>47984.311408000001</v>
      </c>
      <c r="AC131" s="458"/>
      <c r="AD131" s="458"/>
      <c r="AE131" s="458"/>
    </row>
    <row r="132" spans="1:31" ht="18">
      <c r="A132" s="443">
        <v>115</v>
      </c>
      <c r="B132" s="10" t="s">
        <v>411</v>
      </c>
      <c r="C132" s="446">
        <v>554373.75</v>
      </c>
      <c r="D132" s="445">
        <v>12</v>
      </c>
      <c r="E132" s="446">
        <f t="shared" si="133"/>
        <v>6652485</v>
      </c>
      <c r="F132" s="446">
        <f>712.24525*12</f>
        <v>8546.9429999999993</v>
      </c>
      <c r="G132" s="447">
        <v>464998.8</v>
      </c>
      <c r="H132" s="449"/>
      <c r="I132" s="446">
        <f t="shared" si="121"/>
        <v>6178939.2570000002</v>
      </c>
      <c r="J132" s="446">
        <v>200000</v>
      </c>
      <c r="K132" s="446">
        <v>0.2</v>
      </c>
      <c r="L132" s="446">
        <f t="shared" si="122"/>
        <v>1235787.8514</v>
      </c>
      <c r="M132" s="446">
        <f t="shared" si="123"/>
        <v>1435787.8514</v>
      </c>
      <c r="N132" s="446">
        <f t="shared" si="124"/>
        <v>1909333.5944000001</v>
      </c>
      <c r="O132" s="446">
        <f t="shared" si="125"/>
        <v>4743151.4056000002</v>
      </c>
      <c r="P132" s="446">
        <f t="shared" si="126"/>
        <v>21000</v>
      </c>
      <c r="Q132" s="446">
        <f t="shared" si="127"/>
        <v>33000</v>
      </c>
      <c r="R132" s="446">
        <f t="shared" si="128"/>
        <v>75000</v>
      </c>
      <c r="S132" s="446">
        <f t="shared" si="129"/>
        <v>95000</v>
      </c>
      <c r="T132" s="446">
        <f t="shared" si="130"/>
        <v>336000</v>
      </c>
      <c r="U132" s="446">
        <f t="shared" si="103"/>
        <v>370356.337344</v>
      </c>
      <c r="V132" s="446">
        <f t="shared" ref="V132:V187" si="135">P132+Q132+R132+S132+T132+U132</f>
        <v>930356.337344</v>
      </c>
      <c r="W132" s="453">
        <v>12</v>
      </c>
      <c r="X132" s="446">
        <f t="shared" si="131"/>
        <v>77529.694778666701</v>
      </c>
      <c r="Y132" s="449"/>
      <c r="Z132" s="457">
        <f t="shared" si="132"/>
        <v>77529.694778666701</v>
      </c>
      <c r="AA132" s="458">
        <v>46081.202598666699</v>
      </c>
      <c r="AB132" s="458">
        <f t="shared" si="134"/>
        <v>31448.492180000001</v>
      </c>
      <c r="AC132" s="458"/>
      <c r="AD132" s="458"/>
      <c r="AE132" s="458"/>
    </row>
    <row r="133" spans="1:31" ht="18">
      <c r="A133" s="443">
        <v>116</v>
      </c>
      <c r="B133" s="10" t="s">
        <v>413</v>
      </c>
      <c r="C133" s="446">
        <v>554373.75</v>
      </c>
      <c r="D133" s="445">
        <v>12</v>
      </c>
      <c r="E133" s="446">
        <f t="shared" si="133"/>
        <v>6652485</v>
      </c>
      <c r="F133" s="446">
        <f>712.24525*12</f>
        <v>8546.9429999999993</v>
      </c>
      <c r="G133" s="447">
        <v>464998.8</v>
      </c>
      <c r="H133" s="449"/>
      <c r="I133" s="446">
        <f t="shared" si="121"/>
        <v>6178939.2570000002</v>
      </c>
      <c r="J133" s="446">
        <v>200000</v>
      </c>
      <c r="K133" s="446">
        <v>0.2</v>
      </c>
      <c r="L133" s="446">
        <f t="shared" si="122"/>
        <v>1235787.8514</v>
      </c>
      <c r="M133" s="446">
        <f t="shared" si="123"/>
        <v>1435787.8514</v>
      </c>
      <c r="N133" s="446">
        <f t="shared" si="124"/>
        <v>1909333.5944000001</v>
      </c>
      <c r="O133" s="446">
        <f t="shared" si="125"/>
        <v>4743151.4056000002</v>
      </c>
      <c r="P133" s="446">
        <f t="shared" si="126"/>
        <v>21000</v>
      </c>
      <c r="Q133" s="446">
        <f t="shared" si="127"/>
        <v>33000</v>
      </c>
      <c r="R133" s="446">
        <f t="shared" si="128"/>
        <v>75000</v>
      </c>
      <c r="S133" s="446">
        <f t="shared" si="129"/>
        <v>95000</v>
      </c>
      <c r="T133" s="446">
        <f t="shared" si="130"/>
        <v>336000</v>
      </c>
      <c r="U133" s="446">
        <f t="shared" si="103"/>
        <v>370356.337344</v>
      </c>
      <c r="V133" s="446">
        <f t="shared" si="135"/>
        <v>930356.337344</v>
      </c>
      <c r="W133" s="453">
        <v>12</v>
      </c>
      <c r="X133" s="446">
        <f t="shared" si="131"/>
        <v>77529.694778666701</v>
      </c>
      <c r="Y133" s="449"/>
      <c r="Z133" s="457">
        <f t="shared" si="132"/>
        <v>77529.694778666701</v>
      </c>
      <c r="AA133" s="458">
        <v>46081.202598666699</v>
      </c>
      <c r="AB133" s="458">
        <f t="shared" si="134"/>
        <v>31448.492180000001</v>
      </c>
      <c r="AC133" s="458"/>
      <c r="AD133" s="458"/>
      <c r="AE133" s="458"/>
    </row>
    <row r="134" spans="1:31" ht="18">
      <c r="A134" s="443">
        <v>117</v>
      </c>
      <c r="B134" s="10" t="s">
        <v>415</v>
      </c>
      <c r="C134" s="446">
        <v>554373.75</v>
      </c>
      <c r="D134" s="445">
        <v>12</v>
      </c>
      <c r="E134" s="446">
        <f t="shared" si="133"/>
        <v>6652485</v>
      </c>
      <c r="F134" s="446">
        <f>712.24525*12</f>
        <v>8546.9429999999993</v>
      </c>
      <c r="G134" s="447">
        <v>464998.8</v>
      </c>
      <c r="H134" s="449"/>
      <c r="I134" s="446">
        <f t="shared" si="121"/>
        <v>6178939.2570000002</v>
      </c>
      <c r="J134" s="446">
        <v>200000</v>
      </c>
      <c r="K134" s="446">
        <v>0.2</v>
      </c>
      <c r="L134" s="446">
        <f t="shared" si="122"/>
        <v>1235787.8514</v>
      </c>
      <c r="M134" s="446">
        <f t="shared" si="123"/>
        <v>1435787.8514</v>
      </c>
      <c r="N134" s="446">
        <f t="shared" si="124"/>
        <v>1909333.5944000001</v>
      </c>
      <c r="O134" s="446">
        <f t="shared" si="125"/>
        <v>4743151.4056000002</v>
      </c>
      <c r="P134" s="446">
        <f t="shared" si="126"/>
        <v>21000</v>
      </c>
      <c r="Q134" s="446">
        <f t="shared" si="127"/>
        <v>33000</v>
      </c>
      <c r="R134" s="446">
        <f t="shared" si="128"/>
        <v>75000</v>
      </c>
      <c r="S134" s="446">
        <f t="shared" si="129"/>
        <v>95000</v>
      </c>
      <c r="T134" s="446">
        <f t="shared" si="130"/>
        <v>336000</v>
      </c>
      <c r="U134" s="446">
        <f t="shared" si="103"/>
        <v>370356.337344</v>
      </c>
      <c r="V134" s="446">
        <f t="shared" si="135"/>
        <v>930356.337344</v>
      </c>
      <c r="W134" s="453">
        <v>12</v>
      </c>
      <c r="X134" s="446">
        <f t="shared" si="131"/>
        <v>77529.694778666701</v>
      </c>
      <c r="Y134" s="449"/>
      <c r="Z134" s="457">
        <f t="shared" si="132"/>
        <v>77529.694778666701</v>
      </c>
      <c r="AA134" s="458">
        <v>46081.202598666699</v>
      </c>
      <c r="AB134" s="458">
        <f t="shared" si="134"/>
        <v>31448.492180000001</v>
      </c>
      <c r="AC134" s="458"/>
      <c r="AD134" s="458"/>
      <c r="AE134" s="458"/>
    </row>
    <row r="135" spans="1:31" ht="18">
      <c r="A135" s="443">
        <v>118</v>
      </c>
      <c r="B135" s="10" t="s">
        <v>416</v>
      </c>
      <c r="C135" s="446">
        <v>450086.5</v>
      </c>
      <c r="D135" s="445">
        <v>12</v>
      </c>
      <c r="E135" s="446">
        <f t="shared" si="133"/>
        <v>5401038</v>
      </c>
      <c r="F135" s="446">
        <f>576.62125*12</f>
        <v>6919.4549999999999</v>
      </c>
      <c r="G135" s="447">
        <v>374483.04</v>
      </c>
      <c r="H135" s="449"/>
      <c r="I135" s="446">
        <f t="shared" si="121"/>
        <v>5019635.5049999999</v>
      </c>
      <c r="J135" s="446">
        <v>200000</v>
      </c>
      <c r="K135" s="446">
        <v>0.2</v>
      </c>
      <c r="L135" s="446">
        <f t="shared" si="122"/>
        <v>1003927.101</v>
      </c>
      <c r="M135" s="446">
        <f t="shared" si="123"/>
        <v>1203927.101</v>
      </c>
      <c r="N135" s="446">
        <f t="shared" si="124"/>
        <v>1585329.5959999999</v>
      </c>
      <c r="O135" s="446">
        <f t="shared" si="125"/>
        <v>3815708.4040000001</v>
      </c>
      <c r="P135" s="446">
        <f t="shared" si="126"/>
        <v>21000</v>
      </c>
      <c r="Q135" s="446">
        <f t="shared" si="127"/>
        <v>33000</v>
      </c>
      <c r="R135" s="446">
        <f t="shared" si="128"/>
        <v>75000</v>
      </c>
      <c r="S135" s="446">
        <f t="shared" si="129"/>
        <v>95000</v>
      </c>
      <c r="T135" s="446">
        <f t="shared" si="130"/>
        <v>336000</v>
      </c>
      <c r="U135" s="446">
        <f t="shared" si="103"/>
        <v>147770.01696000001</v>
      </c>
      <c r="V135" s="446">
        <f t="shared" si="135"/>
        <v>707770.01696000004</v>
      </c>
      <c r="W135" s="453">
        <v>12</v>
      </c>
      <c r="X135" s="446">
        <f t="shared" si="131"/>
        <v>58980.834746666696</v>
      </c>
      <c r="Y135" s="449"/>
      <c r="Z135" s="457">
        <f t="shared" si="132"/>
        <v>58980.834746666696</v>
      </c>
      <c r="AA135" s="458">
        <v>35221.954086666701</v>
      </c>
      <c r="AB135" s="458">
        <f t="shared" si="134"/>
        <v>23758.880659999999</v>
      </c>
      <c r="AC135" s="458"/>
      <c r="AD135" s="458"/>
      <c r="AE135" s="458"/>
    </row>
    <row r="136" spans="1:31" ht="18">
      <c r="A136" s="443">
        <v>119</v>
      </c>
      <c r="B136" s="10" t="s">
        <v>418</v>
      </c>
      <c r="C136" s="446">
        <v>450086.5</v>
      </c>
      <c r="D136" s="445">
        <v>12</v>
      </c>
      <c r="E136" s="446">
        <f t="shared" si="133"/>
        <v>5401038</v>
      </c>
      <c r="F136" s="446"/>
      <c r="G136" s="447">
        <v>374483.04</v>
      </c>
      <c r="H136" s="449"/>
      <c r="I136" s="446">
        <f t="shared" si="121"/>
        <v>5026554.96</v>
      </c>
      <c r="J136" s="446">
        <v>200000</v>
      </c>
      <c r="K136" s="446">
        <v>0.2</v>
      </c>
      <c r="L136" s="446">
        <f t="shared" si="122"/>
        <v>1005310.992</v>
      </c>
      <c r="M136" s="446">
        <f t="shared" si="123"/>
        <v>1205310.9920000001</v>
      </c>
      <c r="N136" s="446">
        <f t="shared" si="124"/>
        <v>1579794.0319999999</v>
      </c>
      <c r="O136" s="446">
        <f t="shared" si="125"/>
        <v>3821243.9679999999</v>
      </c>
      <c r="P136" s="446">
        <f t="shared" si="126"/>
        <v>21000</v>
      </c>
      <c r="Q136" s="446">
        <f t="shared" si="127"/>
        <v>33000</v>
      </c>
      <c r="R136" s="446">
        <f t="shared" si="128"/>
        <v>75000</v>
      </c>
      <c r="S136" s="446">
        <f t="shared" si="129"/>
        <v>95000</v>
      </c>
      <c r="T136" s="446">
        <f t="shared" si="130"/>
        <v>336000</v>
      </c>
      <c r="U136" s="446">
        <f t="shared" si="103"/>
        <v>149098.55231999999</v>
      </c>
      <c r="V136" s="446">
        <f t="shared" si="135"/>
        <v>709098.55232000002</v>
      </c>
      <c r="W136" s="453">
        <v>12</v>
      </c>
      <c r="X136" s="446">
        <f t="shared" si="131"/>
        <v>59091.5460266667</v>
      </c>
      <c r="Y136" s="449"/>
      <c r="Z136" s="457">
        <f t="shared" si="132"/>
        <v>59091.5460266667</v>
      </c>
      <c r="AA136" s="458">
        <v>35318.826456666699</v>
      </c>
      <c r="AB136" s="458">
        <f t="shared" si="134"/>
        <v>23772.719570000001</v>
      </c>
      <c r="AC136" s="458"/>
      <c r="AD136" s="458"/>
      <c r="AE136" s="458"/>
    </row>
    <row r="137" spans="1:31" ht="18">
      <c r="A137" s="443">
        <v>120</v>
      </c>
      <c r="B137" s="10" t="s">
        <v>419</v>
      </c>
      <c r="C137" s="446">
        <v>450086.5</v>
      </c>
      <c r="D137" s="445">
        <v>12</v>
      </c>
      <c r="E137" s="446">
        <f t="shared" si="133"/>
        <v>5401038</v>
      </c>
      <c r="F137" s="446"/>
      <c r="G137" s="447">
        <v>374483.04</v>
      </c>
      <c r="H137" s="449"/>
      <c r="I137" s="446">
        <f t="shared" si="121"/>
        <v>5026554.96</v>
      </c>
      <c r="J137" s="446">
        <v>200000</v>
      </c>
      <c r="K137" s="446">
        <v>0.2</v>
      </c>
      <c r="L137" s="446">
        <f t="shared" si="122"/>
        <v>1005310.992</v>
      </c>
      <c r="M137" s="446">
        <f t="shared" si="123"/>
        <v>1205310.9920000001</v>
      </c>
      <c r="N137" s="446">
        <f t="shared" si="124"/>
        <v>1579794.0319999999</v>
      </c>
      <c r="O137" s="446">
        <f t="shared" si="125"/>
        <v>3821243.9679999999</v>
      </c>
      <c r="P137" s="446">
        <f t="shared" si="126"/>
        <v>21000</v>
      </c>
      <c r="Q137" s="446">
        <f t="shared" si="127"/>
        <v>33000</v>
      </c>
      <c r="R137" s="446">
        <f t="shared" si="128"/>
        <v>75000</v>
      </c>
      <c r="S137" s="446">
        <f t="shared" si="129"/>
        <v>95000</v>
      </c>
      <c r="T137" s="446">
        <f t="shared" si="130"/>
        <v>336000</v>
      </c>
      <c r="U137" s="446">
        <f t="shared" si="103"/>
        <v>149098.55231999999</v>
      </c>
      <c r="V137" s="446">
        <f t="shared" si="135"/>
        <v>709098.55232000002</v>
      </c>
      <c r="W137" s="453">
        <v>12</v>
      </c>
      <c r="X137" s="446">
        <f t="shared" si="131"/>
        <v>59091.5460266667</v>
      </c>
      <c r="Y137" s="449"/>
      <c r="Z137" s="457">
        <f t="shared" si="132"/>
        <v>59091.5460266667</v>
      </c>
      <c r="AA137" s="458">
        <v>35318.826456666699</v>
      </c>
      <c r="AB137" s="458">
        <f t="shared" si="134"/>
        <v>23772.719570000001</v>
      </c>
      <c r="AC137" s="458"/>
      <c r="AD137" s="458"/>
      <c r="AE137" s="458"/>
    </row>
    <row r="138" spans="1:31" ht="36">
      <c r="A138" s="443">
        <v>121</v>
      </c>
      <c r="B138" s="10" t="s">
        <v>421</v>
      </c>
      <c r="C138" s="446">
        <v>437895.16666666698</v>
      </c>
      <c r="D138" s="445">
        <v>12</v>
      </c>
      <c r="E138" s="446">
        <f t="shared" si="133"/>
        <v>5254742</v>
      </c>
      <c r="F138" s="446"/>
      <c r="G138" s="447">
        <v>362779.36</v>
      </c>
      <c r="H138" s="449"/>
      <c r="I138" s="446">
        <f t="shared" si="121"/>
        <v>4891962.6399999997</v>
      </c>
      <c r="J138" s="446">
        <v>200000</v>
      </c>
      <c r="K138" s="446">
        <v>0.2</v>
      </c>
      <c r="L138" s="446">
        <f t="shared" si="122"/>
        <v>978392.52800000005</v>
      </c>
      <c r="M138" s="446">
        <f t="shared" si="123"/>
        <v>1178392.5279999999</v>
      </c>
      <c r="N138" s="446">
        <f t="shared" si="124"/>
        <v>1541171.888</v>
      </c>
      <c r="O138" s="446">
        <f t="shared" si="125"/>
        <v>3713570.1120000002</v>
      </c>
      <c r="P138" s="446">
        <f t="shared" si="126"/>
        <v>21000</v>
      </c>
      <c r="Q138" s="446">
        <f t="shared" si="127"/>
        <v>33000</v>
      </c>
      <c r="R138" s="446">
        <f t="shared" si="128"/>
        <v>75000</v>
      </c>
      <c r="S138" s="446">
        <f t="shared" si="129"/>
        <v>95000</v>
      </c>
      <c r="T138" s="446">
        <f t="shared" si="130"/>
        <v>336000</v>
      </c>
      <c r="U138" s="446">
        <f t="shared" si="103"/>
        <v>123256.82687999999</v>
      </c>
      <c r="V138" s="446">
        <f t="shared" si="135"/>
        <v>683256.82687999995</v>
      </c>
      <c r="W138" s="453">
        <v>12</v>
      </c>
      <c r="X138" s="446">
        <f t="shared" si="131"/>
        <v>56938.068906666696</v>
      </c>
      <c r="Y138" s="449"/>
      <c r="Z138" s="457">
        <f t="shared" si="132"/>
        <v>56938.068906666696</v>
      </c>
      <c r="AA138" s="458">
        <v>34968.882414666703</v>
      </c>
      <c r="AB138" s="458">
        <f t="shared" si="134"/>
        <v>21969.186492000001</v>
      </c>
      <c r="AC138" s="458"/>
      <c r="AD138" s="458"/>
      <c r="AE138" s="458"/>
    </row>
    <row r="139" spans="1:31" ht="18">
      <c r="A139" s="443">
        <v>122</v>
      </c>
      <c r="B139" s="10" t="s">
        <v>423</v>
      </c>
      <c r="C139" s="446">
        <v>425703.83333333302</v>
      </c>
      <c r="D139" s="445">
        <v>12</v>
      </c>
      <c r="E139" s="446">
        <f t="shared" si="133"/>
        <v>5108446</v>
      </c>
      <c r="F139" s="446">
        <f>538.022*12</f>
        <v>6456.2640000000001</v>
      </c>
      <c r="G139" s="447">
        <v>351075.68</v>
      </c>
      <c r="H139" s="449"/>
      <c r="I139" s="446">
        <f t="shared" si="121"/>
        <v>4750914.0559999999</v>
      </c>
      <c r="J139" s="446">
        <v>200000</v>
      </c>
      <c r="K139" s="446">
        <v>0.2</v>
      </c>
      <c r="L139" s="446">
        <f t="shared" si="122"/>
        <v>950182.8112</v>
      </c>
      <c r="M139" s="446">
        <f t="shared" si="123"/>
        <v>1150182.8112000001</v>
      </c>
      <c r="N139" s="446">
        <f t="shared" si="124"/>
        <v>1507714.7552</v>
      </c>
      <c r="O139" s="446">
        <f t="shared" si="125"/>
        <v>3600731.2448</v>
      </c>
      <c r="P139" s="446">
        <f t="shared" si="126"/>
        <v>21000</v>
      </c>
      <c r="Q139" s="446">
        <f t="shared" si="127"/>
        <v>33000</v>
      </c>
      <c r="R139" s="446">
        <f t="shared" si="128"/>
        <v>75000</v>
      </c>
      <c r="S139" s="446">
        <f t="shared" si="129"/>
        <v>95000</v>
      </c>
      <c r="T139" s="446">
        <f t="shared" si="130"/>
        <v>336000</v>
      </c>
      <c r="U139" s="446">
        <f t="shared" si="103"/>
        <v>96175.498752</v>
      </c>
      <c r="V139" s="446">
        <f t="shared" si="135"/>
        <v>656175.49875200004</v>
      </c>
      <c r="W139" s="453">
        <v>12</v>
      </c>
      <c r="X139" s="446">
        <f t="shared" si="131"/>
        <v>54681.291562666702</v>
      </c>
      <c r="Y139" s="449"/>
      <c r="Z139" s="457">
        <f t="shared" si="132"/>
        <v>54681.291562666702</v>
      </c>
      <c r="AA139" s="458">
        <v>32848.563402666703</v>
      </c>
      <c r="AB139" s="458">
        <f t="shared" si="134"/>
        <v>21832.728159999999</v>
      </c>
      <c r="AC139" s="458"/>
      <c r="AD139" s="458"/>
      <c r="AE139" s="458"/>
    </row>
    <row r="140" spans="1:31" ht="18">
      <c r="A140" s="443">
        <v>123</v>
      </c>
      <c r="B140" s="10" t="s">
        <v>425</v>
      </c>
      <c r="C140" s="446">
        <v>450086.5</v>
      </c>
      <c r="D140" s="445">
        <v>12</v>
      </c>
      <c r="E140" s="446">
        <f t="shared" si="133"/>
        <v>5401038</v>
      </c>
      <c r="F140" s="446">
        <f>576.62125*12</f>
        <v>6919.4549999999999</v>
      </c>
      <c r="G140" s="447">
        <v>374483.04</v>
      </c>
      <c r="H140" s="449"/>
      <c r="I140" s="446">
        <f t="shared" si="121"/>
        <v>5019635.5049999999</v>
      </c>
      <c r="J140" s="446">
        <v>200000</v>
      </c>
      <c r="K140" s="446">
        <v>0.2</v>
      </c>
      <c r="L140" s="446">
        <f t="shared" si="122"/>
        <v>1003927.101</v>
      </c>
      <c r="M140" s="446">
        <f t="shared" si="123"/>
        <v>1203927.101</v>
      </c>
      <c r="N140" s="446">
        <f t="shared" si="124"/>
        <v>1585329.5959999999</v>
      </c>
      <c r="O140" s="446">
        <f t="shared" si="125"/>
        <v>3815708.4040000001</v>
      </c>
      <c r="P140" s="446">
        <f t="shared" si="126"/>
        <v>21000</v>
      </c>
      <c r="Q140" s="446">
        <f t="shared" si="127"/>
        <v>33000</v>
      </c>
      <c r="R140" s="446">
        <f t="shared" si="128"/>
        <v>75000</v>
      </c>
      <c r="S140" s="446">
        <f t="shared" si="129"/>
        <v>95000</v>
      </c>
      <c r="T140" s="446">
        <f t="shared" si="130"/>
        <v>336000</v>
      </c>
      <c r="U140" s="446">
        <f t="shared" si="103"/>
        <v>147770.01696000001</v>
      </c>
      <c r="V140" s="446">
        <f t="shared" si="135"/>
        <v>707770.01696000004</v>
      </c>
      <c r="W140" s="453">
        <v>12</v>
      </c>
      <c r="X140" s="446">
        <f t="shared" si="131"/>
        <v>58980.834746666696</v>
      </c>
      <c r="Y140" s="449"/>
      <c r="Z140" s="457">
        <f t="shared" si="132"/>
        <v>58980.834746666696</v>
      </c>
      <c r="AA140" s="458">
        <v>35221.954086666701</v>
      </c>
      <c r="AB140" s="458">
        <f t="shared" si="134"/>
        <v>23758.880659999999</v>
      </c>
      <c r="AC140" s="458"/>
      <c r="AD140" s="458"/>
      <c r="AE140" s="458"/>
    </row>
    <row r="141" spans="1:31" ht="18">
      <c r="A141" s="443">
        <v>124</v>
      </c>
      <c r="B141" s="17" t="s">
        <v>427</v>
      </c>
      <c r="C141" s="446">
        <v>413512.5</v>
      </c>
      <c r="D141" s="445">
        <v>12</v>
      </c>
      <c r="E141" s="446">
        <f t="shared" si="133"/>
        <v>4962150</v>
      </c>
      <c r="F141" s="446">
        <v>0</v>
      </c>
      <c r="G141" s="447">
        <v>339372</v>
      </c>
      <c r="H141" s="449"/>
      <c r="I141" s="446">
        <f t="shared" si="121"/>
        <v>4622778</v>
      </c>
      <c r="J141" s="446">
        <v>200000</v>
      </c>
      <c r="K141" s="446">
        <v>0.2</v>
      </c>
      <c r="L141" s="446">
        <f t="shared" si="122"/>
        <v>924555.6</v>
      </c>
      <c r="M141" s="446">
        <f t="shared" si="123"/>
        <v>1124555.6000000001</v>
      </c>
      <c r="N141" s="446">
        <f t="shared" si="124"/>
        <v>1463927.6</v>
      </c>
      <c r="O141" s="446">
        <f t="shared" si="125"/>
        <v>3498222.4</v>
      </c>
      <c r="P141" s="446">
        <f t="shared" si="126"/>
        <v>21000</v>
      </c>
      <c r="Q141" s="446">
        <f t="shared" si="127"/>
        <v>33000</v>
      </c>
      <c r="R141" s="446">
        <f t="shared" si="128"/>
        <v>75000</v>
      </c>
      <c r="S141" s="446">
        <f t="shared" si="129"/>
        <v>95000</v>
      </c>
      <c r="T141" s="446">
        <f t="shared" si="130"/>
        <v>336000</v>
      </c>
      <c r="U141" s="446">
        <f t="shared" si="103"/>
        <v>71573.376000000004</v>
      </c>
      <c r="V141" s="446">
        <f t="shared" si="135"/>
        <v>631573.37600000005</v>
      </c>
      <c r="W141" s="453">
        <v>12</v>
      </c>
      <c r="X141" s="446">
        <f t="shared" si="131"/>
        <v>52631.114666666697</v>
      </c>
      <c r="Y141" s="449"/>
      <c r="Z141" s="457">
        <f t="shared" si="132"/>
        <v>52631.114666666697</v>
      </c>
      <c r="AA141" s="458">
        <v>31749.175266666702</v>
      </c>
      <c r="AB141" s="458">
        <f t="shared" si="134"/>
        <v>20881.939399999999</v>
      </c>
      <c r="AC141" s="458"/>
      <c r="AD141" s="458"/>
      <c r="AE141" s="458"/>
    </row>
    <row r="142" spans="1:31" ht="18">
      <c r="A142" s="443">
        <v>125</v>
      </c>
      <c r="B142" s="10" t="s">
        <v>429</v>
      </c>
      <c r="C142" s="446">
        <v>368901.5</v>
      </c>
      <c r="D142" s="445">
        <v>12</v>
      </c>
      <c r="E142" s="446">
        <f t="shared" si="133"/>
        <v>4426818</v>
      </c>
      <c r="F142" s="446"/>
      <c r="G142" s="447">
        <v>296545.44</v>
      </c>
      <c r="H142" s="449"/>
      <c r="I142" s="446">
        <f t="shared" si="121"/>
        <v>4130272.56</v>
      </c>
      <c r="J142" s="446">
        <v>200000</v>
      </c>
      <c r="K142" s="446">
        <v>0.2</v>
      </c>
      <c r="L142" s="446">
        <f t="shared" si="122"/>
        <v>826054.51199999999</v>
      </c>
      <c r="M142" s="446">
        <f t="shared" si="123"/>
        <v>1026054.512</v>
      </c>
      <c r="N142" s="446">
        <f t="shared" si="124"/>
        <v>1322599.952</v>
      </c>
      <c r="O142" s="446">
        <f t="shared" si="125"/>
        <v>3104218.048</v>
      </c>
      <c r="P142" s="446">
        <f t="shared" si="126"/>
        <v>21000</v>
      </c>
      <c r="Q142" s="446">
        <f t="shared" si="127"/>
        <v>33000</v>
      </c>
      <c r="R142" s="446">
        <f t="shared" si="128"/>
        <v>75000</v>
      </c>
      <c r="S142" s="446">
        <f t="shared" si="129"/>
        <v>95000</v>
      </c>
      <c r="T142" s="446">
        <f t="shared" si="130"/>
        <v>315885.79008000001</v>
      </c>
      <c r="U142" s="446"/>
      <c r="V142" s="446">
        <f t="shared" si="135"/>
        <v>539885.79007999995</v>
      </c>
      <c r="W142" s="453">
        <v>12</v>
      </c>
      <c r="X142" s="446">
        <f t="shared" si="131"/>
        <v>44990.482506666704</v>
      </c>
      <c r="Y142" s="449"/>
      <c r="Z142" s="457">
        <f t="shared" si="132"/>
        <v>44990.482506666704</v>
      </c>
      <c r="AA142" s="458">
        <v>27105.986562666702</v>
      </c>
      <c r="AB142" s="458">
        <f t="shared" si="134"/>
        <v>17884.495943999998</v>
      </c>
      <c r="AC142" s="458"/>
      <c r="AD142" s="458"/>
      <c r="AE142" s="458"/>
    </row>
    <row r="143" spans="1:31" ht="18">
      <c r="A143" s="443">
        <v>126</v>
      </c>
      <c r="B143" s="10" t="s">
        <v>431</v>
      </c>
      <c r="C143" s="446">
        <v>376837.41666666698</v>
      </c>
      <c r="D143" s="445">
        <v>12</v>
      </c>
      <c r="E143" s="446">
        <f t="shared" si="133"/>
        <v>4522049</v>
      </c>
      <c r="F143" s="446">
        <f>469.4825*12</f>
        <v>5633.79</v>
      </c>
      <c r="G143" s="447">
        <v>304163.92</v>
      </c>
      <c r="H143" s="449"/>
      <c r="I143" s="446">
        <f t="shared" si="121"/>
        <v>4212251.29</v>
      </c>
      <c r="J143" s="446">
        <v>200000</v>
      </c>
      <c r="K143" s="446">
        <v>0.2</v>
      </c>
      <c r="L143" s="446">
        <f t="shared" si="122"/>
        <v>842450.25800000003</v>
      </c>
      <c r="M143" s="446">
        <f t="shared" si="123"/>
        <v>1042450.258</v>
      </c>
      <c r="N143" s="446">
        <f t="shared" si="124"/>
        <v>1352247.9680000001</v>
      </c>
      <c r="O143" s="446">
        <f t="shared" si="125"/>
        <v>3169801.0320000001</v>
      </c>
      <c r="P143" s="446">
        <f t="shared" si="126"/>
        <v>21000</v>
      </c>
      <c r="Q143" s="446">
        <f t="shared" si="127"/>
        <v>33000</v>
      </c>
      <c r="R143" s="446">
        <f t="shared" si="128"/>
        <v>75000</v>
      </c>
      <c r="S143" s="446">
        <f t="shared" si="129"/>
        <v>95000</v>
      </c>
      <c r="T143" s="446">
        <f t="shared" si="130"/>
        <v>329658.21672000003</v>
      </c>
      <c r="U143" s="446"/>
      <c r="V143" s="446">
        <f t="shared" si="135"/>
        <v>553658.21672000003</v>
      </c>
      <c r="W143" s="453">
        <v>12</v>
      </c>
      <c r="X143" s="446">
        <f t="shared" si="131"/>
        <v>46138.184726666703</v>
      </c>
      <c r="Y143" s="449"/>
      <c r="Z143" s="457">
        <f t="shared" si="132"/>
        <v>46138.184726666703</v>
      </c>
      <c r="AA143" s="458">
        <v>27794.206626666699</v>
      </c>
      <c r="AB143" s="458">
        <f t="shared" si="134"/>
        <v>18343.9781</v>
      </c>
      <c r="AC143" s="458"/>
      <c r="AD143" s="458"/>
      <c r="AE143" s="458"/>
    </row>
    <row r="144" spans="1:31" ht="18">
      <c r="A144" s="443">
        <v>127</v>
      </c>
      <c r="B144" s="10" t="s">
        <v>433</v>
      </c>
      <c r="C144" s="446">
        <v>376837.41666666698</v>
      </c>
      <c r="D144" s="445">
        <v>12</v>
      </c>
      <c r="E144" s="446">
        <f t="shared" si="133"/>
        <v>4522049</v>
      </c>
      <c r="F144" s="446"/>
      <c r="G144" s="447">
        <v>304163.92</v>
      </c>
      <c r="H144" s="449"/>
      <c r="I144" s="446">
        <f t="shared" si="121"/>
        <v>4217885.08</v>
      </c>
      <c r="J144" s="446">
        <v>200000</v>
      </c>
      <c r="K144" s="446">
        <v>0.2</v>
      </c>
      <c r="L144" s="446">
        <f t="shared" si="122"/>
        <v>843577.01599999995</v>
      </c>
      <c r="M144" s="446">
        <f t="shared" si="123"/>
        <v>1043577.0159999999</v>
      </c>
      <c r="N144" s="446">
        <f t="shared" si="124"/>
        <v>1347740.936</v>
      </c>
      <c r="O144" s="446">
        <f t="shared" si="125"/>
        <v>3174308.0639999998</v>
      </c>
      <c r="P144" s="446">
        <f t="shared" si="126"/>
        <v>21000</v>
      </c>
      <c r="Q144" s="446">
        <f t="shared" si="127"/>
        <v>33000</v>
      </c>
      <c r="R144" s="446">
        <f t="shared" si="128"/>
        <v>75000</v>
      </c>
      <c r="S144" s="446">
        <f t="shared" si="129"/>
        <v>95000</v>
      </c>
      <c r="T144" s="446">
        <f t="shared" si="130"/>
        <v>330604.69344</v>
      </c>
      <c r="U144" s="446"/>
      <c r="V144" s="446">
        <f t="shared" si="135"/>
        <v>554604.69343999994</v>
      </c>
      <c r="W144" s="453">
        <v>12</v>
      </c>
      <c r="X144" s="446">
        <f t="shared" si="131"/>
        <v>46217.057786666701</v>
      </c>
      <c r="Y144" s="449"/>
      <c r="Z144" s="457">
        <f t="shared" si="132"/>
        <v>46217.057786666701</v>
      </c>
      <c r="AA144" s="458">
        <v>27873.079686666701</v>
      </c>
      <c r="AB144" s="458">
        <f t="shared" si="134"/>
        <v>18343.9781</v>
      </c>
      <c r="AC144" s="458"/>
      <c r="AD144" s="458"/>
      <c r="AE144" s="458"/>
    </row>
    <row r="145" spans="1:31" ht="18">
      <c r="A145" s="443">
        <v>128</v>
      </c>
      <c r="B145" s="10" t="s">
        <v>434</v>
      </c>
      <c r="C145" s="446">
        <v>360965.58333333302</v>
      </c>
      <c r="D145" s="445">
        <v>12</v>
      </c>
      <c r="E145" s="446">
        <f t="shared" si="133"/>
        <v>4331587</v>
      </c>
      <c r="F145" s="446"/>
      <c r="G145" s="447">
        <v>288926.96000000002</v>
      </c>
      <c r="H145" s="449"/>
      <c r="I145" s="446">
        <f t="shared" si="121"/>
        <v>4042660.04</v>
      </c>
      <c r="J145" s="446">
        <v>200000</v>
      </c>
      <c r="K145" s="446">
        <v>0.2</v>
      </c>
      <c r="L145" s="446">
        <f t="shared" si="122"/>
        <v>808532.00800000003</v>
      </c>
      <c r="M145" s="446">
        <f t="shared" si="123"/>
        <v>1008532.008</v>
      </c>
      <c r="N145" s="446">
        <f t="shared" si="124"/>
        <v>1297458.9680000001</v>
      </c>
      <c r="O145" s="446">
        <f t="shared" si="125"/>
        <v>3034128.0320000001</v>
      </c>
      <c r="P145" s="446">
        <f t="shared" si="126"/>
        <v>21000</v>
      </c>
      <c r="Q145" s="446">
        <f t="shared" si="127"/>
        <v>33000</v>
      </c>
      <c r="R145" s="446">
        <f t="shared" si="128"/>
        <v>75000</v>
      </c>
      <c r="S145" s="446">
        <f t="shared" si="129"/>
        <v>95000</v>
      </c>
      <c r="T145" s="446">
        <f t="shared" si="130"/>
        <v>301166.88672000001</v>
      </c>
      <c r="U145" s="446"/>
      <c r="V145" s="446">
        <f t="shared" si="135"/>
        <v>525166.88671999995</v>
      </c>
      <c r="W145" s="453">
        <v>12</v>
      </c>
      <c r="X145" s="446">
        <f t="shared" si="131"/>
        <v>43763.907226666699</v>
      </c>
      <c r="Y145" s="449"/>
      <c r="Z145" s="457">
        <f t="shared" si="132"/>
        <v>43763.907226666699</v>
      </c>
      <c r="AA145" s="458">
        <v>27105.986562666702</v>
      </c>
      <c r="AB145" s="458">
        <f t="shared" si="134"/>
        <v>16657.920664000001</v>
      </c>
      <c r="AC145" s="458"/>
      <c r="AD145" s="458"/>
      <c r="AE145" s="458"/>
    </row>
    <row r="146" spans="1:31" ht="36">
      <c r="A146" s="443">
        <v>129</v>
      </c>
      <c r="B146" s="10" t="s">
        <v>436</v>
      </c>
      <c r="C146" s="446">
        <v>323165.33333333302</v>
      </c>
      <c r="D146" s="445">
        <v>12</v>
      </c>
      <c r="E146" s="446">
        <f t="shared" si="133"/>
        <v>3877984</v>
      </c>
      <c r="F146" s="446"/>
      <c r="G146" s="447">
        <v>252638.72</v>
      </c>
      <c r="H146" s="449"/>
      <c r="I146" s="446">
        <f t="shared" si="121"/>
        <v>3625345.28</v>
      </c>
      <c r="J146" s="446">
        <v>200000</v>
      </c>
      <c r="K146" s="446">
        <v>0.2</v>
      </c>
      <c r="L146" s="446">
        <f t="shared" si="122"/>
        <v>725069.05599999998</v>
      </c>
      <c r="M146" s="446">
        <f t="shared" si="123"/>
        <v>925069.05599999998</v>
      </c>
      <c r="N146" s="446">
        <f t="shared" si="124"/>
        <v>1177707.7760000001</v>
      </c>
      <c r="O146" s="446">
        <f t="shared" si="125"/>
        <v>2700276.2239999999</v>
      </c>
      <c r="P146" s="446">
        <f t="shared" si="126"/>
        <v>21000</v>
      </c>
      <c r="Q146" s="446">
        <f t="shared" si="127"/>
        <v>33000</v>
      </c>
      <c r="R146" s="446">
        <f t="shared" si="128"/>
        <v>75000</v>
      </c>
      <c r="S146" s="446">
        <f t="shared" si="129"/>
        <v>95000</v>
      </c>
      <c r="T146" s="446">
        <f t="shared" si="130"/>
        <v>231058.00704</v>
      </c>
      <c r="U146" s="446"/>
      <c r="V146" s="446">
        <f t="shared" si="135"/>
        <v>455058.00704</v>
      </c>
      <c r="W146" s="453">
        <v>12</v>
      </c>
      <c r="X146" s="446">
        <f t="shared" si="131"/>
        <v>37921.500586666698</v>
      </c>
      <c r="Y146" s="449"/>
      <c r="Z146" s="457">
        <f t="shared" si="132"/>
        <v>37921.500586666698</v>
      </c>
      <c r="AA146" s="458">
        <v>22338.4826046667</v>
      </c>
      <c r="AB146" s="458">
        <f t="shared" si="134"/>
        <v>15583.017981999999</v>
      </c>
      <c r="AC146" s="458"/>
      <c r="AD146" s="458"/>
      <c r="AE146" s="458"/>
    </row>
    <row r="147" spans="1:31" ht="18">
      <c r="A147" s="443">
        <v>130</v>
      </c>
      <c r="B147" s="10" t="s">
        <v>438</v>
      </c>
      <c r="C147" s="446">
        <v>368901.5</v>
      </c>
      <c r="D147" s="445">
        <v>12</v>
      </c>
      <c r="E147" s="446">
        <f t="shared" si="133"/>
        <v>4426818</v>
      </c>
      <c r="F147" s="446"/>
      <c r="G147" s="447">
        <v>296545.44</v>
      </c>
      <c r="H147" s="449"/>
      <c r="I147" s="446">
        <f t="shared" si="121"/>
        <v>4130272.56</v>
      </c>
      <c r="J147" s="446">
        <v>200000</v>
      </c>
      <c r="K147" s="446">
        <v>0.2</v>
      </c>
      <c r="L147" s="446">
        <f t="shared" si="122"/>
        <v>826054.51199999999</v>
      </c>
      <c r="M147" s="446">
        <f t="shared" si="123"/>
        <v>1026054.512</v>
      </c>
      <c r="N147" s="446">
        <f t="shared" si="124"/>
        <v>1322599.952</v>
      </c>
      <c r="O147" s="446">
        <f t="shared" si="125"/>
        <v>3104218.048</v>
      </c>
      <c r="P147" s="446">
        <f t="shared" si="126"/>
        <v>21000</v>
      </c>
      <c r="Q147" s="446">
        <f t="shared" si="127"/>
        <v>33000</v>
      </c>
      <c r="R147" s="446">
        <f t="shared" si="128"/>
        <v>75000</v>
      </c>
      <c r="S147" s="446">
        <f t="shared" si="129"/>
        <v>95000</v>
      </c>
      <c r="T147" s="446">
        <f t="shared" si="130"/>
        <v>315885.79008000001</v>
      </c>
      <c r="U147" s="446"/>
      <c r="V147" s="446">
        <f t="shared" si="135"/>
        <v>539885.79007999995</v>
      </c>
      <c r="W147" s="453">
        <v>12</v>
      </c>
      <c r="X147" s="446">
        <f t="shared" si="131"/>
        <v>44990.482506666704</v>
      </c>
      <c r="Y147" s="449"/>
      <c r="Z147" s="457">
        <f t="shared" si="132"/>
        <v>44990.482506666704</v>
      </c>
      <c r="AA147" s="458">
        <v>27105.986562666702</v>
      </c>
      <c r="AB147" s="458">
        <f t="shared" si="134"/>
        <v>17884.495943999998</v>
      </c>
      <c r="AC147" s="458"/>
      <c r="AD147" s="458"/>
      <c r="AE147" s="458"/>
    </row>
    <row r="148" spans="1:31" ht="18">
      <c r="A148" s="443">
        <v>131</v>
      </c>
      <c r="B148" s="10" t="s">
        <v>440</v>
      </c>
      <c r="C148" s="446">
        <v>330481.66666666698</v>
      </c>
      <c r="D148" s="445">
        <v>12</v>
      </c>
      <c r="E148" s="446">
        <f t="shared" si="133"/>
        <v>3965780</v>
      </c>
      <c r="F148" s="446"/>
      <c r="G148" s="447">
        <v>259662.4</v>
      </c>
      <c r="H148" s="449"/>
      <c r="I148" s="446">
        <f t="shared" si="121"/>
        <v>3706117.6</v>
      </c>
      <c r="J148" s="446">
        <v>200000</v>
      </c>
      <c r="K148" s="446">
        <v>0.2</v>
      </c>
      <c r="L148" s="446">
        <f t="shared" si="122"/>
        <v>741223.52</v>
      </c>
      <c r="M148" s="446">
        <f t="shared" si="123"/>
        <v>941223.52</v>
      </c>
      <c r="N148" s="446">
        <f t="shared" si="124"/>
        <v>1200885.92</v>
      </c>
      <c r="O148" s="446">
        <f t="shared" si="125"/>
        <v>2764894.08</v>
      </c>
      <c r="P148" s="446">
        <f t="shared" si="126"/>
        <v>21000</v>
      </c>
      <c r="Q148" s="446">
        <f t="shared" si="127"/>
        <v>33000</v>
      </c>
      <c r="R148" s="446">
        <f t="shared" si="128"/>
        <v>75000</v>
      </c>
      <c r="S148" s="446">
        <f t="shared" si="129"/>
        <v>95000</v>
      </c>
      <c r="T148" s="446">
        <f t="shared" si="130"/>
        <v>244627.7568</v>
      </c>
      <c r="U148" s="446"/>
      <c r="V148" s="446">
        <f t="shared" si="135"/>
        <v>468627.75679999997</v>
      </c>
      <c r="W148" s="453">
        <v>12</v>
      </c>
      <c r="X148" s="446">
        <f t="shared" si="131"/>
        <v>39052.313066666698</v>
      </c>
      <c r="Y148" s="449"/>
      <c r="Z148" s="457">
        <f t="shared" si="132"/>
        <v>39052.313066666698</v>
      </c>
      <c r="AA148" s="458">
        <v>23036.012346666699</v>
      </c>
      <c r="AB148" s="458">
        <f t="shared" si="134"/>
        <v>16016.300719999999</v>
      </c>
      <c r="AC148" s="458"/>
      <c r="AD148" s="458"/>
      <c r="AE148" s="458"/>
    </row>
    <row r="149" spans="1:31" ht="18">
      <c r="A149" s="443">
        <v>132</v>
      </c>
      <c r="B149" s="10" t="s">
        <v>442</v>
      </c>
      <c r="C149" s="446">
        <v>368901.5</v>
      </c>
      <c r="D149" s="445">
        <v>12</v>
      </c>
      <c r="E149" s="446">
        <f t="shared" si="133"/>
        <v>4426818</v>
      </c>
      <c r="F149" s="446">
        <f>457.041*12</f>
        <v>5484.4920000000002</v>
      </c>
      <c r="G149" s="447">
        <v>296545.44</v>
      </c>
      <c r="H149" s="449"/>
      <c r="I149" s="446">
        <f t="shared" si="121"/>
        <v>4124788.068</v>
      </c>
      <c r="J149" s="446">
        <v>200000</v>
      </c>
      <c r="K149" s="446">
        <v>0.2</v>
      </c>
      <c r="L149" s="446">
        <f t="shared" si="122"/>
        <v>824957.61360000004</v>
      </c>
      <c r="M149" s="446">
        <f t="shared" si="123"/>
        <v>1024957.6136</v>
      </c>
      <c r="N149" s="446">
        <f t="shared" si="124"/>
        <v>1326987.5456000001</v>
      </c>
      <c r="O149" s="446">
        <f t="shared" si="125"/>
        <v>3099830.4544000002</v>
      </c>
      <c r="P149" s="446">
        <f t="shared" si="126"/>
        <v>21000</v>
      </c>
      <c r="Q149" s="446">
        <f t="shared" si="127"/>
        <v>33000</v>
      </c>
      <c r="R149" s="446">
        <f t="shared" si="128"/>
        <v>75000</v>
      </c>
      <c r="S149" s="446">
        <f t="shared" si="129"/>
        <v>95000</v>
      </c>
      <c r="T149" s="446">
        <f t="shared" si="130"/>
        <v>314964.39542399999</v>
      </c>
      <c r="U149" s="446"/>
      <c r="V149" s="446">
        <f t="shared" si="135"/>
        <v>538964.39542399999</v>
      </c>
      <c r="W149" s="453">
        <v>12</v>
      </c>
      <c r="X149" s="446">
        <f t="shared" si="131"/>
        <v>44913.699618666702</v>
      </c>
      <c r="Y149" s="449"/>
      <c r="Z149" s="457">
        <f t="shared" si="132"/>
        <v>44913.699618666702</v>
      </c>
      <c r="AA149" s="458">
        <v>27029.2036746667</v>
      </c>
      <c r="AB149" s="458">
        <f t="shared" si="134"/>
        <v>17884.495943999998</v>
      </c>
      <c r="AC149" s="458"/>
      <c r="AD149" s="458"/>
      <c r="AE149" s="458"/>
    </row>
    <row r="150" spans="1:31" ht="18">
      <c r="A150" s="443">
        <v>133</v>
      </c>
      <c r="B150" s="10" t="s">
        <v>444</v>
      </c>
      <c r="C150" s="446">
        <v>330481.66666666698</v>
      </c>
      <c r="D150" s="445">
        <v>12</v>
      </c>
      <c r="E150" s="446">
        <f t="shared" si="133"/>
        <v>3965780</v>
      </c>
      <c r="F150" s="446"/>
      <c r="G150" s="447">
        <v>259662.4</v>
      </c>
      <c r="H150" s="449"/>
      <c r="I150" s="446">
        <f t="shared" si="121"/>
        <v>3706117.6</v>
      </c>
      <c r="J150" s="446">
        <v>200000</v>
      </c>
      <c r="K150" s="446">
        <v>0.2</v>
      </c>
      <c r="L150" s="446">
        <f t="shared" si="122"/>
        <v>741223.52</v>
      </c>
      <c r="M150" s="446">
        <f t="shared" si="123"/>
        <v>941223.52</v>
      </c>
      <c r="N150" s="446">
        <f t="shared" si="124"/>
        <v>1200885.92</v>
      </c>
      <c r="O150" s="446">
        <f t="shared" si="125"/>
        <v>2764894.08</v>
      </c>
      <c r="P150" s="446">
        <f t="shared" si="126"/>
        <v>21000</v>
      </c>
      <c r="Q150" s="446">
        <f t="shared" si="127"/>
        <v>33000</v>
      </c>
      <c r="R150" s="446">
        <f t="shared" si="128"/>
        <v>75000</v>
      </c>
      <c r="S150" s="446">
        <f t="shared" si="129"/>
        <v>95000</v>
      </c>
      <c r="T150" s="446">
        <f t="shared" si="130"/>
        <v>244627.7568</v>
      </c>
      <c r="U150" s="446"/>
      <c r="V150" s="446">
        <f t="shared" si="135"/>
        <v>468627.75679999997</v>
      </c>
      <c r="W150" s="453">
        <v>12</v>
      </c>
      <c r="X150" s="446">
        <f t="shared" si="131"/>
        <v>39052.313066666698</v>
      </c>
      <c r="Y150" s="449"/>
      <c r="Z150" s="457">
        <f t="shared" si="132"/>
        <v>39052.313066666698</v>
      </c>
      <c r="AA150" s="458">
        <v>22338.4826046667</v>
      </c>
      <c r="AB150" s="458">
        <f t="shared" si="134"/>
        <v>16713.830462000002</v>
      </c>
      <c r="AC150" s="458"/>
      <c r="AD150" s="458"/>
      <c r="AE150" s="458"/>
    </row>
    <row r="151" spans="1:31" ht="18">
      <c r="A151" s="443">
        <v>134</v>
      </c>
      <c r="B151" s="17" t="s">
        <v>446</v>
      </c>
      <c r="C151" s="446">
        <v>315849</v>
      </c>
      <c r="D151" s="445">
        <v>12</v>
      </c>
      <c r="E151" s="446">
        <f t="shared" si="133"/>
        <v>3790188</v>
      </c>
      <c r="F151" s="446"/>
      <c r="G151" s="447">
        <v>245615.04</v>
      </c>
      <c r="H151" s="449"/>
      <c r="I151" s="446">
        <f t="shared" si="121"/>
        <v>3544572.96</v>
      </c>
      <c r="J151" s="446">
        <v>200000</v>
      </c>
      <c r="K151" s="446">
        <v>0.2</v>
      </c>
      <c r="L151" s="446">
        <f t="shared" si="122"/>
        <v>708914.59199999995</v>
      </c>
      <c r="M151" s="446">
        <f t="shared" si="123"/>
        <v>908914.59199999995</v>
      </c>
      <c r="N151" s="446">
        <f t="shared" si="124"/>
        <v>1154529.632</v>
      </c>
      <c r="O151" s="446">
        <f t="shared" si="125"/>
        <v>2635658.3679999998</v>
      </c>
      <c r="P151" s="446">
        <f t="shared" si="126"/>
        <v>21000</v>
      </c>
      <c r="Q151" s="446">
        <f t="shared" si="127"/>
        <v>33000</v>
      </c>
      <c r="R151" s="446">
        <f t="shared" si="128"/>
        <v>75000</v>
      </c>
      <c r="S151" s="446">
        <f t="shared" si="129"/>
        <v>95000</v>
      </c>
      <c r="T151" s="446">
        <f t="shared" si="130"/>
        <v>217488.25727999999</v>
      </c>
      <c r="U151" s="446"/>
      <c r="V151" s="446">
        <f t="shared" si="135"/>
        <v>441488.25728000002</v>
      </c>
      <c r="W151" s="453">
        <v>12</v>
      </c>
      <c r="X151" s="446">
        <f t="shared" si="131"/>
        <v>36790.688106666697</v>
      </c>
      <c r="Y151" s="449"/>
      <c r="Z151" s="457">
        <f t="shared" si="132"/>
        <v>36790.688106666697</v>
      </c>
      <c r="AA151" s="458">
        <v>21640.952862666702</v>
      </c>
      <c r="AB151" s="458">
        <f t="shared" si="134"/>
        <v>15149.735244</v>
      </c>
      <c r="AC151" s="458"/>
      <c r="AD151" s="458"/>
      <c r="AE151" s="458"/>
    </row>
    <row r="152" spans="1:31" ht="18">
      <c r="A152" s="443">
        <v>135</v>
      </c>
      <c r="B152" s="17" t="s">
        <v>448</v>
      </c>
      <c r="C152" s="446">
        <v>274459.75</v>
      </c>
      <c r="D152" s="445">
        <v>12</v>
      </c>
      <c r="E152" s="446">
        <f t="shared" si="133"/>
        <v>3293517</v>
      </c>
      <c r="F152" s="446">
        <v>0</v>
      </c>
      <c r="G152" s="447">
        <v>215481.36</v>
      </c>
      <c r="H152" s="449"/>
      <c r="I152" s="446">
        <f t="shared" si="121"/>
        <v>3078035.64</v>
      </c>
      <c r="J152" s="446">
        <v>200000</v>
      </c>
      <c r="K152" s="446">
        <v>0.2</v>
      </c>
      <c r="L152" s="446">
        <f t="shared" si="122"/>
        <v>615607.12800000003</v>
      </c>
      <c r="M152" s="446">
        <f t="shared" si="123"/>
        <v>815607.12800000003</v>
      </c>
      <c r="N152" s="446">
        <f t="shared" si="124"/>
        <v>1031088.488</v>
      </c>
      <c r="O152" s="446">
        <f t="shared" si="125"/>
        <v>2262428.5120000001</v>
      </c>
      <c r="P152" s="446">
        <f t="shared" si="126"/>
        <v>21000</v>
      </c>
      <c r="Q152" s="446">
        <f t="shared" si="127"/>
        <v>33000</v>
      </c>
      <c r="R152" s="446">
        <f t="shared" si="128"/>
        <v>75000</v>
      </c>
      <c r="S152" s="446">
        <f t="shared" si="129"/>
        <v>95000</v>
      </c>
      <c r="T152" s="446">
        <f t="shared" si="130"/>
        <v>139109.98752</v>
      </c>
      <c r="U152" s="446"/>
      <c r="V152" s="446">
        <f t="shared" si="135"/>
        <v>363109.98752000002</v>
      </c>
      <c r="W152" s="453">
        <v>12</v>
      </c>
      <c r="X152" s="446">
        <f t="shared" si="131"/>
        <v>30259.165626666701</v>
      </c>
      <c r="Y152" s="449"/>
      <c r="Z152" s="457">
        <f t="shared" si="132"/>
        <v>30259.165626666701</v>
      </c>
      <c r="AA152" s="458">
        <v>17042.713866666702</v>
      </c>
      <c r="AB152" s="458">
        <f t="shared" si="134"/>
        <v>13216.45176</v>
      </c>
      <c r="AC152" s="458"/>
      <c r="AD152" s="458"/>
      <c r="AE152" s="458"/>
    </row>
    <row r="153" spans="1:31" ht="18">
      <c r="A153" s="443">
        <v>136</v>
      </c>
      <c r="B153" s="17" t="s">
        <v>450</v>
      </c>
      <c r="C153" s="446">
        <v>274459.75</v>
      </c>
      <c r="D153" s="445">
        <v>12</v>
      </c>
      <c r="E153" s="446">
        <f t="shared" si="133"/>
        <v>3293517</v>
      </c>
      <c r="F153" s="446">
        <v>0</v>
      </c>
      <c r="G153" s="447">
        <v>215481.36</v>
      </c>
      <c r="H153" s="449"/>
      <c r="I153" s="446">
        <f t="shared" si="121"/>
        <v>3078035.64</v>
      </c>
      <c r="J153" s="446">
        <v>200000</v>
      </c>
      <c r="K153" s="446">
        <v>0.2</v>
      </c>
      <c r="L153" s="446">
        <f t="shared" si="122"/>
        <v>615607.12800000003</v>
      </c>
      <c r="M153" s="446">
        <f t="shared" si="123"/>
        <v>815607.12800000003</v>
      </c>
      <c r="N153" s="446">
        <f t="shared" si="124"/>
        <v>1031088.488</v>
      </c>
      <c r="O153" s="446">
        <f t="shared" si="125"/>
        <v>2262428.5120000001</v>
      </c>
      <c r="P153" s="446">
        <f t="shared" si="126"/>
        <v>21000</v>
      </c>
      <c r="Q153" s="446">
        <f t="shared" si="127"/>
        <v>33000</v>
      </c>
      <c r="R153" s="446">
        <f t="shared" si="128"/>
        <v>75000</v>
      </c>
      <c r="S153" s="446">
        <f t="shared" si="129"/>
        <v>95000</v>
      </c>
      <c r="T153" s="446">
        <f t="shared" si="130"/>
        <v>139109.98752</v>
      </c>
      <c r="U153" s="446"/>
      <c r="V153" s="446">
        <f t="shared" si="135"/>
        <v>363109.98752000002</v>
      </c>
      <c r="W153" s="453">
        <v>12</v>
      </c>
      <c r="X153" s="446">
        <f t="shared" si="131"/>
        <v>30259.165626666701</v>
      </c>
      <c r="Y153" s="449"/>
      <c r="Z153" s="457">
        <f t="shared" si="132"/>
        <v>30259.165626666701</v>
      </c>
      <c r="AA153" s="458">
        <v>17042.713866666702</v>
      </c>
      <c r="AB153" s="458">
        <f t="shared" si="134"/>
        <v>13216.45176</v>
      </c>
      <c r="AC153" s="458"/>
      <c r="AD153" s="458"/>
      <c r="AE153" s="458"/>
    </row>
    <row r="154" spans="1:31" ht="36">
      <c r="A154" s="443">
        <v>137</v>
      </c>
      <c r="B154" s="17" t="s">
        <v>452</v>
      </c>
      <c r="C154" s="446">
        <v>274459.75</v>
      </c>
      <c r="D154" s="445">
        <v>12</v>
      </c>
      <c r="E154" s="446">
        <f t="shared" si="133"/>
        <v>3293517</v>
      </c>
      <c r="F154" s="446">
        <v>0</v>
      </c>
      <c r="G154" s="447">
        <v>215481.36</v>
      </c>
      <c r="H154" s="449"/>
      <c r="I154" s="446">
        <f t="shared" si="121"/>
        <v>3078035.64</v>
      </c>
      <c r="J154" s="446">
        <v>200000</v>
      </c>
      <c r="K154" s="446">
        <v>0.2</v>
      </c>
      <c r="L154" s="446">
        <f t="shared" si="122"/>
        <v>615607.12800000003</v>
      </c>
      <c r="M154" s="446">
        <f t="shared" si="123"/>
        <v>815607.12800000003</v>
      </c>
      <c r="N154" s="446">
        <f t="shared" si="124"/>
        <v>1031088.488</v>
      </c>
      <c r="O154" s="446">
        <f t="shared" si="125"/>
        <v>2262428.5120000001</v>
      </c>
      <c r="P154" s="446">
        <f t="shared" si="126"/>
        <v>21000</v>
      </c>
      <c r="Q154" s="446">
        <f t="shared" si="127"/>
        <v>33000</v>
      </c>
      <c r="R154" s="446">
        <f t="shared" si="128"/>
        <v>75000</v>
      </c>
      <c r="S154" s="446">
        <f t="shared" si="129"/>
        <v>95000</v>
      </c>
      <c r="T154" s="446">
        <f t="shared" si="130"/>
        <v>139109.98752</v>
      </c>
      <c r="U154" s="446"/>
      <c r="V154" s="446">
        <f t="shared" si="135"/>
        <v>363109.98752000002</v>
      </c>
      <c r="W154" s="453">
        <v>12</v>
      </c>
      <c r="X154" s="446">
        <f t="shared" si="131"/>
        <v>30259.165626666701</v>
      </c>
      <c r="Y154" s="449"/>
      <c r="Z154" s="457">
        <f t="shared" si="132"/>
        <v>30259.165626666701</v>
      </c>
      <c r="AA154" s="458">
        <v>17042.713866666702</v>
      </c>
      <c r="AB154" s="458">
        <f t="shared" si="134"/>
        <v>13216.45176</v>
      </c>
      <c r="AC154" s="458"/>
      <c r="AD154" s="458"/>
      <c r="AE154" s="458"/>
    </row>
    <row r="155" spans="1:31" ht="18">
      <c r="A155" s="443">
        <v>138</v>
      </c>
      <c r="B155" s="17" t="s">
        <v>454</v>
      </c>
      <c r="C155" s="446">
        <v>280631.91666666698</v>
      </c>
      <c r="D155" s="445">
        <v>12</v>
      </c>
      <c r="E155" s="446">
        <f t="shared" si="133"/>
        <v>3367583</v>
      </c>
      <c r="F155" s="446">
        <v>0</v>
      </c>
      <c r="G155" s="447">
        <v>221406.64</v>
      </c>
      <c r="H155" s="449"/>
      <c r="I155" s="446">
        <f t="shared" si="121"/>
        <v>3146176.36</v>
      </c>
      <c r="J155" s="446">
        <v>200000</v>
      </c>
      <c r="K155" s="446">
        <v>0.2</v>
      </c>
      <c r="L155" s="446">
        <f t="shared" si="122"/>
        <v>629235.272</v>
      </c>
      <c r="M155" s="446">
        <f t="shared" si="123"/>
        <v>829235.272</v>
      </c>
      <c r="N155" s="446">
        <f t="shared" si="124"/>
        <v>1050641.912</v>
      </c>
      <c r="O155" s="446">
        <f t="shared" si="125"/>
        <v>2316941.088</v>
      </c>
      <c r="P155" s="446">
        <f t="shared" si="126"/>
        <v>21000</v>
      </c>
      <c r="Q155" s="446">
        <f t="shared" si="127"/>
        <v>33000</v>
      </c>
      <c r="R155" s="446">
        <f t="shared" si="128"/>
        <v>75000</v>
      </c>
      <c r="S155" s="446">
        <f t="shared" si="129"/>
        <v>95000</v>
      </c>
      <c r="T155" s="446">
        <f t="shared" si="130"/>
        <v>150557.62848000001</v>
      </c>
      <c r="U155" s="446"/>
      <c r="V155" s="446">
        <f t="shared" si="135"/>
        <v>374557.62848000001</v>
      </c>
      <c r="W155" s="453">
        <v>12</v>
      </c>
      <c r="X155" s="446">
        <f t="shared" si="131"/>
        <v>31213.135706666701</v>
      </c>
      <c r="Y155" s="449"/>
      <c r="Z155" s="457">
        <f t="shared" si="132"/>
        <v>31213.135706666701</v>
      </c>
      <c r="AA155" s="458">
        <v>17572.885002666699</v>
      </c>
      <c r="AB155" s="458">
        <f t="shared" si="134"/>
        <v>13640.250704</v>
      </c>
      <c r="AC155" s="458"/>
      <c r="AD155" s="458"/>
      <c r="AE155" s="458"/>
    </row>
    <row r="156" spans="1:31" ht="18">
      <c r="A156" s="443">
        <v>139</v>
      </c>
      <c r="B156" s="17" t="s">
        <v>456</v>
      </c>
      <c r="C156" s="446">
        <v>274459.75</v>
      </c>
      <c r="D156" s="445">
        <v>12</v>
      </c>
      <c r="E156" s="446">
        <f t="shared" si="133"/>
        <v>3293517</v>
      </c>
      <c r="F156" s="446">
        <v>0</v>
      </c>
      <c r="G156" s="447">
        <v>215481.36</v>
      </c>
      <c r="H156" s="449"/>
      <c r="I156" s="446">
        <f t="shared" si="121"/>
        <v>3078035.64</v>
      </c>
      <c r="J156" s="446">
        <v>200000</v>
      </c>
      <c r="K156" s="446">
        <v>0.2</v>
      </c>
      <c r="L156" s="446">
        <f t="shared" si="122"/>
        <v>615607.12800000003</v>
      </c>
      <c r="M156" s="446">
        <f t="shared" si="123"/>
        <v>815607.12800000003</v>
      </c>
      <c r="N156" s="446">
        <f t="shared" si="124"/>
        <v>1031088.488</v>
      </c>
      <c r="O156" s="446">
        <f t="shared" si="125"/>
        <v>2262428.5120000001</v>
      </c>
      <c r="P156" s="446">
        <f t="shared" si="126"/>
        <v>21000</v>
      </c>
      <c r="Q156" s="446">
        <f t="shared" si="127"/>
        <v>33000</v>
      </c>
      <c r="R156" s="446">
        <f t="shared" si="128"/>
        <v>75000</v>
      </c>
      <c r="S156" s="446">
        <f t="shared" si="129"/>
        <v>95000</v>
      </c>
      <c r="T156" s="446">
        <f t="shared" si="130"/>
        <v>139109.98752</v>
      </c>
      <c r="U156" s="446"/>
      <c r="V156" s="446">
        <f t="shared" si="135"/>
        <v>363109.98752000002</v>
      </c>
      <c r="W156" s="453">
        <v>12</v>
      </c>
      <c r="X156" s="446">
        <f t="shared" si="131"/>
        <v>30259.165626666701</v>
      </c>
      <c r="Y156" s="449"/>
      <c r="Z156" s="457">
        <f t="shared" si="132"/>
        <v>30259.165626666701</v>
      </c>
      <c r="AA156" s="458">
        <v>17042.713866666702</v>
      </c>
      <c r="AB156" s="458">
        <f t="shared" si="134"/>
        <v>13216.45176</v>
      </c>
      <c r="AC156" s="458"/>
      <c r="AD156" s="458"/>
      <c r="AE156" s="458"/>
    </row>
    <row r="157" spans="1:31" ht="18">
      <c r="A157" s="443">
        <v>140</v>
      </c>
      <c r="B157" s="10" t="s">
        <v>457</v>
      </c>
      <c r="C157" s="446">
        <v>202598.16666666701</v>
      </c>
      <c r="D157" s="445">
        <v>12</v>
      </c>
      <c r="E157" s="446">
        <f t="shared" si="133"/>
        <v>2431178</v>
      </c>
      <c r="F157" s="446">
        <f>263.19*12</f>
        <v>3158.28</v>
      </c>
      <c r="G157" s="447">
        <v>161854.24</v>
      </c>
      <c r="H157" s="449"/>
      <c r="I157" s="446">
        <f t="shared" si="121"/>
        <v>2266165.48</v>
      </c>
      <c r="J157" s="446">
        <v>200000</v>
      </c>
      <c r="K157" s="446">
        <v>0.2</v>
      </c>
      <c r="L157" s="446">
        <f t="shared" si="122"/>
        <v>453233.09600000002</v>
      </c>
      <c r="M157" s="446">
        <f t="shared" si="123"/>
        <v>653233.09600000002</v>
      </c>
      <c r="N157" s="446">
        <f t="shared" si="124"/>
        <v>818245.61600000004</v>
      </c>
      <c r="O157" s="446">
        <f t="shared" si="125"/>
        <v>1612932.3840000001</v>
      </c>
      <c r="P157" s="446">
        <f t="shared" si="126"/>
        <v>21000</v>
      </c>
      <c r="Q157" s="446">
        <f t="shared" si="127"/>
        <v>33000</v>
      </c>
      <c r="R157" s="446">
        <f t="shared" si="128"/>
        <v>75000</v>
      </c>
      <c r="S157" s="446">
        <f t="shared" si="129"/>
        <v>95000</v>
      </c>
      <c r="T157" s="446">
        <f t="shared" si="130"/>
        <v>2715.8006399999699</v>
      </c>
      <c r="U157" s="446"/>
      <c r="V157" s="446">
        <f t="shared" si="135"/>
        <v>226715.80064</v>
      </c>
      <c r="W157" s="453">
        <v>12</v>
      </c>
      <c r="X157" s="446">
        <f t="shared" si="131"/>
        <v>18892.9833866667</v>
      </c>
      <c r="Y157" s="449"/>
      <c r="Z157" s="457">
        <f t="shared" si="132"/>
        <v>18892.9833866667</v>
      </c>
      <c r="AA157" s="458">
        <v>10739.3048</v>
      </c>
      <c r="AB157" s="458">
        <f t="shared" si="134"/>
        <v>8153.6785866666696</v>
      </c>
      <c r="AC157" s="458"/>
      <c r="AD157" s="458"/>
      <c r="AE157" s="458"/>
    </row>
    <row r="158" spans="1:31" ht="18">
      <c r="A158" s="443">
        <v>141</v>
      </c>
      <c r="B158" s="10" t="s">
        <v>460</v>
      </c>
      <c r="C158" s="446">
        <v>205598.16666666701</v>
      </c>
      <c r="D158" s="445">
        <v>12</v>
      </c>
      <c r="E158" s="446">
        <f t="shared" si="133"/>
        <v>2467178</v>
      </c>
      <c r="F158" s="446"/>
      <c r="G158" s="447">
        <v>161854.24</v>
      </c>
      <c r="H158" s="449"/>
      <c r="I158" s="446">
        <f t="shared" si="121"/>
        <v>2305323.7599999998</v>
      </c>
      <c r="J158" s="446">
        <v>200000</v>
      </c>
      <c r="K158" s="446">
        <v>0.2</v>
      </c>
      <c r="L158" s="446">
        <f t="shared" si="122"/>
        <v>461064.75199999998</v>
      </c>
      <c r="M158" s="446">
        <f t="shared" si="123"/>
        <v>661064.75199999998</v>
      </c>
      <c r="N158" s="446">
        <f t="shared" si="124"/>
        <v>822918.99199999997</v>
      </c>
      <c r="O158" s="446">
        <f t="shared" si="125"/>
        <v>1644259.0079999999</v>
      </c>
      <c r="P158" s="446">
        <f t="shared" si="126"/>
        <v>21000</v>
      </c>
      <c r="Q158" s="446">
        <f t="shared" si="127"/>
        <v>33000</v>
      </c>
      <c r="R158" s="446">
        <f t="shared" si="128"/>
        <v>75000</v>
      </c>
      <c r="S158" s="446">
        <f t="shared" si="129"/>
        <v>95000</v>
      </c>
      <c r="T158" s="446">
        <f t="shared" si="130"/>
        <v>9294.3916799999806</v>
      </c>
      <c r="U158" s="446"/>
      <c r="V158" s="446">
        <f t="shared" si="135"/>
        <v>233294.39168</v>
      </c>
      <c r="W158" s="453">
        <v>12</v>
      </c>
      <c r="X158" s="446">
        <f t="shared" si="131"/>
        <v>19441.199306666698</v>
      </c>
      <c r="Y158" s="449"/>
      <c r="Z158" s="457">
        <f t="shared" si="132"/>
        <v>19441.199306666698</v>
      </c>
      <c r="AA158" s="458">
        <v>11232.457626666701</v>
      </c>
      <c r="AB158" s="458">
        <f t="shared" si="134"/>
        <v>8208.7416799999992</v>
      </c>
      <c r="AC158" s="458"/>
      <c r="AD158" s="458"/>
      <c r="AE158" s="458"/>
    </row>
    <row r="159" spans="1:31" ht="15.75" customHeight="1">
      <c r="A159" s="443">
        <v>142</v>
      </c>
      <c r="B159" s="10" t="s">
        <v>461</v>
      </c>
      <c r="C159" s="446">
        <v>202598.16666666701</v>
      </c>
      <c r="D159" s="445">
        <v>12</v>
      </c>
      <c r="E159" s="446">
        <f t="shared" si="133"/>
        <v>2431178</v>
      </c>
      <c r="F159" s="446"/>
      <c r="G159" s="447">
        <v>161854.24</v>
      </c>
      <c r="H159" s="449"/>
      <c r="I159" s="446">
        <f t="shared" si="121"/>
        <v>2269323.7599999998</v>
      </c>
      <c r="J159" s="446">
        <v>200000</v>
      </c>
      <c r="K159" s="446">
        <v>0.2</v>
      </c>
      <c r="L159" s="446">
        <f t="shared" si="122"/>
        <v>453864.75199999998</v>
      </c>
      <c r="M159" s="446">
        <f t="shared" si="123"/>
        <v>653864.75199999998</v>
      </c>
      <c r="N159" s="446">
        <f t="shared" si="124"/>
        <v>815718.99199999997</v>
      </c>
      <c r="O159" s="446">
        <f t="shared" si="125"/>
        <v>1615459.0079999999</v>
      </c>
      <c r="P159" s="446">
        <f t="shared" si="126"/>
        <v>21000</v>
      </c>
      <c r="Q159" s="446">
        <f t="shared" si="127"/>
        <v>33000</v>
      </c>
      <c r="R159" s="446">
        <f t="shared" si="128"/>
        <v>75000</v>
      </c>
      <c r="S159" s="446">
        <f t="shared" si="129"/>
        <v>95000</v>
      </c>
      <c r="T159" s="446">
        <f t="shared" si="130"/>
        <v>3246.3916799999802</v>
      </c>
      <c r="U159" s="446"/>
      <c r="V159" s="446">
        <f t="shared" si="135"/>
        <v>227246.39168</v>
      </c>
      <c r="W159" s="453">
        <v>12</v>
      </c>
      <c r="X159" s="446">
        <f t="shared" si="131"/>
        <v>18937.199306666698</v>
      </c>
      <c r="Y159" s="449"/>
      <c r="Z159" s="457">
        <f t="shared" si="132"/>
        <v>18937.199306666698</v>
      </c>
      <c r="AA159" s="458">
        <v>10776.457626666701</v>
      </c>
      <c r="AB159" s="458">
        <f t="shared" si="134"/>
        <v>8160.7416800000001</v>
      </c>
      <c r="AC159" s="458"/>
      <c r="AD159" s="458"/>
      <c r="AE159" s="458"/>
    </row>
    <row r="160" spans="1:31" ht="18">
      <c r="A160" s="443">
        <v>143</v>
      </c>
      <c r="B160" s="10" t="s">
        <v>462</v>
      </c>
      <c r="C160" s="446">
        <v>202598.16666666701</v>
      </c>
      <c r="D160" s="445">
        <v>12</v>
      </c>
      <c r="E160" s="446">
        <f t="shared" si="133"/>
        <v>2431178</v>
      </c>
      <c r="F160" s="446">
        <f>263.19*12</f>
        <v>3158.28</v>
      </c>
      <c r="G160" s="447">
        <v>161854.24</v>
      </c>
      <c r="H160" s="449"/>
      <c r="I160" s="446">
        <f t="shared" si="121"/>
        <v>2266165.48</v>
      </c>
      <c r="J160" s="446">
        <v>200000</v>
      </c>
      <c r="K160" s="446">
        <v>0.2</v>
      </c>
      <c r="L160" s="446">
        <f t="shared" si="122"/>
        <v>453233.09600000002</v>
      </c>
      <c r="M160" s="446">
        <f t="shared" si="123"/>
        <v>653233.09600000002</v>
      </c>
      <c r="N160" s="446">
        <f t="shared" si="124"/>
        <v>818245.61600000004</v>
      </c>
      <c r="O160" s="446">
        <f t="shared" si="125"/>
        <v>1612932.3840000001</v>
      </c>
      <c r="P160" s="446">
        <f t="shared" si="126"/>
        <v>21000</v>
      </c>
      <c r="Q160" s="446">
        <f t="shared" si="127"/>
        <v>33000</v>
      </c>
      <c r="R160" s="446">
        <f t="shared" si="128"/>
        <v>75000</v>
      </c>
      <c r="S160" s="446">
        <f t="shared" si="129"/>
        <v>95000</v>
      </c>
      <c r="T160" s="446">
        <f t="shared" si="130"/>
        <v>2715.8006399999699</v>
      </c>
      <c r="U160" s="446"/>
      <c r="V160" s="446">
        <f t="shared" si="135"/>
        <v>226715.80064</v>
      </c>
      <c r="W160" s="453">
        <v>12</v>
      </c>
      <c r="X160" s="446">
        <f t="shared" si="131"/>
        <v>18892.9833866667</v>
      </c>
      <c r="Y160" s="449"/>
      <c r="Z160" s="457">
        <f t="shared" si="132"/>
        <v>18892.9833866667</v>
      </c>
      <c r="AA160" s="458">
        <v>10739.3048</v>
      </c>
      <c r="AB160" s="458">
        <f t="shared" si="134"/>
        <v>8153.6785866666696</v>
      </c>
      <c r="AC160" s="458"/>
      <c r="AD160" s="458"/>
      <c r="AE160" s="458"/>
    </row>
    <row r="161" spans="1:31" ht="18">
      <c r="A161" s="443">
        <v>144</v>
      </c>
      <c r="B161" s="10" t="s">
        <v>463</v>
      </c>
      <c r="C161" s="446">
        <v>202598.16666666701</v>
      </c>
      <c r="D161" s="445">
        <v>12</v>
      </c>
      <c r="E161" s="446">
        <f t="shared" si="133"/>
        <v>2431178</v>
      </c>
      <c r="F161" s="446"/>
      <c r="G161" s="447">
        <v>161854.24</v>
      </c>
      <c r="H161" s="449"/>
      <c r="I161" s="446">
        <f t="shared" si="121"/>
        <v>2269323.7599999998</v>
      </c>
      <c r="J161" s="446">
        <v>200000</v>
      </c>
      <c r="K161" s="446">
        <v>0.2</v>
      </c>
      <c r="L161" s="446">
        <f t="shared" si="122"/>
        <v>453864.75199999998</v>
      </c>
      <c r="M161" s="446">
        <f t="shared" si="123"/>
        <v>653864.75199999998</v>
      </c>
      <c r="N161" s="446">
        <f t="shared" si="124"/>
        <v>815718.99199999997</v>
      </c>
      <c r="O161" s="446">
        <f t="shared" si="125"/>
        <v>1615459.0079999999</v>
      </c>
      <c r="P161" s="446">
        <f t="shared" si="126"/>
        <v>21000</v>
      </c>
      <c r="Q161" s="446">
        <f t="shared" si="127"/>
        <v>33000</v>
      </c>
      <c r="R161" s="446">
        <f t="shared" si="128"/>
        <v>75000</v>
      </c>
      <c r="S161" s="446">
        <f t="shared" si="129"/>
        <v>95000</v>
      </c>
      <c r="T161" s="446">
        <f t="shared" si="130"/>
        <v>3246.3916799999802</v>
      </c>
      <c r="U161" s="446"/>
      <c r="V161" s="446">
        <f t="shared" si="135"/>
        <v>227246.39168</v>
      </c>
      <c r="W161" s="453">
        <v>12</v>
      </c>
      <c r="X161" s="446">
        <f t="shared" si="131"/>
        <v>18937.199306666698</v>
      </c>
      <c r="Y161" s="449"/>
      <c r="Z161" s="457">
        <f t="shared" si="132"/>
        <v>18937.199306666698</v>
      </c>
      <c r="AA161" s="458">
        <v>10776.457626666701</v>
      </c>
      <c r="AB161" s="458">
        <f t="shared" si="134"/>
        <v>8160.7416800000001</v>
      </c>
      <c r="AC161" s="458"/>
      <c r="AD161" s="458"/>
      <c r="AE161" s="458"/>
    </row>
    <row r="162" spans="1:31" ht="18">
      <c r="A162" s="443">
        <v>145</v>
      </c>
      <c r="B162" s="10" t="s">
        <v>464</v>
      </c>
      <c r="C162" s="446">
        <v>200336.83333333299</v>
      </c>
      <c r="D162" s="445">
        <v>12</v>
      </c>
      <c r="E162" s="446">
        <f t="shared" si="133"/>
        <v>2404042</v>
      </c>
      <c r="F162" s="446"/>
      <c r="G162" s="447">
        <v>156803.35999999999</v>
      </c>
      <c r="H162" s="449"/>
      <c r="I162" s="446">
        <f t="shared" si="121"/>
        <v>2247238.64</v>
      </c>
      <c r="J162" s="446">
        <v>200000</v>
      </c>
      <c r="K162" s="446">
        <v>0.2</v>
      </c>
      <c r="L162" s="446">
        <f t="shared" si="122"/>
        <v>449447.728</v>
      </c>
      <c r="M162" s="446">
        <f t="shared" si="123"/>
        <v>649447.728</v>
      </c>
      <c r="N162" s="446">
        <f t="shared" si="124"/>
        <v>806251.08799999999</v>
      </c>
      <c r="O162" s="446">
        <f t="shared" si="125"/>
        <v>1597790.912</v>
      </c>
      <c r="P162" s="446">
        <f t="shared" si="126"/>
        <v>21000</v>
      </c>
      <c r="Q162" s="446">
        <f t="shared" si="127"/>
        <v>33000</v>
      </c>
      <c r="R162" s="446">
        <f t="shared" si="128"/>
        <v>75000</v>
      </c>
      <c r="S162" s="446">
        <f t="shared" si="129"/>
        <v>94580.273279999994</v>
      </c>
      <c r="T162" s="446">
        <f t="shared" si="130"/>
        <v>0</v>
      </c>
      <c r="U162" s="446"/>
      <c r="V162" s="446">
        <f t="shared" si="135"/>
        <v>223580.27327999999</v>
      </c>
      <c r="W162" s="453">
        <v>12</v>
      </c>
      <c r="X162" s="446">
        <f t="shared" si="131"/>
        <v>18631.689439999998</v>
      </c>
      <c r="Y162" s="449"/>
      <c r="Z162" s="457">
        <f t="shared" si="132"/>
        <v>18631.689439999998</v>
      </c>
      <c r="AA162" s="458">
        <v>11232.457626666701</v>
      </c>
      <c r="AB162" s="458">
        <f t="shared" si="134"/>
        <v>7399.2318133333401</v>
      </c>
      <c r="AC162" s="458"/>
      <c r="AD162" s="458"/>
      <c r="AE162" s="458"/>
    </row>
    <row r="163" spans="1:31" ht="18">
      <c r="A163" s="443">
        <v>146</v>
      </c>
      <c r="B163" s="10" t="s">
        <v>466</v>
      </c>
      <c r="C163" s="446">
        <v>197336.83333333299</v>
      </c>
      <c r="D163" s="445">
        <v>12</v>
      </c>
      <c r="E163" s="446">
        <f t="shared" si="133"/>
        <v>2368042</v>
      </c>
      <c r="F163" s="446"/>
      <c r="G163" s="447">
        <v>156803.35999999999</v>
      </c>
      <c r="H163" s="449"/>
      <c r="I163" s="446">
        <f t="shared" si="121"/>
        <v>2211238.64</v>
      </c>
      <c r="J163" s="446">
        <v>200000</v>
      </c>
      <c r="K163" s="446">
        <v>0.2</v>
      </c>
      <c r="L163" s="446">
        <f t="shared" si="122"/>
        <v>442247.728</v>
      </c>
      <c r="M163" s="446">
        <f t="shared" si="123"/>
        <v>642247.728</v>
      </c>
      <c r="N163" s="446">
        <f t="shared" si="124"/>
        <v>799051.08799999999</v>
      </c>
      <c r="O163" s="446">
        <f t="shared" si="125"/>
        <v>1568990.912</v>
      </c>
      <c r="P163" s="446">
        <f t="shared" si="126"/>
        <v>21000</v>
      </c>
      <c r="Q163" s="446">
        <f t="shared" si="127"/>
        <v>33000</v>
      </c>
      <c r="R163" s="446">
        <f t="shared" si="128"/>
        <v>75000</v>
      </c>
      <c r="S163" s="446">
        <f t="shared" si="129"/>
        <v>89108.273279999994</v>
      </c>
      <c r="T163" s="446">
        <f t="shared" si="130"/>
        <v>0</v>
      </c>
      <c r="U163" s="446"/>
      <c r="V163" s="446">
        <f t="shared" si="135"/>
        <v>218108.27327999999</v>
      </c>
      <c r="W163" s="453">
        <v>12</v>
      </c>
      <c r="X163" s="446">
        <f t="shared" si="131"/>
        <v>18175.689439999998</v>
      </c>
      <c r="Y163" s="449"/>
      <c r="Z163" s="457">
        <f t="shared" si="132"/>
        <v>18175.689439999998</v>
      </c>
      <c r="AA163" s="458">
        <v>10776.457626666701</v>
      </c>
      <c r="AB163" s="458">
        <f t="shared" si="134"/>
        <v>7399.2318133333401</v>
      </c>
      <c r="AC163" s="458"/>
      <c r="AD163" s="458"/>
      <c r="AE163" s="458"/>
    </row>
    <row r="164" spans="1:31" ht="18">
      <c r="A164" s="443">
        <v>147</v>
      </c>
      <c r="B164" s="13" t="s">
        <v>467</v>
      </c>
      <c r="C164" s="446">
        <v>200336.83333333299</v>
      </c>
      <c r="D164" s="445">
        <v>12</v>
      </c>
      <c r="E164" s="446">
        <f t="shared" si="133"/>
        <v>2404042</v>
      </c>
      <c r="F164" s="446"/>
      <c r="G164" s="447">
        <v>156803.35999999999</v>
      </c>
      <c r="H164" s="449"/>
      <c r="I164" s="446">
        <f t="shared" si="121"/>
        <v>2247238.64</v>
      </c>
      <c r="J164" s="446">
        <v>200000</v>
      </c>
      <c r="K164" s="446">
        <v>0.2</v>
      </c>
      <c r="L164" s="446">
        <f t="shared" si="122"/>
        <v>449447.728</v>
      </c>
      <c r="M164" s="446">
        <f t="shared" si="123"/>
        <v>649447.728</v>
      </c>
      <c r="N164" s="446">
        <f t="shared" si="124"/>
        <v>806251.08799999999</v>
      </c>
      <c r="O164" s="446">
        <f t="shared" si="125"/>
        <v>1597790.912</v>
      </c>
      <c r="P164" s="446">
        <f t="shared" si="126"/>
        <v>21000</v>
      </c>
      <c r="Q164" s="446">
        <f t="shared" si="127"/>
        <v>33000</v>
      </c>
      <c r="R164" s="446">
        <f t="shared" si="128"/>
        <v>75000</v>
      </c>
      <c r="S164" s="446">
        <f t="shared" si="129"/>
        <v>94580.273279999994</v>
      </c>
      <c r="T164" s="446">
        <f t="shared" si="130"/>
        <v>0</v>
      </c>
      <c r="U164" s="446"/>
      <c r="V164" s="446">
        <f t="shared" si="135"/>
        <v>223580.27327999999</v>
      </c>
      <c r="W164" s="453">
        <v>12</v>
      </c>
      <c r="X164" s="446">
        <f t="shared" si="131"/>
        <v>18631.689439999998</v>
      </c>
      <c r="Y164" s="449"/>
      <c r="Z164" s="457">
        <f t="shared" si="132"/>
        <v>18631.689439999998</v>
      </c>
      <c r="AA164" s="458">
        <v>11232.457626666701</v>
      </c>
      <c r="AB164" s="458">
        <f t="shared" si="134"/>
        <v>7399.2318133333401</v>
      </c>
      <c r="AC164" s="458"/>
      <c r="AD164" s="458"/>
      <c r="AE164" s="458"/>
    </row>
    <row r="165" spans="1:31" ht="18">
      <c r="A165" s="443">
        <v>148</v>
      </c>
      <c r="B165" s="10" t="s">
        <v>468</v>
      </c>
      <c r="C165" s="446">
        <v>197336.83333333299</v>
      </c>
      <c r="D165" s="445">
        <v>12</v>
      </c>
      <c r="E165" s="446">
        <f t="shared" si="133"/>
        <v>2368042</v>
      </c>
      <c r="F165" s="446"/>
      <c r="G165" s="447">
        <v>156803.35999999999</v>
      </c>
      <c r="H165" s="449"/>
      <c r="I165" s="446">
        <f t="shared" si="121"/>
        <v>2211238.64</v>
      </c>
      <c r="J165" s="446">
        <v>200000</v>
      </c>
      <c r="K165" s="446">
        <v>0.2</v>
      </c>
      <c r="L165" s="446">
        <f t="shared" si="122"/>
        <v>442247.728</v>
      </c>
      <c r="M165" s="446">
        <f t="shared" si="123"/>
        <v>642247.728</v>
      </c>
      <c r="N165" s="446">
        <f t="shared" si="124"/>
        <v>799051.08799999999</v>
      </c>
      <c r="O165" s="446">
        <f t="shared" si="125"/>
        <v>1568990.912</v>
      </c>
      <c r="P165" s="446">
        <f t="shared" si="126"/>
        <v>21000</v>
      </c>
      <c r="Q165" s="446">
        <f t="shared" si="127"/>
        <v>33000</v>
      </c>
      <c r="R165" s="446">
        <f t="shared" si="128"/>
        <v>75000</v>
      </c>
      <c r="S165" s="446">
        <f t="shared" si="129"/>
        <v>89108.273279999994</v>
      </c>
      <c r="T165" s="446">
        <f t="shared" si="130"/>
        <v>0</v>
      </c>
      <c r="U165" s="446"/>
      <c r="V165" s="446">
        <f t="shared" si="135"/>
        <v>218108.27327999999</v>
      </c>
      <c r="W165" s="453">
        <v>12</v>
      </c>
      <c r="X165" s="446">
        <f t="shared" si="131"/>
        <v>18175.689439999998</v>
      </c>
      <c r="Y165" s="449"/>
      <c r="Z165" s="457">
        <f t="shared" si="132"/>
        <v>18175.689439999998</v>
      </c>
      <c r="AA165" s="458">
        <v>10776.457626666701</v>
      </c>
      <c r="AB165" s="458">
        <f t="shared" si="134"/>
        <v>7399.2318133333401</v>
      </c>
      <c r="AC165" s="458"/>
      <c r="AD165" s="458"/>
      <c r="AE165" s="458"/>
    </row>
    <row r="166" spans="1:31" ht="18">
      <c r="A166" s="443">
        <v>149</v>
      </c>
      <c r="B166" s="17" t="s">
        <v>469</v>
      </c>
      <c r="C166" s="446">
        <v>197336.83333333299</v>
      </c>
      <c r="D166" s="445">
        <v>12</v>
      </c>
      <c r="E166" s="446">
        <f t="shared" si="133"/>
        <v>2368042</v>
      </c>
      <c r="F166" s="446"/>
      <c r="G166" s="447">
        <v>156803.35999999999</v>
      </c>
      <c r="H166" s="449"/>
      <c r="I166" s="446">
        <f t="shared" si="121"/>
        <v>2211238.64</v>
      </c>
      <c r="J166" s="446">
        <v>200000</v>
      </c>
      <c r="K166" s="446">
        <v>0.2</v>
      </c>
      <c r="L166" s="446">
        <f t="shared" si="122"/>
        <v>442247.728</v>
      </c>
      <c r="M166" s="446">
        <f t="shared" si="123"/>
        <v>642247.728</v>
      </c>
      <c r="N166" s="446">
        <f t="shared" si="124"/>
        <v>799051.08799999999</v>
      </c>
      <c r="O166" s="446">
        <f t="shared" si="125"/>
        <v>1568990.912</v>
      </c>
      <c r="P166" s="446">
        <f t="shared" si="126"/>
        <v>21000</v>
      </c>
      <c r="Q166" s="446">
        <f t="shared" si="127"/>
        <v>33000</v>
      </c>
      <c r="R166" s="446">
        <f t="shared" si="128"/>
        <v>75000</v>
      </c>
      <c r="S166" s="446">
        <f t="shared" si="129"/>
        <v>89108.273279999994</v>
      </c>
      <c r="T166" s="446">
        <f t="shared" si="130"/>
        <v>0</v>
      </c>
      <c r="U166" s="446"/>
      <c r="V166" s="446">
        <f t="shared" si="135"/>
        <v>218108.27327999999</v>
      </c>
      <c r="W166" s="453">
        <v>12</v>
      </c>
      <c r="X166" s="446">
        <f t="shared" si="131"/>
        <v>18175.689439999998</v>
      </c>
      <c r="Y166" s="449"/>
      <c r="Z166" s="457">
        <f t="shared" si="132"/>
        <v>18175.689439999998</v>
      </c>
      <c r="AA166" s="458">
        <v>10776.457626666701</v>
      </c>
      <c r="AB166" s="458">
        <f t="shared" si="134"/>
        <v>7399.2318133333401</v>
      </c>
      <c r="AC166" s="458"/>
      <c r="AD166" s="458"/>
      <c r="AE166" s="458"/>
    </row>
    <row r="167" spans="1:31" ht="18">
      <c r="A167" s="443">
        <v>150</v>
      </c>
      <c r="B167" s="17" t="s">
        <v>470</v>
      </c>
      <c r="C167" s="446">
        <v>200336.83333333299</v>
      </c>
      <c r="D167" s="445">
        <v>12</v>
      </c>
      <c r="E167" s="446">
        <f t="shared" si="133"/>
        <v>2404042</v>
      </c>
      <c r="F167" s="446"/>
      <c r="G167" s="447">
        <v>156803.35999999999</v>
      </c>
      <c r="H167" s="449"/>
      <c r="I167" s="446">
        <f t="shared" si="121"/>
        <v>2247238.64</v>
      </c>
      <c r="J167" s="446">
        <v>200000</v>
      </c>
      <c r="K167" s="446">
        <v>0.2</v>
      </c>
      <c r="L167" s="446">
        <f t="shared" si="122"/>
        <v>449447.728</v>
      </c>
      <c r="M167" s="446">
        <f t="shared" si="123"/>
        <v>649447.728</v>
      </c>
      <c r="N167" s="446">
        <f t="shared" si="124"/>
        <v>806251.08799999999</v>
      </c>
      <c r="O167" s="446">
        <f t="shared" si="125"/>
        <v>1597790.912</v>
      </c>
      <c r="P167" s="446">
        <f t="shared" si="126"/>
        <v>21000</v>
      </c>
      <c r="Q167" s="446">
        <f t="shared" si="127"/>
        <v>33000</v>
      </c>
      <c r="R167" s="446">
        <f t="shared" si="128"/>
        <v>75000</v>
      </c>
      <c r="S167" s="446">
        <f t="shared" si="129"/>
        <v>94580.273279999994</v>
      </c>
      <c r="T167" s="446">
        <f t="shared" si="130"/>
        <v>0</v>
      </c>
      <c r="U167" s="446"/>
      <c r="V167" s="446">
        <f t="shared" si="135"/>
        <v>223580.27327999999</v>
      </c>
      <c r="W167" s="453">
        <v>12</v>
      </c>
      <c r="X167" s="446">
        <f t="shared" si="131"/>
        <v>18631.689439999998</v>
      </c>
      <c r="Y167" s="449"/>
      <c r="Z167" s="457">
        <f t="shared" si="132"/>
        <v>18631.689439999998</v>
      </c>
      <c r="AA167" s="458">
        <v>11232.457626666701</v>
      </c>
      <c r="AB167" s="458">
        <f t="shared" si="134"/>
        <v>7399.2318133333401</v>
      </c>
      <c r="AC167" s="458"/>
      <c r="AD167" s="458"/>
      <c r="AE167" s="458"/>
    </row>
    <row r="168" spans="1:31" ht="36">
      <c r="A168" s="443">
        <v>151</v>
      </c>
      <c r="B168" s="10" t="s">
        <v>471</v>
      </c>
      <c r="C168" s="446">
        <v>189814.16666666701</v>
      </c>
      <c r="D168" s="445">
        <v>12</v>
      </c>
      <c r="E168" s="446">
        <f t="shared" si="133"/>
        <v>2277770</v>
      </c>
      <c r="F168" s="446"/>
      <c r="G168" s="447">
        <v>146701.6</v>
      </c>
      <c r="H168" s="449"/>
      <c r="I168" s="446">
        <f t="shared" si="121"/>
        <v>2131068.4</v>
      </c>
      <c r="J168" s="446">
        <v>200000</v>
      </c>
      <c r="K168" s="446">
        <v>0.2</v>
      </c>
      <c r="L168" s="446">
        <f t="shared" si="122"/>
        <v>426213.68</v>
      </c>
      <c r="M168" s="446">
        <f t="shared" si="123"/>
        <v>626213.68000000005</v>
      </c>
      <c r="N168" s="446">
        <f t="shared" si="124"/>
        <v>772915.28</v>
      </c>
      <c r="O168" s="446">
        <f t="shared" si="125"/>
        <v>1504854.72</v>
      </c>
      <c r="P168" s="446">
        <f t="shared" si="126"/>
        <v>21000</v>
      </c>
      <c r="Q168" s="446">
        <f t="shared" si="127"/>
        <v>33000</v>
      </c>
      <c r="R168" s="446">
        <f t="shared" si="128"/>
        <v>75000</v>
      </c>
      <c r="S168" s="446">
        <f t="shared" si="129"/>
        <v>76922.396800000002</v>
      </c>
      <c r="T168" s="446">
        <f t="shared" si="130"/>
        <v>0</v>
      </c>
      <c r="U168" s="446"/>
      <c r="V168" s="446">
        <f t="shared" si="135"/>
        <v>205922.39679999999</v>
      </c>
      <c r="W168" s="453">
        <v>12</v>
      </c>
      <c r="X168" s="446">
        <f t="shared" si="131"/>
        <v>17160.199733333298</v>
      </c>
      <c r="Y168" s="449"/>
      <c r="Z168" s="457">
        <f t="shared" si="132"/>
        <v>17160.199733333298</v>
      </c>
      <c r="AA168" s="458">
        <v>9152.5997900000002</v>
      </c>
      <c r="AB168" s="458">
        <f t="shared" si="134"/>
        <v>8007.59994333334</v>
      </c>
      <c r="AC168" s="458"/>
      <c r="AD168" s="458"/>
      <c r="AE168" s="458"/>
    </row>
    <row r="169" spans="1:31" ht="18">
      <c r="A169" s="443">
        <v>152</v>
      </c>
      <c r="B169" s="10" t="s">
        <v>474</v>
      </c>
      <c r="C169" s="446">
        <v>189814.16666666701</v>
      </c>
      <c r="D169" s="445">
        <v>12</v>
      </c>
      <c r="E169" s="446">
        <f t="shared" si="133"/>
        <v>2277770</v>
      </c>
      <c r="F169" s="446"/>
      <c r="G169" s="447">
        <v>146701.6</v>
      </c>
      <c r="H169" s="449"/>
      <c r="I169" s="446">
        <f t="shared" si="121"/>
        <v>2131068.4</v>
      </c>
      <c r="J169" s="446">
        <v>200000</v>
      </c>
      <c r="K169" s="446">
        <v>0.2</v>
      </c>
      <c r="L169" s="446">
        <f t="shared" si="122"/>
        <v>426213.68</v>
      </c>
      <c r="M169" s="446">
        <f t="shared" si="123"/>
        <v>626213.68000000005</v>
      </c>
      <c r="N169" s="446">
        <f t="shared" si="124"/>
        <v>772915.28</v>
      </c>
      <c r="O169" s="446">
        <f t="shared" si="125"/>
        <v>1504854.72</v>
      </c>
      <c r="P169" s="446">
        <f t="shared" si="126"/>
        <v>21000</v>
      </c>
      <c r="Q169" s="446">
        <f t="shared" si="127"/>
        <v>33000</v>
      </c>
      <c r="R169" s="446">
        <f t="shared" si="128"/>
        <v>75000</v>
      </c>
      <c r="S169" s="446">
        <f t="shared" si="129"/>
        <v>76922.396800000002</v>
      </c>
      <c r="T169" s="446">
        <f t="shared" si="130"/>
        <v>0</v>
      </c>
      <c r="U169" s="446"/>
      <c r="V169" s="446">
        <f t="shared" si="135"/>
        <v>205922.39679999999</v>
      </c>
      <c r="W169" s="453">
        <v>12</v>
      </c>
      <c r="X169" s="446">
        <f t="shared" si="131"/>
        <v>17160.199733333298</v>
      </c>
      <c r="Y169" s="449"/>
      <c r="Z169" s="457">
        <f t="shared" si="132"/>
        <v>17160.199733333298</v>
      </c>
      <c r="AA169" s="458">
        <v>9152.5997900000002</v>
      </c>
      <c r="AB169" s="458">
        <f t="shared" si="134"/>
        <v>8007.59994333334</v>
      </c>
      <c r="AC169" s="458"/>
      <c r="AD169" s="458"/>
      <c r="AE169" s="458"/>
    </row>
    <row r="170" spans="1:31" ht="18">
      <c r="A170" s="443">
        <v>153</v>
      </c>
      <c r="B170" s="17" t="s">
        <v>475</v>
      </c>
      <c r="C170" s="446">
        <v>195075.5</v>
      </c>
      <c r="D170" s="445">
        <v>12</v>
      </c>
      <c r="E170" s="446">
        <f t="shared" si="133"/>
        <v>2340906</v>
      </c>
      <c r="F170" s="446"/>
      <c r="G170" s="447">
        <v>151752.48000000001</v>
      </c>
      <c r="H170" s="449"/>
      <c r="I170" s="446">
        <f t="shared" si="121"/>
        <v>2189153.52</v>
      </c>
      <c r="J170" s="446">
        <v>200000</v>
      </c>
      <c r="K170" s="446">
        <v>0.2</v>
      </c>
      <c r="L170" s="446">
        <f t="shared" si="122"/>
        <v>437830.70400000003</v>
      </c>
      <c r="M170" s="446">
        <f t="shared" si="123"/>
        <v>637830.70400000003</v>
      </c>
      <c r="N170" s="446">
        <f t="shared" si="124"/>
        <v>789583.18400000001</v>
      </c>
      <c r="O170" s="446">
        <f t="shared" si="125"/>
        <v>1551322.8160000001</v>
      </c>
      <c r="P170" s="446">
        <f t="shared" si="126"/>
        <v>21000</v>
      </c>
      <c r="Q170" s="446">
        <f t="shared" si="127"/>
        <v>33000</v>
      </c>
      <c r="R170" s="446">
        <f t="shared" si="128"/>
        <v>75000</v>
      </c>
      <c r="S170" s="446">
        <f t="shared" si="129"/>
        <v>85751.335040000005</v>
      </c>
      <c r="T170" s="446">
        <f t="shared" si="130"/>
        <v>0</v>
      </c>
      <c r="U170" s="446"/>
      <c r="V170" s="446">
        <f t="shared" si="135"/>
        <v>214751.33504000001</v>
      </c>
      <c r="W170" s="453">
        <v>12</v>
      </c>
      <c r="X170" s="446">
        <f t="shared" si="131"/>
        <v>17895.944586666701</v>
      </c>
      <c r="Y170" s="449"/>
      <c r="Z170" s="457">
        <f t="shared" si="132"/>
        <v>17895.944586666701</v>
      </c>
      <c r="AA170" s="458">
        <v>9504.2041399999998</v>
      </c>
      <c r="AB170" s="458">
        <f t="shared" si="134"/>
        <v>8391.7404466666703</v>
      </c>
      <c r="AC170" s="458"/>
      <c r="AD170" s="458"/>
      <c r="AE170" s="458"/>
    </row>
    <row r="171" spans="1:31" ht="29.25" customHeight="1">
      <c r="A171" s="443">
        <v>154</v>
      </c>
      <c r="B171" s="10" t="s">
        <v>477</v>
      </c>
      <c r="C171" s="446">
        <v>121145.75</v>
      </c>
      <c r="D171" s="445">
        <v>12</v>
      </c>
      <c r="E171" s="446">
        <f t="shared" si="133"/>
        <v>1453749</v>
      </c>
      <c r="F171" s="446"/>
      <c r="G171" s="447">
        <v>90379.92</v>
      </c>
      <c r="H171" s="449"/>
      <c r="I171" s="446">
        <f t="shared" si="121"/>
        <v>1363369.08</v>
      </c>
      <c r="J171" s="446">
        <v>200000</v>
      </c>
      <c r="K171" s="446">
        <v>0.2</v>
      </c>
      <c r="L171" s="446">
        <f t="shared" si="122"/>
        <v>272673.81599999999</v>
      </c>
      <c r="M171" s="446">
        <f t="shared" si="123"/>
        <v>472673.81599999999</v>
      </c>
      <c r="N171" s="446">
        <f t="shared" si="124"/>
        <v>563053.73600000003</v>
      </c>
      <c r="O171" s="446">
        <f t="shared" si="125"/>
        <v>890695.26399999997</v>
      </c>
      <c r="P171" s="446">
        <f t="shared" si="126"/>
        <v>21000</v>
      </c>
      <c r="Q171" s="446">
        <f t="shared" si="127"/>
        <v>33000</v>
      </c>
      <c r="R171" s="446">
        <f t="shared" si="128"/>
        <v>43604.289599999996</v>
      </c>
      <c r="S171" s="446">
        <f t="shared" si="129"/>
        <v>0</v>
      </c>
      <c r="T171" s="446">
        <f t="shared" si="130"/>
        <v>0</v>
      </c>
      <c r="U171" s="446"/>
      <c r="V171" s="446">
        <f t="shared" si="135"/>
        <v>97604.289600000004</v>
      </c>
      <c r="W171" s="453">
        <v>12</v>
      </c>
      <c r="X171" s="446">
        <f t="shared" si="131"/>
        <v>8133.6908000000003</v>
      </c>
      <c r="Y171" s="449"/>
      <c r="Z171" s="457">
        <f t="shared" si="132"/>
        <v>8133.6908000000003</v>
      </c>
      <c r="AA171" s="458">
        <v>4365.3307546666701</v>
      </c>
      <c r="AB171" s="458">
        <f t="shared" si="134"/>
        <v>3768.3600453333302</v>
      </c>
      <c r="AC171" s="458"/>
      <c r="AD171" s="458"/>
      <c r="AE171" s="458"/>
    </row>
    <row r="172" spans="1:31" ht="18">
      <c r="A172" s="443">
        <v>155</v>
      </c>
      <c r="B172" s="10" t="s">
        <v>480</v>
      </c>
      <c r="C172" s="446">
        <v>118598</v>
      </c>
      <c r="D172" s="445">
        <v>12</v>
      </c>
      <c r="E172" s="446">
        <f t="shared" si="133"/>
        <v>1423176</v>
      </c>
      <c r="F172" s="446"/>
      <c r="G172" s="447">
        <v>87934.080000000002</v>
      </c>
      <c r="H172" s="449"/>
      <c r="I172" s="446">
        <f t="shared" si="121"/>
        <v>1335241.92</v>
      </c>
      <c r="J172" s="446">
        <v>200000</v>
      </c>
      <c r="K172" s="446">
        <v>0.2</v>
      </c>
      <c r="L172" s="446">
        <f t="shared" si="122"/>
        <v>267048.38400000002</v>
      </c>
      <c r="M172" s="446">
        <f t="shared" si="123"/>
        <v>467048.38400000002</v>
      </c>
      <c r="N172" s="446">
        <f t="shared" si="124"/>
        <v>554982.46400000004</v>
      </c>
      <c r="O172" s="446">
        <f t="shared" si="125"/>
        <v>868193.53599999996</v>
      </c>
      <c r="P172" s="446">
        <f t="shared" si="126"/>
        <v>21000</v>
      </c>
      <c r="Q172" s="446">
        <f t="shared" si="127"/>
        <v>33000</v>
      </c>
      <c r="R172" s="446">
        <f t="shared" si="128"/>
        <v>40229.030400000003</v>
      </c>
      <c r="S172" s="446">
        <f t="shared" si="129"/>
        <v>0</v>
      </c>
      <c r="T172" s="446">
        <f t="shared" si="130"/>
        <v>0</v>
      </c>
      <c r="U172" s="446"/>
      <c r="V172" s="446">
        <f t="shared" si="135"/>
        <v>94229.030400000003</v>
      </c>
      <c r="W172" s="453">
        <v>12</v>
      </c>
      <c r="X172" s="446">
        <f t="shared" si="131"/>
        <v>7852.4192000000003</v>
      </c>
      <c r="Y172" s="449"/>
      <c r="Z172" s="457">
        <f t="shared" si="132"/>
        <v>7852.4192000000003</v>
      </c>
      <c r="AA172" s="458">
        <v>4227.5237226666704</v>
      </c>
      <c r="AB172" s="458">
        <f t="shared" si="134"/>
        <v>3624.8954773333298</v>
      </c>
      <c r="AC172" s="458"/>
      <c r="AD172" s="458"/>
      <c r="AE172" s="458"/>
    </row>
    <row r="173" spans="1:31" ht="18">
      <c r="A173" s="443">
        <v>156</v>
      </c>
      <c r="B173" s="10" t="s">
        <v>483</v>
      </c>
      <c r="C173" s="446">
        <v>115598</v>
      </c>
      <c r="D173" s="445">
        <v>12</v>
      </c>
      <c r="E173" s="446">
        <f t="shared" si="133"/>
        <v>1387176</v>
      </c>
      <c r="F173" s="446"/>
      <c r="G173" s="447">
        <v>87934.080000000002</v>
      </c>
      <c r="H173" s="449"/>
      <c r="I173" s="446">
        <f t="shared" si="121"/>
        <v>1299241.92</v>
      </c>
      <c r="J173" s="446">
        <v>200000</v>
      </c>
      <c r="K173" s="446">
        <v>0.2</v>
      </c>
      <c r="L173" s="446">
        <f t="shared" si="122"/>
        <v>259848.38399999999</v>
      </c>
      <c r="M173" s="446">
        <f t="shared" si="123"/>
        <v>459848.38400000002</v>
      </c>
      <c r="N173" s="446">
        <f t="shared" si="124"/>
        <v>547782.46400000004</v>
      </c>
      <c r="O173" s="446">
        <f t="shared" si="125"/>
        <v>839393.53599999996</v>
      </c>
      <c r="P173" s="446">
        <f t="shared" si="126"/>
        <v>21000</v>
      </c>
      <c r="Q173" s="446">
        <f t="shared" si="127"/>
        <v>33000</v>
      </c>
      <c r="R173" s="446">
        <f t="shared" si="128"/>
        <v>35909.030400000003</v>
      </c>
      <c r="S173" s="446">
        <f t="shared" si="129"/>
        <v>0</v>
      </c>
      <c r="T173" s="446">
        <f t="shared" si="130"/>
        <v>0</v>
      </c>
      <c r="U173" s="446"/>
      <c r="V173" s="446">
        <f t="shared" si="135"/>
        <v>89909.030400000003</v>
      </c>
      <c r="W173" s="453">
        <v>12</v>
      </c>
      <c r="X173" s="446">
        <f t="shared" si="131"/>
        <v>7492.4192000000003</v>
      </c>
      <c r="Y173" s="449"/>
      <c r="Z173" s="457">
        <f t="shared" si="132"/>
        <v>7492.4192000000003</v>
      </c>
      <c r="AA173" s="458">
        <v>3963.52372266667</v>
      </c>
      <c r="AB173" s="458">
        <f t="shared" si="134"/>
        <v>3528.8954773333298</v>
      </c>
      <c r="AC173" s="458"/>
      <c r="AD173" s="458"/>
      <c r="AE173" s="458"/>
    </row>
    <row r="174" spans="1:31" ht="18">
      <c r="A174" s="443">
        <v>157</v>
      </c>
      <c r="B174" s="10" t="s">
        <v>484</v>
      </c>
      <c r="C174" s="446">
        <v>118598</v>
      </c>
      <c r="D174" s="445">
        <v>12</v>
      </c>
      <c r="E174" s="446">
        <f t="shared" si="133"/>
        <v>1423176</v>
      </c>
      <c r="F174" s="446"/>
      <c r="G174" s="447">
        <v>87934.080000000002</v>
      </c>
      <c r="H174" s="449"/>
      <c r="I174" s="446">
        <f t="shared" si="121"/>
        <v>1335241.92</v>
      </c>
      <c r="J174" s="446">
        <v>200000</v>
      </c>
      <c r="K174" s="446">
        <v>0.2</v>
      </c>
      <c r="L174" s="446">
        <f t="shared" si="122"/>
        <v>267048.38400000002</v>
      </c>
      <c r="M174" s="446">
        <f t="shared" si="123"/>
        <v>467048.38400000002</v>
      </c>
      <c r="N174" s="446">
        <f t="shared" si="124"/>
        <v>554982.46400000004</v>
      </c>
      <c r="O174" s="446">
        <f t="shared" si="125"/>
        <v>868193.53599999996</v>
      </c>
      <c r="P174" s="446">
        <f t="shared" si="126"/>
        <v>21000</v>
      </c>
      <c r="Q174" s="446">
        <f t="shared" si="127"/>
        <v>33000</v>
      </c>
      <c r="R174" s="446">
        <f t="shared" si="128"/>
        <v>40229.030400000003</v>
      </c>
      <c r="S174" s="446">
        <f t="shared" si="129"/>
        <v>0</v>
      </c>
      <c r="T174" s="446">
        <f t="shared" si="130"/>
        <v>0</v>
      </c>
      <c r="U174" s="446"/>
      <c r="V174" s="446">
        <f t="shared" si="135"/>
        <v>94229.030400000003</v>
      </c>
      <c r="W174" s="453">
        <v>12</v>
      </c>
      <c r="X174" s="446">
        <f t="shared" si="131"/>
        <v>7852.4192000000003</v>
      </c>
      <c r="Y174" s="449"/>
      <c r="Z174" s="457">
        <f t="shared" si="132"/>
        <v>7852.4192000000003</v>
      </c>
      <c r="AA174" s="458">
        <v>4227.5237226666704</v>
      </c>
      <c r="AB174" s="458">
        <f t="shared" si="134"/>
        <v>3624.8954773333298</v>
      </c>
      <c r="AC174" s="458"/>
      <c r="AD174" s="458"/>
      <c r="AE174" s="458"/>
    </row>
    <row r="175" spans="1:31" ht="18">
      <c r="A175" s="454"/>
      <c r="B175" s="10" t="s">
        <v>485</v>
      </c>
      <c r="C175" s="462">
        <v>115598</v>
      </c>
      <c r="D175" s="445">
        <v>12</v>
      </c>
      <c r="E175" s="446">
        <f t="shared" si="133"/>
        <v>1387176</v>
      </c>
      <c r="F175" s="446"/>
      <c r="G175" s="447">
        <v>87934.080000000002</v>
      </c>
      <c r="H175" s="449"/>
      <c r="I175" s="446">
        <f t="shared" si="121"/>
        <v>1299241.92</v>
      </c>
      <c r="J175" s="446">
        <v>200000</v>
      </c>
      <c r="K175" s="446">
        <v>0.2</v>
      </c>
      <c r="L175" s="446">
        <f t="shared" si="122"/>
        <v>259848.38399999999</v>
      </c>
      <c r="M175" s="446">
        <f t="shared" si="123"/>
        <v>459848.38400000002</v>
      </c>
      <c r="N175" s="446">
        <f t="shared" si="124"/>
        <v>547782.46400000004</v>
      </c>
      <c r="O175" s="446">
        <f t="shared" si="125"/>
        <v>839393.53599999996</v>
      </c>
      <c r="P175" s="446">
        <f t="shared" si="126"/>
        <v>21000</v>
      </c>
      <c r="Q175" s="446">
        <f t="shared" si="127"/>
        <v>33000</v>
      </c>
      <c r="R175" s="446">
        <f t="shared" si="128"/>
        <v>35909.030400000003</v>
      </c>
      <c r="S175" s="446">
        <f t="shared" si="129"/>
        <v>0</v>
      </c>
      <c r="T175" s="446">
        <f t="shared" si="130"/>
        <v>0</v>
      </c>
      <c r="U175" s="446"/>
      <c r="V175" s="446">
        <f t="shared" si="135"/>
        <v>89909.030400000003</v>
      </c>
      <c r="W175" s="453">
        <v>12</v>
      </c>
      <c r="X175" s="446">
        <f t="shared" si="131"/>
        <v>7492.4192000000003</v>
      </c>
      <c r="Y175" s="449"/>
      <c r="Z175" s="457">
        <f t="shared" si="132"/>
        <v>7492.4192000000003</v>
      </c>
      <c r="AA175" s="458">
        <v>3963.52372266667</v>
      </c>
      <c r="AB175" s="458">
        <f t="shared" si="134"/>
        <v>3528.8954773333298</v>
      </c>
      <c r="AC175" s="458"/>
      <c r="AD175" s="458"/>
      <c r="AE175" s="458"/>
    </row>
    <row r="176" spans="1:31" ht="18">
      <c r="A176" s="454"/>
      <c r="B176" s="10" t="s">
        <v>486</v>
      </c>
      <c r="C176" s="462">
        <v>118598</v>
      </c>
      <c r="D176" s="445">
        <v>12</v>
      </c>
      <c r="E176" s="446">
        <f t="shared" si="133"/>
        <v>1423176</v>
      </c>
      <c r="F176" s="446"/>
      <c r="G176" s="447">
        <v>87934.080000000002</v>
      </c>
      <c r="H176" s="449"/>
      <c r="I176" s="446">
        <f t="shared" si="121"/>
        <v>1335241.92</v>
      </c>
      <c r="J176" s="446">
        <v>200000</v>
      </c>
      <c r="K176" s="446">
        <v>0.2</v>
      </c>
      <c r="L176" s="446">
        <f t="shared" si="122"/>
        <v>267048.38400000002</v>
      </c>
      <c r="M176" s="446">
        <f t="shared" si="123"/>
        <v>467048.38400000002</v>
      </c>
      <c r="N176" s="446">
        <f t="shared" si="124"/>
        <v>554982.46400000004</v>
      </c>
      <c r="O176" s="446">
        <f t="shared" si="125"/>
        <v>868193.53599999996</v>
      </c>
      <c r="P176" s="446">
        <f t="shared" si="126"/>
        <v>21000</v>
      </c>
      <c r="Q176" s="446">
        <f t="shared" si="127"/>
        <v>33000</v>
      </c>
      <c r="R176" s="446">
        <f t="shared" si="128"/>
        <v>40229.030400000003</v>
      </c>
      <c r="S176" s="446">
        <f t="shared" si="129"/>
        <v>0</v>
      </c>
      <c r="T176" s="446">
        <f t="shared" si="130"/>
        <v>0</v>
      </c>
      <c r="U176" s="446"/>
      <c r="V176" s="446">
        <f t="shared" si="135"/>
        <v>94229.030400000003</v>
      </c>
      <c r="W176" s="453">
        <v>12</v>
      </c>
      <c r="X176" s="446">
        <f t="shared" si="131"/>
        <v>7852.4192000000003</v>
      </c>
      <c r="Y176" s="449"/>
      <c r="Z176" s="457">
        <f t="shared" si="132"/>
        <v>7852.4192000000003</v>
      </c>
      <c r="AA176" s="458">
        <v>4227.5237226666704</v>
      </c>
      <c r="AB176" s="458">
        <f t="shared" si="134"/>
        <v>3624.8954773333298</v>
      </c>
    </row>
    <row r="177" spans="2:28" ht="18">
      <c r="B177" s="17" t="s">
        <v>487</v>
      </c>
      <c r="C177" s="458">
        <v>115598</v>
      </c>
      <c r="D177" s="445">
        <v>12</v>
      </c>
      <c r="E177" s="446">
        <f t="shared" si="133"/>
        <v>1387176</v>
      </c>
      <c r="G177" s="447">
        <v>87934.080000000002</v>
      </c>
      <c r="I177" s="446">
        <f t="shared" si="121"/>
        <v>1299241.92</v>
      </c>
      <c r="J177" s="446">
        <v>200000</v>
      </c>
      <c r="K177" s="446">
        <v>0.2</v>
      </c>
      <c r="L177" s="446">
        <f t="shared" si="122"/>
        <v>259848.38399999999</v>
      </c>
      <c r="M177" s="446">
        <f t="shared" si="123"/>
        <v>459848.38400000002</v>
      </c>
      <c r="N177" s="446">
        <f t="shared" si="124"/>
        <v>547782.46400000004</v>
      </c>
      <c r="O177" s="446">
        <f t="shared" si="125"/>
        <v>839393.53599999996</v>
      </c>
      <c r="P177" s="446">
        <f t="shared" si="126"/>
        <v>21000</v>
      </c>
      <c r="Q177" s="446">
        <f t="shared" si="127"/>
        <v>33000</v>
      </c>
      <c r="R177" s="446">
        <f t="shared" si="128"/>
        <v>35909.030400000003</v>
      </c>
      <c r="S177" s="446">
        <f t="shared" si="129"/>
        <v>0</v>
      </c>
      <c r="T177" s="446">
        <f t="shared" si="130"/>
        <v>0</v>
      </c>
      <c r="U177" s="446"/>
      <c r="V177" s="446">
        <f t="shared" si="135"/>
        <v>89909.030400000003</v>
      </c>
      <c r="W177" s="453">
        <v>12</v>
      </c>
      <c r="X177" s="446">
        <f t="shared" si="131"/>
        <v>7492.4192000000003</v>
      </c>
      <c r="Z177" s="457">
        <f t="shared" si="132"/>
        <v>7492.4192000000003</v>
      </c>
      <c r="AA177" s="458">
        <v>3963.52372266667</v>
      </c>
      <c r="AB177" s="458">
        <f t="shared" si="134"/>
        <v>3528.8954773333298</v>
      </c>
    </row>
    <row r="178" spans="2:28" ht="18">
      <c r="B178" s="17" t="s">
        <v>488</v>
      </c>
      <c r="C178" s="458">
        <v>118598</v>
      </c>
      <c r="D178" s="445">
        <v>12</v>
      </c>
      <c r="E178" s="446">
        <f t="shared" si="133"/>
        <v>1423176</v>
      </c>
      <c r="G178" s="447">
        <v>87934.080000000002</v>
      </c>
      <c r="I178" s="446">
        <f t="shared" si="121"/>
        <v>1335241.92</v>
      </c>
      <c r="J178" s="446">
        <v>200000</v>
      </c>
      <c r="K178" s="446">
        <v>0.2</v>
      </c>
      <c r="L178" s="446">
        <f t="shared" si="122"/>
        <v>267048.38400000002</v>
      </c>
      <c r="M178" s="446">
        <f t="shared" si="123"/>
        <v>467048.38400000002</v>
      </c>
      <c r="N178" s="446">
        <f t="shared" si="124"/>
        <v>554982.46400000004</v>
      </c>
      <c r="O178" s="446">
        <f t="shared" si="125"/>
        <v>868193.53599999996</v>
      </c>
      <c r="P178" s="446">
        <f t="shared" si="126"/>
        <v>21000</v>
      </c>
      <c r="Q178" s="446">
        <f t="shared" si="127"/>
        <v>33000</v>
      </c>
      <c r="R178" s="446">
        <f t="shared" si="128"/>
        <v>40229.030400000003</v>
      </c>
      <c r="S178" s="446">
        <f t="shared" si="129"/>
        <v>0</v>
      </c>
      <c r="T178" s="446">
        <f t="shared" si="130"/>
        <v>0</v>
      </c>
      <c r="U178" s="446"/>
      <c r="V178" s="446">
        <f t="shared" si="135"/>
        <v>94229.030400000003</v>
      </c>
      <c r="W178" s="453">
        <v>12</v>
      </c>
      <c r="X178" s="446">
        <f t="shared" si="131"/>
        <v>7852.4192000000003</v>
      </c>
      <c r="Z178" s="457">
        <f t="shared" si="132"/>
        <v>7852.4192000000003</v>
      </c>
      <c r="AA178" s="458">
        <v>4227.5237226666704</v>
      </c>
      <c r="AB178" s="458">
        <f t="shared" si="134"/>
        <v>3624.8954773333298</v>
      </c>
    </row>
    <row r="179" spans="2:28" ht="18">
      <c r="B179" s="10" t="s">
        <v>489</v>
      </c>
      <c r="C179" s="458">
        <v>118598</v>
      </c>
      <c r="D179" s="445">
        <v>12</v>
      </c>
      <c r="E179" s="446">
        <f t="shared" si="133"/>
        <v>1423176</v>
      </c>
      <c r="G179" s="447">
        <v>87934.080000000002</v>
      </c>
      <c r="I179" s="446">
        <f t="shared" si="121"/>
        <v>1335241.92</v>
      </c>
      <c r="J179" s="446">
        <v>200000</v>
      </c>
      <c r="K179" s="446">
        <v>0.2</v>
      </c>
      <c r="L179" s="446">
        <f t="shared" si="122"/>
        <v>267048.38400000002</v>
      </c>
      <c r="M179" s="446">
        <f t="shared" si="123"/>
        <v>467048.38400000002</v>
      </c>
      <c r="N179" s="446">
        <f t="shared" si="124"/>
        <v>554982.46400000004</v>
      </c>
      <c r="O179" s="446">
        <f t="shared" si="125"/>
        <v>868193.53599999996</v>
      </c>
      <c r="P179" s="446">
        <f t="shared" si="126"/>
        <v>21000</v>
      </c>
      <c r="Q179" s="446">
        <f t="shared" si="127"/>
        <v>33000</v>
      </c>
      <c r="R179" s="446">
        <f t="shared" si="128"/>
        <v>40229.030400000003</v>
      </c>
      <c r="S179" s="446">
        <f t="shared" si="129"/>
        <v>0</v>
      </c>
      <c r="T179" s="446">
        <f t="shared" si="130"/>
        <v>0</v>
      </c>
      <c r="V179" s="446">
        <f t="shared" si="135"/>
        <v>94229.030400000003</v>
      </c>
      <c r="W179" s="453">
        <v>12</v>
      </c>
      <c r="X179" s="446">
        <f t="shared" si="131"/>
        <v>7852.4192000000003</v>
      </c>
      <c r="Z179" s="457">
        <f t="shared" si="132"/>
        <v>7852.4192000000003</v>
      </c>
      <c r="AA179" s="458">
        <v>4089.7166906666698</v>
      </c>
      <c r="AB179" s="458">
        <f t="shared" si="134"/>
        <v>3762.70250933333</v>
      </c>
    </row>
    <row r="180" spans="2:28" ht="18">
      <c r="B180" s="10" t="s">
        <v>490</v>
      </c>
      <c r="C180" s="458">
        <v>118598</v>
      </c>
      <c r="D180" s="445">
        <v>12</v>
      </c>
      <c r="E180" s="446">
        <f t="shared" si="133"/>
        <v>1423176</v>
      </c>
      <c r="G180" s="447">
        <v>87934.080000000002</v>
      </c>
      <c r="I180" s="446">
        <f t="shared" si="121"/>
        <v>1335241.92</v>
      </c>
      <c r="J180" s="446">
        <v>200000</v>
      </c>
      <c r="K180" s="446">
        <v>0.2</v>
      </c>
      <c r="L180" s="446">
        <f t="shared" si="122"/>
        <v>267048.38400000002</v>
      </c>
      <c r="M180" s="446">
        <f t="shared" si="123"/>
        <v>467048.38400000002</v>
      </c>
      <c r="N180" s="446">
        <f t="shared" si="124"/>
        <v>554982.46400000004</v>
      </c>
      <c r="O180" s="446">
        <f t="shared" si="125"/>
        <v>868193.53599999996</v>
      </c>
      <c r="P180" s="446">
        <f t="shared" si="126"/>
        <v>21000</v>
      </c>
      <c r="Q180" s="446">
        <f t="shared" si="127"/>
        <v>33000</v>
      </c>
      <c r="R180" s="446">
        <f t="shared" si="128"/>
        <v>40229.030400000003</v>
      </c>
      <c r="S180" s="446">
        <f t="shared" si="129"/>
        <v>0</v>
      </c>
      <c r="T180" s="446">
        <f t="shared" si="130"/>
        <v>0</v>
      </c>
      <c r="V180" s="446">
        <f t="shared" si="135"/>
        <v>94229.030400000003</v>
      </c>
      <c r="W180" s="453">
        <v>12</v>
      </c>
      <c r="X180" s="446">
        <f t="shared" si="131"/>
        <v>7852.4192000000003</v>
      </c>
      <c r="Z180" s="457">
        <f t="shared" si="132"/>
        <v>7852.4192000000003</v>
      </c>
      <c r="AA180" s="458">
        <v>4227.5237226666704</v>
      </c>
      <c r="AB180" s="458">
        <f t="shared" si="134"/>
        <v>3624.8954773333298</v>
      </c>
    </row>
    <row r="181" spans="2:28" ht="18">
      <c r="B181" s="17" t="s">
        <v>491</v>
      </c>
      <c r="C181" s="458">
        <v>116050.25</v>
      </c>
      <c r="D181" s="445">
        <v>12</v>
      </c>
      <c r="E181" s="446">
        <f t="shared" si="133"/>
        <v>1392603</v>
      </c>
      <c r="G181" s="447">
        <v>85488.24</v>
      </c>
      <c r="I181" s="446">
        <f t="shared" si="121"/>
        <v>1307114.76</v>
      </c>
      <c r="J181" s="446">
        <v>200000</v>
      </c>
      <c r="K181" s="446">
        <v>0.2</v>
      </c>
      <c r="L181" s="446">
        <f t="shared" si="122"/>
        <v>261422.95199999999</v>
      </c>
      <c r="M181" s="446">
        <f t="shared" si="123"/>
        <v>461422.95199999999</v>
      </c>
      <c r="N181" s="446">
        <f t="shared" si="124"/>
        <v>546911.19200000004</v>
      </c>
      <c r="O181" s="446">
        <f t="shared" si="125"/>
        <v>845691.80799999996</v>
      </c>
      <c r="P181" s="446">
        <f t="shared" si="126"/>
        <v>21000</v>
      </c>
      <c r="Q181" s="446">
        <f t="shared" si="127"/>
        <v>33000</v>
      </c>
      <c r="R181" s="446">
        <f t="shared" si="128"/>
        <v>36853.771200000003</v>
      </c>
      <c r="S181" s="446">
        <f t="shared" si="129"/>
        <v>0</v>
      </c>
      <c r="T181" s="446">
        <f t="shared" si="130"/>
        <v>0</v>
      </c>
      <c r="V181" s="446">
        <f t="shared" si="135"/>
        <v>90853.771200000003</v>
      </c>
      <c r="W181" s="453">
        <v>12</v>
      </c>
      <c r="X181" s="446">
        <f t="shared" si="131"/>
        <v>7571.1476000000002</v>
      </c>
      <c r="Z181" s="457">
        <f t="shared" si="132"/>
        <v>7571.1476000000002</v>
      </c>
      <c r="AA181" s="458">
        <v>4089.7166906666698</v>
      </c>
      <c r="AB181" s="458">
        <f t="shared" si="134"/>
        <v>3481.43090933333</v>
      </c>
    </row>
    <row r="182" spans="2:28" ht="18">
      <c r="B182" s="17" t="s">
        <v>493</v>
      </c>
      <c r="C182" s="458">
        <v>102926.91666666701</v>
      </c>
      <c r="D182" s="445">
        <v>12</v>
      </c>
      <c r="E182" s="446">
        <f t="shared" si="133"/>
        <v>1235123</v>
      </c>
      <c r="G182" s="447">
        <v>77689.84</v>
      </c>
      <c r="I182" s="446">
        <f t="shared" si="121"/>
        <v>1157433.1599999999</v>
      </c>
      <c r="J182" s="446">
        <v>200000</v>
      </c>
      <c r="K182" s="446">
        <v>0.2</v>
      </c>
      <c r="L182" s="446">
        <f t="shared" si="122"/>
        <v>231486.63200000001</v>
      </c>
      <c r="M182" s="446">
        <f t="shared" si="123"/>
        <v>431486.63199999998</v>
      </c>
      <c r="N182" s="446">
        <f t="shared" si="124"/>
        <v>509176.47200000001</v>
      </c>
      <c r="O182" s="446">
        <f t="shared" si="125"/>
        <v>725946.52800000005</v>
      </c>
      <c r="P182" s="446">
        <f t="shared" si="126"/>
        <v>21000</v>
      </c>
      <c r="Q182" s="446">
        <f t="shared" si="127"/>
        <v>33000</v>
      </c>
      <c r="R182" s="446">
        <f t="shared" si="128"/>
        <v>18891.979200000002</v>
      </c>
      <c r="S182" s="446">
        <f t="shared" si="129"/>
        <v>0</v>
      </c>
      <c r="T182" s="446">
        <f t="shared" si="130"/>
        <v>0</v>
      </c>
      <c r="V182" s="446">
        <f t="shared" si="135"/>
        <v>72891.979200000002</v>
      </c>
      <c r="W182" s="453">
        <v>12</v>
      </c>
      <c r="X182" s="446">
        <f t="shared" si="131"/>
        <v>6074.3316000000004</v>
      </c>
      <c r="Z182" s="457">
        <f t="shared" si="132"/>
        <v>6074.3316000000004</v>
      </c>
      <c r="AA182" s="458">
        <v>3210.1544048666701</v>
      </c>
      <c r="AB182" s="458">
        <f t="shared" si="134"/>
        <v>2864.1771951333299</v>
      </c>
    </row>
    <row r="183" spans="2:28" ht="18">
      <c r="B183" s="17" t="s">
        <v>495</v>
      </c>
      <c r="C183" s="458">
        <v>95540.75</v>
      </c>
      <c r="D183" s="445">
        <v>12</v>
      </c>
      <c r="E183" s="446">
        <f t="shared" si="133"/>
        <v>1146489</v>
      </c>
      <c r="G183" s="447">
        <f>6123.26*12</f>
        <v>73479.12</v>
      </c>
      <c r="I183" s="446">
        <f t="shared" si="121"/>
        <v>1073009.8799999999</v>
      </c>
      <c r="J183" s="446">
        <v>200000</v>
      </c>
      <c r="K183" s="446">
        <v>0.2</v>
      </c>
      <c r="L183" s="446">
        <f t="shared" si="122"/>
        <v>214601.976</v>
      </c>
      <c r="M183" s="446">
        <f t="shared" si="123"/>
        <v>414601.97600000002</v>
      </c>
      <c r="N183" s="446">
        <f t="shared" si="124"/>
        <v>488081.09600000002</v>
      </c>
      <c r="O183" s="446">
        <f t="shared" si="125"/>
        <v>658407.90399999998</v>
      </c>
      <c r="P183" s="446">
        <f t="shared" si="126"/>
        <v>21000</v>
      </c>
      <c r="Q183" s="446">
        <f t="shared" si="127"/>
        <v>33000</v>
      </c>
      <c r="R183" s="446">
        <f t="shared" si="128"/>
        <v>8761.1856000000007</v>
      </c>
      <c r="S183" s="446">
        <f t="shared" si="129"/>
        <v>0</v>
      </c>
      <c r="T183" s="446">
        <f t="shared" si="130"/>
        <v>0</v>
      </c>
      <c r="V183" s="446">
        <f t="shared" si="135"/>
        <v>62761.185599999997</v>
      </c>
      <c r="W183" s="453">
        <v>12</v>
      </c>
      <c r="X183" s="446">
        <f t="shared" si="131"/>
        <v>5230.0987999999998</v>
      </c>
      <c r="Z183" s="457">
        <f t="shared" si="132"/>
        <v>5230.0987999999998</v>
      </c>
      <c r="AA183" s="458">
        <v>2708.9136406666698</v>
      </c>
      <c r="AB183" s="458">
        <f t="shared" si="134"/>
        <v>2521.1851593333299</v>
      </c>
    </row>
    <row r="184" spans="2:28" ht="18">
      <c r="B184" s="17" t="s">
        <v>498</v>
      </c>
      <c r="C184" s="458">
        <v>95540.75</v>
      </c>
      <c r="D184" s="445">
        <v>12</v>
      </c>
      <c r="E184" s="446">
        <f t="shared" si="133"/>
        <v>1146489</v>
      </c>
      <c r="G184" s="447">
        <f t="shared" ref="G184:G185" si="136">6123.26*12</f>
        <v>73479.12</v>
      </c>
      <c r="I184" s="446">
        <f t="shared" si="121"/>
        <v>1073009.8799999999</v>
      </c>
      <c r="J184" s="446">
        <v>200000</v>
      </c>
      <c r="K184" s="446">
        <v>0.2</v>
      </c>
      <c r="L184" s="446">
        <f t="shared" si="122"/>
        <v>214601.976</v>
      </c>
      <c r="M184" s="446">
        <f t="shared" si="123"/>
        <v>414601.97600000002</v>
      </c>
      <c r="N184" s="446">
        <f t="shared" si="124"/>
        <v>488081.09600000002</v>
      </c>
      <c r="O184" s="446">
        <f t="shared" si="125"/>
        <v>658407.90399999998</v>
      </c>
      <c r="P184" s="446">
        <f t="shared" si="126"/>
        <v>21000</v>
      </c>
      <c r="Q184" s="446">
        <f t="shared" si="127"/>
        <v>33000</v>
      </c>
      <c r="R184" s="446">
        <f t="shared" si="128"/>
        <v>8761.1856000000007</v>
      </c>
      <c r="S184" s="446">
        <f t="shared" si="129"/>
        <v>0</v>
      </c>
      <c r="T184" s="446">
        <f t="shared" si="130"/>
        <v>0</v>
      </c>
      <c r="V184" s="446">
        <f t="shared" si="135"/>
        <v>62761.185599999997</v>
      </c>
      <c r="W184" s="453">
        <v>12</v>
      </c>
      <c r="X184" s="446">
        <f t="shared" si="131"/>
        <v>5230.0987999999998</v>
      </c>
      <c r="Z184" s="457">
        <f t="shared" si="132"/>
        <v>5230.0987999999998</v>
      </c>
      <c r="AA184" s="458">
        <v>2708.9136406666698</v>
      </c>
      <c r="AB184" s="458">
        <f t="shared" si="134"/>
        <v>2521.1851593333299</v>
      </c>
    </row>
    <row r="185" spans="2:28" ht="18">
      <c r="B185" s="17" t="s">
        <v>499</v>
      </c>
      <c r="C185" s="458">
        <v>95540.75</v>
      </c>
      <c r="D185" s="445">
        <v>12</v>
      </c>
      <c r="E185" s="446">
        <f t="shared" si="133"/>
        <v>1146489</v>
      </c>
      <c r="G185" s="447">
        <f t="shared" si="136"/>
        <v>73479.12</v>
      </c>
      <c r="I185" s="446">
        <f t="shared" si="121"/>
        <v>1073009.8799999999</v>
      </c>
      <c r="J185" s="446">
        <v>200000</v>
      </c>
      <c r="K185" s="446">
        <v>0.2</v>
      </c>
      <c r="L185" s="446">
        <f t="shared" si="122"/>
        <v>214601.976</v>
      </c>
      <c r="M185" s="446">
        <f t="shared" si="123"/>
        <v>414601.97600000002</v>
      </c>
      <c r="N185" s="446">
        <f t="shared" si="124"/>
        <v>488081.09600000002</v>
      </c>
      <c r="O185" s="446">
        <f t="shared" si="125"/>
        <v>658407.90399999998</v>
      </c>
      <c r="P185" s="446">
        <f t="shared" si="126"/>
        <v>21000</v>
      </c>
      <c r="Q185" s="446">
        <f t="shared" si="127"/>
        <v>33000</v>
      </c>
      <c r="R185" s="446">
        <f t="shared" si="128"/>
        <v>8761.1856000000007</v>
      </c>
      <c r="S185" s="446">
        <f t="shared" si="129"/>
        <v>0</v>
      </c>
      <c r="T185" s="446">
        <f t="shared" si="130"/>
        <v>0</v>
      </c>
      <c r="V185" s="446">
        <f t="shared" si="135"/>
        <v>62761.185599999997</v>
      </c>
      <c r="W185" s="453">
        <v>12</v>
      </c>
      <c r="X185" s="446">
        <f t="shared" si="131"/>
        <v>5230.0987999999998</v>
      </c>
      <c r="Z185" s="457">
        <f t="shared" si="132"/>
        <v>5230.0987999999998</v>
      </c>
      <c r="AA185" s="458">
        <v>2708.9136406666698</v>
      </c>
      <c r="AB185" s="458">
        <f t="shared" si="134"/>
        <v>2521.1851593333299</v>
      </c>
    </row>
    <row r="186" spans="2:28" ht="18">
      <c r="B186" s="463" t="s">
        <v>500</v>
      </c>
      <c r="C186" s="458">
        <v>108502.5</v>
      </c>
      <c r="D186" s="464">
        <v>12</v>
      </c>
      <c r="E186" s="465">
        <f t="shared" si="133"/>
        <v>1302030</v>
      </c>
      <c r="G186" s="466">
        <f>6920.2*12</f>
        <v>83042.399999999994</v>
      </c>
      <c r="I186" s="465">
        <f t="shared" si="121"/>
        <v>1218987.6000000001</v>
      </c>
      <c r="J186" s="446">
        <v>200000</v>
      </c>
      <c r="K186" s="446">
        <v>0.2</v>
      </c>
      <c r="L186" s="446">
        <f t="shared" si="122"/>
        <v>243797.52</v>
      </c>
      <c r="M186" s="446">
        <f t="shared" si="123"/>
        <v>443797.52</v>
      </c>
      <c r="N186" s="446">
        <f t="shared" si="124"/>
        <v>526839.92000000004</v>
      </c>
      <c r="O186" s="446">
        <f t="shared" si="125"/>
        <v>775190.08</v>
      </c>
      <c r="P186" s="446">
        <f t="shared" si="126"/>
        <v>21000</v>
      </c>
      <c r="Q186" s="446">
        <f t="shared" si="127"/>
        <v>33000</v>
      </c>
      <c r="R186" s="446">
        <f t="shared" si="128"/>
        <v>26278.511999999999</v>
      </c>
      <c r="S186" s="446">
        <f t="shared" si="129"/>
        <v>0</v>
      </c>
      <c r="T186" s="446">
        <f t="shared" si="130"/>
        <v>0</v>
      </c>
      <c r="V186" s="446">
        <f t="shared" si="135"/>
        <v>80278.512000000002</v>
      </c>
      <c r="W186" s="453">
        <v>12</v>
      </c>
      <c r="X186" s="446">
        <f t="shared" si="131"/>
        <v>6689.8760000000002</v>
      </c>
      <c r="Z186" s="457">
        <f t="shared" si="132"/>
        <v>6689.8760000000002</v>
      </c>
      <c r="AA186" s="458">
        <v>3511.7966226666699</v>
      </c>
      <c r="AB186" s="458">
        <f t="shared" si="134"/>
        <v>3178.0793773333298</v>
      </c>
    </row>
    <row r="187" spans="2:28" ht="18">
      <c r="B187" s="463" t="s">
        <v>503</v>
      </c>
      <c r="C187" s="467">
        <v>108502.5</v>
      </c>
      <c r="D187" s="464">
        <v>12</v>
      </c>
      <c r="E187" s="465">
        <f t="shared" si="133"/>
        <v>1302030</v>
      </c>
      <c r="F187" s="468"/>
      <c r="G187" s="466">
        <f>6920.2*12</f>
        <v>83042.399999999994</v>
      </c>
      <c r="H187" s="468"/>
      <c r="I187" s="465">
        <f t="shared" si="121"/>
        <v>1218987.6000000001</v>
      </c>
      <c r="J187" s="465">
        <v>200000</v>
      </c>
      <c r="K187" s="465">
        <v>0.2</v>
      </c>
      <c r="L187" s="465">
        <f t="shared" si="122"/>
        <v>243797.52</v>
      </c>
      <c r="M187" s="465">
        <f t="shared" si="123"/>
        <v>443797.52</v>
      </c>
      <c r="N187" s="465">
        <f t="shared" si="124"/>
        <v>526839.92000000004</v>
      </c>
      <c r="O187" s="465">
        <f t="shared" si="125"/>
        <v>775190.08</v>
      </c>
      <c r="P187" s="465">
        <f t="shared" si="126"/>
        <v>21000</v>
      </c>
      <c r="Q187" s="465">
        <f t="shared" si="127"/>
        <v>33000</v>
      </c>
      <c r="R187" s="465">
        <f t="shared" si="128"/>
        <v>26278.511999999999</v>
      </c>
      <c r="S187" s="465">
        <f t="shared" si="129"/>
        <v>0</v>
      </c>
      <c r="T187" s="465">
        <f t="shared" si="130"/>
        <v>0</v>
      </c>
      <c r="V187" s="465">
        <f t="shared" si="135"/>
        <v>80278.512000000002</v>
      </c>
      <c r="W187" s="479">
        <v>12</v>
      </c>
      <c r="X187" s="465">
        <f t="shared" si="131"/>
        <v>6689.8760000000002</v>
      </c>
      <c r="Z187" s="480">
        <f t="shared" si="132"/>
        <v>6689.8760000000002</v>
      </c>
      <c r="AA187" s="458">
        <v>3511.7966226666699</v>
      </c>
      <c r="AB187" s="458">
        <f t="shared" si="134"/>
        <v>3178.0793773333298</v>
      </c>
    </row>
    <row r="188" spans="2:28" ht="35.25" customHeight="1">
      <c r="B188" s="469" t="s">
        <v>523</v>
      </c>
      <c r="C188" s="470">
        <f>SUM(C6:C187)</f>
        <v>80811797.389438406</v>
      </c>
      <c r="D188" s="471"/>
      <c r="E188" s="472"/>
      <c r="F188" s="473">
        <f>SUM(F6:F187)</f>
        <v>276375.74699999997</v>
      </c>
      <c r="G188" s="473">
        <f>SUM(G6:G187)</f>
        <v>55339851.603200004</v>
      </c>
      <c r="H188" s="474"/>
      <c r="I188" s="474"/>
      <c r="J188" s="474"/>
      <c r="K188" s="474"/>
      <c r="L188" s="474"/>
      <c r="M188" s="474"/>
      <c r="N188" s="474"/>
      <c r="O188" s="474"/>
      <c r="P188" s="474"/>
      <c r="Q188" s="474"/>
      <c r="R188" s="474"/>
      <c r="S188" s="474"/>
      <c r="T188" s="474"/>
      <c r="U188" s="474"/>
      <c r="V188" s="473">
        <f>SUM(V6:V187)</f>
        <v>139208884.235259</v>
      </c>
      <c r="W188" s="473"/>
      <c r="X188" s="473">
        <f t="shared" ref="X188" si="137">SUM(X6:X187)</f>
        <v>11600740.3529383</v>
      </c>
      <c r="Y188" s="473"/>
      <c r="Z188" s="473">
        <f t="shared" ref="Z188" si="138">SUM(Z6:Z187)</f>
        <v>11600740.3529383</v>
      </c>
      <c r="AA188" s="474"/>
      <c r="AB188" s="474"/>
    </row>
    <row r="189" spans="2:28" ht="26.25" customHeight="1">
      <c r="B189" s="475" t="s">
        <v>215</v>
      </c>
      <c r="C189" s="470"/>
      <c r="D189" s="471"/>
      <c r="E189" s="471"/>
      <c r="F189" s="476">
        <f>F188/12</f>
        <v>23031.312249999999</v>
      </c>
      <c r="G189" s="476">
        <f>G188/12</f>
        <v>4611654.3002666598</v>
      </c>
      <c r="H189" s="474"/>
      <c r="I189" s="474"/>
      <c r="J189" s="474"/>
      <c r="K189" s="474"/>
      <c r="L189" s="474"/>
      <c r="M189" s="474"/>
      <c r="N189" s="474"/>
      <c r="O189" s="474"/>
      <c r="P189" s="474"/>
      <c r="Q189" s="474"/>
      <c r="R189" s="474"/>
      <c r="S189" s="474"/>
      <c r="T189" s="474"/>
      <c r="U189" s="474"/>
      <c r="V189" s="476">
        <f>V188/12</f>
        <v>11600740.3529383</v>
      </c>
      <c r="W189" s="471"/>
      <c r="X189" s="471"/>
      <c r="Y189" s="471"/>
      <c r="Z189" s="471"/>
      <c r="AA189" s="474"/>
      <c r="AB189" s="474"/>
    </row>
    <row r="190" spans="2:28" ht="17.5">
      <c r="B190" s="32"/>
      <c r="C190" s="458"/>
      <c r="F190" s="477"/>
    </row>
    <row r="191" spans="2:28" ht="13">
      <c r="F191" s="478"/>
      <c r="Z191" s="4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6" width="19.26953125" style="1" customWidth="1"/>
    <col min="7" max="7" width="18.26953125" style="1" customWidth="1"/>
    <col min="8" max="8" width="18.1796875" style="1" customWidth="1"/>
    <col min="9" max="9" width="17.81640625" style="1" customWidth="1"/>
    <col min="10" max="10" width="21.54296875" style="1" customWidth="1"/>
    <col min="11" max="11" width="9.1796875" style="1" customWidth="1"/>
    <col min="12" max="12" width="18.453125" style="1" customWidth="1"/>
    <col min="13" max="13" width="17.7265625" style="1" customWidth="1"/>
    <col min="14" max="14" width="16" style="1" customWidth="1"/>
    <col min="15" max="15" width="19.81640625" style="1" customWidth="1"/>
    <col min="16" max="16" width="18.1796875" style="1" customWidth="1"/>
    <col min="17" max="18" width="19.26953125" style="1" customWidth="1"/>
    <col min="19" max="19" width="19.54296875" style="1" customWidth="1"/>
    <col min="20" max="20" width="21.7265625" style="1" customWidth="1"/>
    <col min="21" max="16384" width="9.1796875" style="1"/>
  </cols>
  <sheetData>
    <row r="1" spans="1:20" ht="27" customHeight="1">
      <c r="A1" s="764" t="s">
        <v>0</v>
      </c>
      <c r="B1" s="764"/>
      <c r="C1" s="764"/>
      <c r="D1" s="764"/>
      <c r="E1" s="764"/>
      <c r="F1" s="764"/>
      <c r="G1" s="198"/>
      <c r="H1" s="198"/>
      <c r="I1" s="198"/>
    </row>
    <row r="2" spans="1:20" ht="33.75" customHeight="1">
      <c r="A2" s="62" t="s">
        <v>524</v>
      </c>
      <c r="B2" s="63"/>
      <c r="C2" s="62"/>
      <c r="D2" s="62"/>
      <c r="E2" s="197"/>
      <c r="F2" s="197"/>
      <c r="G2" s="277"/>
      <c r="H2" s="277"/>
      <c r="I2" s="277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20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</row>
    <row r="4" spans="1:20" ht="49.5" customHeight="1">
      <c r="A4" s="3"/>
      <c r="B4" s="4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199" t="s">
        <v>7</v>
      </c>
      <c r="H4" s="199" t="s">
        <v>7</v>
      </c>
      <c r="I4" s="199" t="s">
        <v>8</v>
      </c>
      <c r="J4" s="312" t="s">
        <v>9</v>
      </c>
      <c r="K4" s="199" t="s">
        <v>10</v>
      </c>
      <c r="L4" s="199" t="s">
        <v>11</v>
      </c>
      <c r="M4" s="199" t="s">
        <v>12</v>
      </c>
      <c r="N4" s="199" t="s">
        <v>13</v>
      </c>
      <c r="O4" s="23" t="s">
        <v>14</v>
      </c>
      <c r="P4" s="199" t="s">
        <v>15</v>
      </c>
      <c r="Q4" s="325" t="s">
        <v>17</v>
      </c>
      <c r="R4" s="66" t="s">
        <v>517</v>
      </c>
      <c r="S4" s="299" t="s">
        <v>518</v>
      </c>
    </row>
    <row r="5" spans="1:20" ht="17.25" customHeight="1">
      <c r="C5" s="7"/>
      <c r="D5" s="7"/>
      <c r="E5" s="68" t="s">
        <v>20</v>
      </c>
      <c r="F5" s="20"/>
      <c r="G5" s="68" t="s">
        <v>20</v>
      </c>
      <c r="H5" s="68" t="s">
        <v>20</v>
      </c>
      <c r="I5" s="68" t="s">
        <v>20</v>
      </c>
      <c r="J5" s="285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431" t="s">
        <v>20</v>
      </c>
      <c r="R5" s="68" t="s">
        <v>20</v>
      </c>
      <c r="S5" s="211" t="s">
        <v>20</v>
      </c>
    </row>
    <row r="6" spans="1:20" ht="20.149999999999999" customHeight="1">
      <c r="A6" s="9"/>
      <c r="B6" s="19" t="s">
        <v>58</v>
      </c>
      <c r="C6" s="20"/>
      <c r="D6" s="20"/>
      <c r="E6" s="133"/>
      <c r="F6" s="133"/>
      <c r="G6" s="201"/>
      <c r="H6" s="201"/>
      <c r="I6" s="133"/>
      <c r="J6" s="133"/>
      <c r="K6" s="133"/>
      <c r="L6" s="133"/>
      <c r="M6" s="133"/>
      <c r="N6" s="133"/>
      <c r="O6" s="133"/>
      <c r="P6" s="133"/>
      <c r="Q6" s="432"/>
      <c r="R6" s="133"/>
      <c r="S6" s="214"/>
      <c r="T6" s="12"/>
    </row>
    <row r="7" spans="1:20" ht="20.149999999999999" customHeight="1">
      <c r="A7" s="9">
        <v>1</v>
      </c>
      <c r="B7" s="13" t="s">
        <v>363</v>
      </c>
      <c r="C7" s="3" t="s">
        <v>364</v>
      </c>
      <c r="D7" s="15" t="s">
        <v>231</v>
      </c>
      <c r="E7" s="71">
        <v>762373.16666666698</v>
      </c>
      <c r="F7" s="71"/>
      <c r="G7" s="201"/>
      <c r="H7" s="201">
        <f>80000+10000</f>
        <v>90000</v>
      </c>
      <c r="I7" s="71"/>
      <c r="J7" s="200">
        <f>E7+F7+G7+H7+I7</f>
        <v>852373.16666666698</v>
      </c>
      <c r="K7" s="71"/>
      <c r="L7" s="71">
        <f>0</f>
        <v>0</v>
      </c>
      <c r="M7" s="71">
        <v>0</v>
      </c>
      <c r="N7" s="71">
        <v>1066.32925</v>
      </c>
      <c r="O7" s="71">
        <v>130407.52761066701</v>
      </c>
      <c r="P7" s="71">
        <v>60989.853333333303</v>
      </c>
      <c r="Q7" s="317">
        <f>O7+N7+M7+L7+K7+P7</f>
        <v>192463.71019400001</v>
      </c>
      <c r="R7" s="71">
        <v>659909.45647266705</v>
      </c>
      <c r="S7" s="212">
        <f>J7-Q7</f>
        <v>659909.45647266705</v>
      </c>
      <c r="T7" s="12"/>
    </row>
    <row r="8" spans="1:20" ht="20.149999999999999" customHeight="1">
      <c r="A8" s="26">
        <v>1</v>
      </c>
      <c r="B8" s="13" t="s">
        <v>363</v>
      </c>
      <c r="C8" s="3" t="s">
        <v>364</v>
      </c>
      <c r="D8" s="14" t="s">
        <v>365</v>
      </c>
      <c r="E8" s="71">
        <f>'[2]Annual &amp; Monthly'!$H$44</f>
        <v>1352042.66666667</v>
      </c>
      <c r="F8" s="71"/>
      <c r="G8" s="201"/>
      <c r="H8" s="201">
        <f>100000</f>
        <v>100000</v>
      </c>
      <c r="I8" s="71">
        <v>0</v>
      </c>
      <c r="J8" s="200">
        <f>SUM(E8:I8)</f>
        <v>1452042.66666667</v>
      </c>
      <c r="K8" s="71"/>
      <c r="L8" s="71"/>
      <c r="M8" s="71"/>
      <c r="N8" s="71">
        <v>1066.32925</v>
      </c>
      <c r="O8" s="71">
        <f>'March New PAYE '!Z93</f>
        <v>236486.74867946701</v>
      </c>
      <c r="P8" s="71">
        <v>114857.60000000001</v>
      </c>
      <c r="Q8" s="317">
        <f>O8+N8+M8+L8+K8+P8</f>
        <v>352410.677929467</v>
      </c>
      <c r="R8" s="71">
        <v>659909.45647266705</v>
      </c>
      <c r="S8" s="212">
        <f t="shared" ref="S8" si="0">J8-Q8</f>
        <v>1099631.9887371999</v>
      </c>
      <c r="T8" s="593">
        <f>R8-S8</f>
        <v>-439722.53226453299</v>
      </c>
    </row>
    <row r="9" spans="1:20" ht="35.25" customHeight="1">
      <c r="A9" s="3"/>
      <c r="B9" s="29" t="s">
        <v>511</v>
      </c>
      <c r="C9" s="30" t="e">
        <f>#REF!+#REF!+#REF!+#REF!+#REF!+#REF!+#REF!+#REF!+#REF!+#REF!+#REF!</f>
        <v>#REF!</v>
      </c>
      <c r="D9" s="31"/>
      <c r="E9" s="208">
        <f>E8-E7</f>
        <v>589669.5</v>
      </c>
      <c r="F9" s="208">
        <f t="shared" ref="F9:S9" si="1">F8-F7</f>
        <v>0</v>
      </c>
      <c r="G9" s="208">
        <f t="shared" si="1"/>
        <v>0</v>
      </c>
      <c r="H9" s="208">
        <f t="shared" si="1"/>
        <v>10000</v>
      </c>
      <c r="I9" s="208">
        <f t="shared" si="1"/>
        <v>0</v>
      </c>
      <c r="J9" s="208">
        <f t="shared" si="1"/>
        <v>599669.5</v>
      </c>
      <c r="K9" s="208">
        <f t="shared" si="1"/>
        <v>0</v>
      </c>
      <c r="L9" s="208">
        <f t="shared" si="1"/>
        <v>0</v>
      </c>
      <c r="M9" s="208">
        <f t="shared" si="1"/>
        <v>0</v>
      </c>
      <c r="N9" s="208">
        <f t="shared" si="1"/>
        <v>0</v>
      </c>
      <c r="O9" s="208">
        <f t="shared" si="1"/>
        <v>106079.22106880001</v>
      </c>
      <c r="P9" s="208">
        <f t="shared" si="1"/>
        <v>53867.746666666702</v>
      </c>
      <c r="Q9" s="208">
        <f t="shared" si="1"/>
        <v>159946.96773546701</v>
      </c>
      <c r="R9" s="208">
        <f t="shared" si="1"/>
        <v>0</v>
      </c>
      <c r="S9" s="208">
        <f t="shared" si="1"/>
        <v>439722.53226453299</v>
      </c>
      <c r="T9" s="12"/>
    </row>
    <row r="10" spans="1:20" ht="38.25" customHeight="1">
      <c r="A10" s="2"/>
      <c r="B10" s="32"/>
      <c r="C10" s="2"/>
      <c r="D10" s="33"/>
      <c r="E10" s="33"/>
      <c r="F10" s="33"/>
      <c r="G10" s="209"/>
      <c r="H10" s="209"/>
      <c r="I10" s="209"/>
      <c r="J10" s="209"/>
      <c r="K10" s="209"/>
      <c r="L10" s="209"/>
      <c r="M10" s="209"/>
      <c r="N10" s="209"/>
      <c r="O10" s="210"/>
      <c r="P10" s="210"/>
      <c r="Q10" s="210"/>
      <c r="R10" s="210"/>
      <c r="S10" s="210"/>
      <c r="T10" s="34"/>
    </row>
    <row r="11" spans="1:20" ht="36.75" customHeight="1">
      <c r="A11" s="2"/>
      <c r="B11" s="32"/>
      <c r="C11" s="33"/>
      <c r="D11" s="33"/>
      <c r="E11" s="33"/>
      <c r="F11" s="33"/>
      <c r="G11" s="209"/>
      <c r="H11" s="209"/>
      <c r="J11" s="209"/>
      <c r="K11" s="209"/>
      <c r="L11" s="209"/>
      <c r="M11" s="209"/>
      <c r="N11" s="209"/>
      <c r="O11" s="210"/>
      <c r="P11" s="210"/>
      <c r="Q11" s="210"/>
      <c r="R11" s="210"/>
      <c r="S11" s="34"/>
    </row>
    <row r="12" spans="1:20" ht="20.149999999999999" customHeight="1">
      <c r="Q12" s="34"/>
      <c r="S12" s="313"/>
    </row>
    <row r="13" spans="1:20" ht="20.149999999999999" customHeight="1">
      <c r="S13" s="34"/>
    </row>
    <row r="14" spans="1:20" ht="20.149999999999999" customHeight="1">
      <c r="J14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1.81640625" style="1" customWidth="1"/>
    <col min="6" max="6" width="20.26953125" style="1" customWidth="1"/>
    <col min="7" max="7" width="18" style="1" customWidth="1"/>
    <col min="8" max="8" width="21.7265625" style="1" customWidth="1"/>
    <col min="9" max="9" width="16.453125" style="1" customWidth="1"/>
    <col min="10" max="10" width="14.81640625" style="1" customWidth="1"/>
    <col min="11" max="16384" width="9.1796875" style="1"/>
  </cols>
  <sheetData>
    <row r="1" spans="1:9" ht="27" customHeight="1">
      <c r="A1" s="786" t="s">
        <v>0</v>
      </c>
      <c r="B1" s="786"/>
      <c r="C1" s="786"/>
      <c r="D1" s="786"/>
      <c r="E1" s="786"/>
      <c r="F1" s="786"/>
      <c r="G1" s="786"/>
    </row>
    <row r="2" spans="1:9" ht="20.25" customHeight="1">
      <c r="A2" s="786" t="s">
        <v>525</v>
      </c>
      <c r="B2" s="786"/>
      <c r="C2" s="786"/>
      <c r="D2" s="786"/>
      <c r="E2" s="786"/>
      <c r="F2" s="786"/>
      <c r="G2" s="786"/>
    </row>
    <row r="3" spans="1:9" ht="9.75" customHeight="1">
      <c r="A3" s="786"/>
      <c r="B3" s="786"/>
      <c r="C3" s="786"/>
      <c r="D3" s="786"/>
      <c r="E3" s="786"/>
      <c r="F3" s="786"/>
      <c r="G3" s="786"/>
    </row>
    <row r="4" spans="1:9" ht="13.5" customHeight="1">
      <c r="A4" s="2"/>
      <c r="B4" s="2"/>
      <c r="C4" s="2"/>
      <c r="D4" s="2"/>
      <c r="E4" s="198"/>
      <c r="F4" s="198"/>
      <c r="G4" s="198"/>
    </row>
    <row r="5" spans="1:9" ht="52.5" customHeight="1">
      <c r="A5" s="3"/>
      <c r="B5" s="4" t="s">
        <v>2</v>
      </c>
      <c r="C5" s="5" t="s">
        <v>3</v>
      </c>
      <c r="D5" s="6" t="s">
        <v>4</v>
      </c>
      <c r="E5" s="199" t="s">
        <v>526</v>
      </c>
      <c r="F5" s="199" t="s">
        <v>527</v>
      </c>
      <c r="G5" s="199" t="s">
        <v>528</v>
      </c>
      <c r="H5" s="199" t="s">
        <v>529</v>
      </c>
      <c r="I5" s="199" t="s">
        <v>511</v>
      </c>
    </row>
    <row r="6" spans="1:9" ht="17.25" customHeight="1">
      <c r="C6" s="7"/>
      <c r="D6" s="7"/>
      <c r="E6" s="68" t="s">
        <v>20</v>
      </c>
      <c r="F6" s="68" t="s">
        <v>20</v>
      </c>
      <c r="G6" s="68" t="s">
        <v>20</v>
      </c>
      <c r="H6" s="68" t="s">
        <v>20</v>
      </c>
      <c r="I6" s="68" t="s">
        <v>20</v>
      </c>
    </row>
    <row r="7" spans="1:9" ht="20.149999999999999" customHeight="1">
      <c r="A7" s="8" t="s">
        <v>21</v>
      </c>
      <c r="B7" s="7" t="s">
        <v>22</v>
      </c>
      <c r="C7" s="7"/>
      <c r="D7" s="7"/>
      <c r="E7" s="68"/>
      <c r="F7" s="68"/>
      <c r="G7" s="20"/>
      <c r="H7" s="20"/>
      <c r="I7" s="20"/>
    </row>
    <row r="8" spans="1:9" ht="20.149999999999999" customHeight="1">
      <c r="A8" s="9">
        <v>1</v>
      </c>
      <c r="B8" s="10" t="s">
        <v>236</v>
      </c>
      <c r="C8" s="11" t="s">
        <v>237</v>
      </c>
      <c r="D8" s="11" t="s">
        <v>238</v>
      </c>
      <c r="E8" s="71"/>
      <c r="F8" s="71">
        <f>E8/12</f>
        <v>0</v>
      </c>
      <c r="G8" s="71">
        <f>E8*0.025</f>
        <v>0</v>
      </c>
      <c r="H8" s="71"/>
      <c r="I8" s="71">
        <f>G8-H8</f>
        <v>0</v>
      </c>
    </row>
    <row r="9" spans="1:9" ht="20.149999999999999" customHeight="1">
      <c r="A9" s="9">
        <v>2</v>
      </c>
      <c r="B9" s="10" t="s">
        <v>239</v>
      </c>
      <c r="C9" s="11" t="s">
        <v>240</v>
      </c>
      <c r="D9" s="9" t="s">
        <v>234</v>
      </c>
      <c r="E9" s="71"/>
      <c r="F9" s="71">
        <f t="shared" ref="F9:F34" si="0">E9/12</f>
        <v>0</v>
      </c>
      <c r="G9" s="71">
        <f t="shared" ref="G9:G34" si="1">E9*0.025</f>
        <v>0</v>
      </c>
      <c r="H9" s="71"/>
      <c r="I9" s="71">
        <f t="shared" ref="I9:I34" si="2">G9-H9</f>
        <v>0</v>
      </c>
    </row>
    <row r="10" spans="1:9" ht="20.149999999999999" customHeight="1">
      <c r="A10" s="9">
        <v>3</v>
      </c>
      <c r="B10" s="13" t="s">
        <v>241</v>
      </c>
      <c r="C10" s="3" t="s">
        <v>242</v>
      </c>
      <c r="D10" s="9" t="s">
        <v>234</v>
      </c>
      <c r="E10" s="71"/>
      <c r="F10" s="71">
        <f t="shared" si="0"/>
        <v>0</v>
      </c>
      <c r="G10" s="71">
        <f t="shared" si="1"/>
        <v>0</v>
      </c>
      <c r="H10" s="71"/>
      <c r="I10" s="71">
        <f t="shared" si="2"/>
        <v>0</v>
      </c>
    </row>
    <row r="11" spans="1:9" ht="20.149999999999999" customHeight="1">
      <c r="A11" s="9">
        <v>4</v>
      </c>
      <c r="B11" s="10" t="s">
        <v>243</v>
      </c>
      <c r="C11" s="16" t="s">
        <v>244</v>
      </c>
      <c r="D11" s="9" t="s">
        <v>234</v>
      </c>
      <c r="E11" s="71">
        <f>'[6]NASS New Structure'!$J$20</f>
        <v>4940831</v>
      </c>
      <c r="F11" s="71">
        <f t="shared" si="0"/>
        <v>411735.91666666698</v>
      </c>
      <c r="G11" s="71">
        <f>F11*0.025</f>
        <v>10293.3979166667</v>
      </c>
      <c r="H11" s="71">
        <v>1066.32925</v>
      </c>
      <c r="I11" s="71">
        <f t="shared" si="2"/>
        <v>9227.0686666666697</v>
      </c>
    </row>
    <row r="12" spans="1:9" ht="20.149999999999999" customHeight="1">
      <c r="A12" s="9">
        <v>5</v>
      </c>
      <c r="B12" s="13" t="s">
        <v>245</v>
      </c>
      <c r="C12" s="3" t="s">
        <v>530</v>
      </c>
      <c r="D12" s="9" t="s">
        <v>234</v>
      </c>
      <c r="E12" s="71">
        <f>'[6]NASS New Structure'!$J$20</f>
        <v>4940831</v>
      </c>
      <c r="F12" s="71">
        <f t="shared" si="0"/>
        <v>411735.91666666698</v>
      </c>
      <c r="G12" s="71">
        <f t="shared" ref="G12:G15" si="3">F12*0.025</f>
        <v>10293.3979166667</v>
      </c>
      <c r="H12" s="71">
        <v>1066.32925</v>
      </c>
      <c r="I12" s="71">
        <f t="shared" si="2"/>
        <v>9227.0686666666697</v>
      </c>
    </row>
    <row r="13" spans="1:9" ht="20.149999999999999" customHeight="1">
      <c r="A13" s="9">
        <v>6</v>
      </c>
      <c r="B13" s="17" t="s">
        <v>232</v>
      </c>
      <c r="C13" s="9" t="s">
        <v>233</v>
      </c>
      <c r="D13" s="9" t="s">
        <v>234</v>
      </c>
      <c r="E13" s="71"/>
      <c r="F13" s="71">
        <f t="shared" si="0"/>
        <v>0</v>
      </c>
      <c r="G13" s="71">
        <f t="shared" si="3"/>
        <v>0</v>
      </c>
      <c r="H13" s="71"/>
      <c r="I13" s="71">
        <f t="shared" si="2"/>
        <v>0</v>
      </c>
    </row>
    <row r="14" spans="1:9" ht="20.149999999999999" customHeight="1">
      <c r="A14" s="9">
        <v>7</v>
      </c>
      <c r="B14" s="10" t="s">
        <v>247</v>
      </c>
      <c r="C14" s="11" t="s">
        <v>248</v>
      </c>
      <c r="D14" s="14" t="s">
        <v>249</v>
      </c>
      <c r="E14" s="71">
        <f>'[6]NASS New Structure'!$J$19</f>
        <v>4022509</v>
      </c>
      <c r="F14" s="71">
        <f t="shared" si="0"/>
        <v>335209.08333333302</v>
      </c>
      <c r="G14" s="71">
        <f t="shared" si="3"/>
        <v>8380.2270833333296</v>
      </c>
      <c r="H14" s="71">
        <v>837.6875</v>
      </c>
      <c r="I14" s="71">
        <f t="shared" si="2"/>
        <v>7542.5395833333296</v>
      </c>
    </row>
    <row r="15" spans="1:9" ht="20.149999999999999" customHeight="1">
      <c r="A15" s="9">
        <v>8</v>
      </c>
      <c r="B15" s="10" t="s">
        <v>250</v>
      </c>
      <c r="C15" s="3" t="s">
        <v>251</v>
      </c>
      <c r="D15" s="9" t="s">
        <v>228</v>
      </c>
      <c r="E15" s="71">
        <f>'[6]NASS New Structure'!$H$19</f>
        <v>3772623</v>
      </c>
      <c r="F15" s="71">
        <f t="shared" si="0"/>
        <v>314385.25</v>
      </c>
      <c r="G15" s="71">
        <f t="shared" si="3"/>
        <v>7859.6312500000004</v>
      </c>
      <c r="H15" s="71">
        <v>775.49599999999998</v>
      </c>
      <c r="I15" s="71">
        <f t="shared" si="2"/>
        <v>7084.1352500000003</v>
      </c>
    </row>
    <row r="16" spans="1:9" ht="20.149999999999999" customHeight="1">
      <c r="A16" s="9">
        <v>9</v>
      </c>
      <c r="B16" s="10" t="s">
        <v>252</v>
      </c>
      <c r="C16" s="3" t="s">
        <v>253</v>
      </c>
      <c r="D16" s="14" t="s">
        <v>254</v>
      </c>
      <c r="E16" s="71"/>
      <c r="F16" s="71">
        <f t="shared" si="0"/>
        <v>0</v>
      </c>
      <c r="G16" s="71">
        <f t="shared" si="1"/>
        <v>0</v>
      </c>
      <c r="H16" s="71"/>
      <c r="I16" s="71">
        <f t="shared" si="2"/>
        <v>0</v>
      </c>
    </row>
    <row r="17" spans="1:9" ht="20.149999999999999" customHeight="1">
      <c r="A17" s="9">
        <v>10</v>
      </c>
      <c r="B17" s="13" t="s">
        <v>255</v>
      </c>
      <c r="C17" s="16" t="s">
        <v>256</v>
      </c>
      <c r="D17" s="14" t="s">
        <v>257</v>
      </c>
      <c r="E17" s="71"/>
      <c r="F17" s="71">
        <f t="shared" si="0"/>
        <v>0</v>
      </c>
      <c r="G17" s="71">
        <f t="shared" si="1"/>
        <v>0</v>
      </c>
      <c r="H17" s="71"/>
      <c r="I17" s="71">
        <f t="shared" si="2"/>
        <v>0</v>
      </c>
    </row>
    <row r="18" spans="1:9" ht="20.149999999999999" customHeight="1">
      <c r="A18" s="9">
        <v>11</v>
      </c>
      <c r="B18" s="10" t="s">
        <v>258</v>
      </c>
      <c r="C18" s="3" t="s">
        <v>259</v>
      </c>
      <c r="D18" s="9" t="s">
        <v>260</v>
      </c>
      <c r="E18" s="71"/>
      <c r="F18" s="71">
        <f t="shared" si="0"/>
        <v>0</v>
      </c>
      <c r="G18" s="71">
        <f t="shared" si="1"/>
        <v>0</v>
      </c>
      <c r="H18" s="71"/>
      <c r="I18" s="71">
        <f t="shared" si="2"/>
        <v>0</v>
      </c>
    </row>
    <row r="19" spans="1:9" ht="20.149999999999999" customHeight="1">
      <c r="A19" s="9">
        <v>12</v>
      </c>
      <c r="B19" s="10" t="s">
        <v>261</v>
      </c>
      <c r="C19" s="3" t="s">
        <v>262</v>
      </c>
      <c r="D19" s="9" t="s">
        <v>263</v>
      </c>
      <c r="E19" s="71"/>
      <c r="F19" s="71">
        <f t="shared" si="0"/>
        <v>0</v>
      </c>
      <c r="G19" s="71">
        <f t="shared" si="1"/>
        <v>0</v>
      </c>
      <c r="H19" s="71"/>
      <c r="I19" s="71">
        <f t="shared" si="2"/>
        <v>0</v>
      </c>
    </row>
    <row r="20" spans="1:9" ht="20.149999999999999" customHeight="1">
      <c r="A20" s="9">
        <v>13</v>
      </c>
      <c r="B20" s="10" t="s">
        <v>264</v>
      </c>
      <c r="C20" s="11" t="s">
        <v>265</v>
      </c>
      <c r="D20" s="14" t="s">
        <v>266</v>
      </c>
      <c r="E20" s="71"/>
      <c r="F20" s="71">
        <f t="shared" si="0"/>
        <v>0</v>
      </c>
      <c r="G20" s="71">
        <f t="shared" si="1"/>
        <v>0</v>
      </c>
      <c r="H20" s="71"/>
      <c r="I20" s="71">
        <f t="shared" si="2"/>
        <v>0</v>
      </c>
    </row>
    <row r="21" spans="1:9" ht="20.149999999999999" customHeight="1">
      <c r="A21" s="9">
        <v>14</v>
      </c>
      <c r="B21" s="17" t="s">
        <v>267</v>
      </c>
      <c r="C21" s="3" t="s">
        <v>531</v>
      </c>
      <c r="D21" s="14" t="s">
        <v>269</v>
      </c>
      <c r="E21" s="71">
        <f>'[6]NASS New Structure'!$J$17</f>
        <v>2691445</v>
      </c>
      <c r="F21" s="71">
        <f t="shared" si="0"/>
        <v>224287.08333333299</v>
      </c>
      <c r="G21" s="71">
        <f>F21*0.025</f>
        <v>5607.1770833333303</v>
      </c>
      <c r="H21" s="71">
        <v>618.53150000000005</v>
      </c>
      <c r="I21" s="71">
        <f t="shared" si="2"/>
        <v>4988.6455833333303</v>
      </c>
    </row>
    <row r="22" spans="1:9" ht="18.75" customHeight="1">
      <c r="A22" s="9">
        <v>15</v>
      </c>
      <c r="B22" s="10" t="s">
        <v>270</v>
      </c>
      <c r="C22" s="11" t="s">
        <v>50</v>
      </c>
      <c r="D22" s="14" t="s">
        <v>271</v>
      </c>
      <c r="E22" s="71"/>
      <c r="F22" s="71">
        <f t="shared" si="0"/>
        <v>0</v>
      </c>
      <c r="G22" s="71">
        <f t="shared" si="1"/>
        <v>0</v>
      </c>
      <c r="H22" s="71"/>
      <c r="I22" s="71">
        <f t="shared" si="2"/>
        <v>0</v>
      </c>
    </row>
    <row r="23" spans="1:9" ht="20.149999999999999" customHeight="1">
      <c r="A23" s="9">
        <v>16</v>
      </c>
      <c r="B23" s="13" t="s">
        <v>272</v>
      </c>
      <c r="C23" s="16" t="s">
        <v>532</v>
      </c>
      <c r="D23" s="9" t="s">
        <v>42</v>
      </c>
      <c r="E23" s="71"/>
      <c r="F23" s="71">
        <f t="shared" si="0"/>
        <v>0</v>
      </c>
      <c r="G23" s="71">
        <f t="shared" si="1"/>
        <v>0</v>
      </c>
      <c r="H23" s="71"/>
      <c r="I23" s="71">
        <f t="shared" si="2"/>
        <v>0</v>
      </c>
    </row>
    <row r="24" spans="1:9" ht="21.65" customHeight="1">
      <c r="A24" s="9">
        <v>17</v>
      </c>
      <c r="B24" s="10" t="s">
        <v>274</v>
      </c>
      <c r="C24" s="16" t="s">
        <v>275</v>
      </c>
      <c r="D24" s="14" t="s">
        <v>42</v>
      </c>
      <c r="E24" s="71"/>
      <c r="F24" s="71">
        <f t="shared" si="0"/>
        <v>0</v>
      </c>
      <c r="G24" s="71">
        <f t="shared" si="1"/>
        <v>0</v>
      </c>
      <c r="H24" s="71"/>
      <c r="I24" s="71">
        <f t="shared" si="2"/>
        <v>0</v>
      </c>
    </row>
    <row r="25" spans="1:9" ht="20.149999999999999" customHeight="1">
      <c r="A25" s="9">
        <v>18</v>
      </c>
      <c r="B25" s="13" t="s">
        <v>276</v>
      </c>
      <c r="C25" s="16" t="s">
        <v>277</v>
      </c>
      <c r="D25" s="9" t="s">
        <v>38</v>
      </c>
      <c r="E25" s="71"/>
      <c r="F25" s="71">
        <f t="shared" si="0"/>
        <v>0</v>
      </c>
      <c r="G25" s="71">
        <f t="shared" si="1"/>
        <v>0</v>
      </c>
      <c r="H25" s="71"/>
      <c r="I25" s="71">
        <f t="shared" si="2"/>
        <v>0</v>
      </c>
    </row>
    <row r="26" spans="1:9" ht="18.75" customHeight="1">
      <c r="A26" s="9">
        <v>19</v>
      </c>
      <c r="B26" s="3" t="s">
        <v>278</v>
      </c>
      <c r="C26" s="3" t="s">
        <v>176</v>
      </c>
      <c r="D26" s="9" t="s">
        <v>279</v>
      </c>
      <c r="E26" s="71"/>
      <c r="F26" s="71">
        <f t="shared" si="0"/>
        <v>0</v>
      </c>
      <c r="G26" s="71">
        <f t="shared" si="1"/>
        <v>0</v>
      </c>
      <c r="H26" s="71"/>
      <c r="I26" s="71">
        <f t="shared" si="2"/>
        <v>0</v>
      </c>
    </row>
    <row r="27" spans="1:9" ht="18.75" customHeight="1">
      <c r="A27" s="9">
        <v>20</v>
      </c>
      <c r="B27" s="17" t="s">
        <v>280</v>
      </c>
      <c r="C27" s="11" t="s">
        <v>176</v>
      </c>
      <c r="D27" s="14" t="s">
        <v>279</v>
      </c>
      <c r="E27" s="71"/>
      <c r="F27" s="71">
        <f t="shared" si="0"/>
        <v>0</v>
      </c>
      <c r="G27" s="71">
        <f t="shared" si="1"/>
        <v>0</v>
      </c>
      <c r="H27" s="71"/>
      <c r="I27" s="71">
        <f t="shared" si="2"/>
        <v>0</v>
      </c>
    </row>
    <row r="28" spans="1:9" ht="20.149999999999999" customHeight="1">
      <c r="A28" s="9">
        <v>21</v>
      </c>
      <c r="B28" s="10" t="s">
        <v>281</v>
      </c>
      <c r="C28" s="16" t="s">
        <v>273</v>
      </c>
      <c r="D28" s="9" t="s">
        <v>279</v>
      </c>
      <c r="E28" s="71"/>
      <c r="F28" s="71">
        <f t="shared" si="0"/>
        <v>0</v>
      </c>
      <c r="G28" s="71">
        <f t="shared" si="1"/>
        <v>0</v>
      </c>
      <c r="H28" s="71"/>
      <c r="I28" s="71">
        <f t="shared" si="2"/>
        <v>0</v>
      </c>
    </row>
    <row r="29" spans="1:9" ht="18.75" customHeight="1">
      <c r="A29" s="9">
        <v>22</v>
      </c>
      <c r="B29" s="17" t="s">
        <v>282</v>
      </c>
      <c r="C29" s="11" t="s">
        <v>28</v>
      </c>
      <c r="D29" s="14" t="s">
        <v>283</v>
      </c>
      <c r="E29" s="71"/>
      <c r="F29" s="71">
        <f t="shared" si="0"/>
        <v>0</v>
      </c>
      <c r="G29" s="71">
        <f t="shared" si="1"/>
        <v>0</v>
      </c>
      <c r="H29" s="71"/>
      <c r="I29" s="71">
        <f t="shared" si="2"/>
        <v>0</v>
      </c>
    </row>
    <row r="30" spans="1:9" ht="18.75" customHeight="1">
      <c r="A30" s="9">
        <v>23</v>
      </c>
      <c r="B30" s="17" t="s">
        <v>284</v>
      </c>
      <c r="C30" s="3" t="s">
        <v>285</v>
      </c>
      <c r="D30" s="9" t="s">
        <v>25</v>
      </c>
      <c r="E30" s="71"/>
      <c r="F30" s="71">
        <f t="shared" si="0"/>
        <v>0</v>
      </c>
      <c r="G30" s="71">
        <f t="shared" si="1"/>
        <v>0</v>
      </c>
      <c r="H30" s="71"/>
      <c r="I30" s="71">
        <f t="shared" si="2"/>
        <v>0</v>
      </c>
    </row>
    <row r="31" spans="1:9" ht="18.75" customHeight="1">
      <c r="A31" s="9">
        <v>24</v>
      </c>
      <c r="B31" s="17" t="s">
        <v>286</v>
      </c>
      <c r="C31" s="3" t="s">
        <v>285</v>
      </c>
      <c r="D31" s="9" t="s">
        <v>25</v>
      </c>
      <c r="E31" s="71"/>
      <c r="F31" s="71">
        <f t="shared" si="0"/>
        <v>0</v>
      </c>
      <c r="G31" s="71">
        <f t="shared" si="1"/>
        <v>0</v>
      </c>
      <c r="H31" s="71"/>
      <c r="I31" s="71">
        <f t="shared" si="2"/>
        <v>0</v>
      </c>
    </row>
    <row r="32" spans="1:9" ht="18.75" customHeight="1">
      <c r="A32" s="9">
        <v>25</v>
      </c>
      <c r="B32" s="17" t="s">
        <v>287</v>
      </c>
      <c r="C32" s="16" t="s">
        <v>288</v>
      </c>
      <c r="D32" s="14" t="s">
        <v>279</v>
      </c>
      <c r="E32" s="71">
        <f>'[7]NASS New Structure'!$J$14</f>
        <v>1753681</v>
      </c>
      <c r="F32" s="71">
        <f t="shared" si="0"/>
        <v>146140.08333333299</v>
      </c>
      <c r="G32" s="71">
        <f>F32*0.025</f>
        <v>3653.5020833333301</v>
      </c>
      <c r="H32" s="71"/>
      <c r="I32" s="71">
        <f t="shared" si="2"/>
        <v>3653.5020833333301</v>
      </c>
    </row>
    <row r="33" spans="1:9" ht="18.75" customHeight="1">
      <c r="A33" s="9">
        <v>26</v>
      </c>
      <c r="B33" s="17" t="s">
        <v>289</v>
      </c>
      <c r="C33" s="3" t="s">
        <v>290</v>
      </c>
      <c r="D33" s="9" t="s">
        <v>291</v>
      </c>
      <c r="E33" s="71"/>
      <c r="F33" s="71">
        <f t="shared" si="0"/>
        <v>0</v>
      </c>
      <c r="G33" s="71">
        <f t="shared" si="1"/>
        <v>0</v>
      </c>
      <c r="H33" s="71"/>
      <c r="I33" s="71">
        <f t="shared" si="2"/>
        <v>0</v>
      </c>
    </row>
    <row r="34" spans="1:9" ht="18.75" customHeight="1">
      <c r="A34" s="9">
        <v>27</v>
      </c>
      <c r="B34" s="17" t="s">
        <v>292</v>
      </c>
      <c r="C34" s="11" t="s">
        <v>293</v>
      </c>
      <c r="D34" s="14" t="s">
        <v>294</v>
      </c>
      <c r="E34" s="71"/>
      <c r="F34" s="71">
        <f t="shared" si="0"/>
        <v>0</v>
      </c>
      <c r="G34" s="71">
        <f t="shared" si="1"/>
        <v>0</v>
      </c>
      <c r="H34" s="71"/>
      <c r="I34" s="71">
        <f t="shared" si="2"/>
        <v>0</v>
      </c>
    </row>
    <row r="35" spans="1:9" ht="26.25" customHeight="1">
      <c r="A35" s="9"/>
      <c r="B35" s="19" t="s">
        <v>34</v>
      </c>
      <c r="C35" s="20">
        <v>27</v>
      </c>
      <c r="D35" s="14"/>
      <c r="E35" s="202">
        <f>SUM(E8:E34)</f>
        <v>22121920</v>
      </c>
      <c r="F35" s="202">
        <f>SUM(F8:F34)</f>
        <v>1843493.33333333</v>
      </c>
      <c r="G35" s="202">
        <f t="shared" ref="G35:I35" si="4">SUM(G8:G34)</f>
        <v>46087.333333333299</v>
      </c>
      <c r="H35" s="202">
        <f t="shared" si="4"/>
        <v>4364.3734999999997</v>
      </c>
      <c r="I35" s="202">
        <f t="shared" si="4"/>
        <v>41722.959833333298</v>
      </c>
    </row>
    <row r="36" spans="1:9" ht="18.75" customHeight="1">
      <c r="A36" s="9"/>
      <c r="B36" s="21"/>
      <c r="C36" s="3"/>
      <c r="D36" s="14"/>
      <c r="E36" s="202"/>
      <c r="F36" s="202"/>
      <c r="G36" s="202"/>
      <c r="H36" s="202"/>
      <c r="I36" s="202"/>
    </row>
    <row r="37" spans="1:9" ht="18.75" customHeight="1">
      <c r="A37" s="9"/>
      <c r="B37" s="19" t="s">
        <v>35</v>
      </c>
      <c r="C37" s="3"/>
      <c r="D37" s="14"/>
      <c r="E37" s="71"/>
      <c r="F37" s="71"/>
      <c r="G37" s="71"/>
      <c r="H37" s="71"/>
      <c r="I37" s="71"/>
    </row>
    <row r="38" spans="1:9" ht="18.75" customHeight="1">
      <c r="A38" s="9">
        <v>1</v>
      </c>
      <c r="B38" s="17" t="s">
        <v>295</v>
      </c>
      <c r="C38" s="3" t="s">
        <v>296</v>
      </c>
      <c r="D38" s="9" t="s">
        <v>297</v>
      </c>
      <c r="E38" s="71"/>
      <c r="F38" s="71"/>
      <c r="G38" s="71">
        <f>E38*0.025</f>
        <v>0</v>
      </c>
      <c r="H38" s="71">
        <f t="shared" ref="H38:I38" si="5">F38*0.025</f>
        <v>0</v>
      </c>
      <c r="I38" s="71">
        <f t="shared" si="5"/>
        <v>0</v>
      </c>
    </row>
    <row r="39" spans="1:9" ht="18.75" customHeight="1">
      <c r="A39" s="9">
        <v>2</v>
      </c>
      <c r="B39" s="17" t="s">
        <v>298</v>
      </c>
      <c r="C39" s="3" t="s">
        <v>533</v>
      </c>
      <c r="D39" s="9" t="s">
        <v>38</v>
      </c>
      <c r="E39" s="71"/>
      <c r="F39" s="71"/>
      <c r="G39" s="71">
        <f t="shared" ref="G39:I40" si="6">E39*0.025</f>
        <v>0</v>
      </c>
      <c r="H39" s="71">
        <f t="shared" si="6"/>
        <v>0</v>
      </c>
      <c r="I39" s="71">
        <f t="shared" si="6"/>
        <v>0</v>
      </c>
    </row>
    <row r="40" spans="1:9" ht="18.75" customHeight="1">
      <c r="A40" s="9">
        <v>3</v>
      </c>
      <c r="B40" s="10" t="s">
        <v>300</v>
      </c>
      <c r="C40" s="11" t="s">
        <v>534</v>
      </c>
      <c r="D40" s="14" t="s">
        <v>301</v>
      </c>
      <c r="E40" s="71"/>
      <c r="F40" s="71"/>
      <c r="G40" s="71">
        <f t="shared" si="6"/>
        <v>0</v>
      </c>
      <c r="H40" s="71">
        <f t="shared" si="6"/>
        <v>0</v>
      </c>
      <c r="I40" s="71">
        <f t="shared" si="6"/>
        <v>0</v>
      </c>
    </row>
    <row r="41" spans="1:9" ht="19.5" customHeight="1">
      <c r="A41" s="9"/>
      <c r="B41" s="13"/>
      <c r="C41" s="20">
        <v>3</v>
      </c>
      <c r="D41" s="9"/>
      <c r="E41" s="202">
        <f>SUM(E38:E40)</f>
        <v>0</v>
      </c>
      <c r="F41" s="202"/>
      <c r="G41" s="202">
        <f t="shared" ref="G41:I41" si="7">SUM(G38:G40)</f>
        <v>0</v>
      </c>
      <c r="H41" s="202">
        <f t="shared" si="7"/>
        <v>0</v>
      </c>
      <c r="I41" s="202">
        <f t="shared" si="7"/>
        <v>0</v>
      </c>
    </row>
    <row r="42" spans="1:9" ht="20.149999999999999" customHeight="1">
      <c r="A42" s="9"/>
      <c r="B42" s="13"/>
      <c r="C42" s="3"/>
      <c r="D42" s="9"/>
      <c r="E42" s="202"/>
      <c r="F42" s="202"/>
      <c r="G42" s="202"/>
      <c r="H42" s="202"/>
      <c r="I42" s="202"/>
    </row>
    <row r="43" spans="1:9" ht="20.149999999999999" customHeight="1">
      <c r="A43" s="9"/>
      <c r="B43" s="22" t="s">
        <v>39</v>
      </c>
      <c r="C43" s="4"/>
      <c r="D43" s="23"/>
      <c r="E43" s="202"/>
      <c r="F43" s="202"/>
      <c r="G43" s="202"/>
      <c r="H43" s="202"/>
      <c r="I43" s="202"/>
    </row>
    <row r="44" spans="1:9" ht="20.149999999999999" customHeight="1">
      <c r="A44" s="9">
        <v>1</v>
      </c>
      <c r="B44" s="10" t="s">
        <v>302</v>
      </c>
      <c r="C44" s="3" t="s">
        <v>303</v>
      </c>
      <c r="D44" s="9" t="s">
        <v>297</v>
      </c>
      <c r="E44" s="71"/>
      <c r="F44" s="71"/>
      <c r="G44" s="71">
        <f>E44*0.025</f>
        <v>0</v>
      </c>
      <c r="H44" s="71"/>
      <c r="I44" s="71">
        <f t="shared" ref="I44" si="8">G44*0.025</f>
        <v>0</v>
      </c>
    </row>
    <row r="45" spans="1:9" ht="20.149999999999999" customHeight="1">
      <c r="A45" s="9">
        <v>2</v>
      </c>
      <c r="B45" s="10" t="s">
        <v>304</v>
      </c>
      <c r="C45" s="3" t="s">
        <v>305</v>
      </c>
      <c r="D45" s="9" t="s">
        <v>249</v>
      </c>
      <c r="E45" s="71"/>
      <c r="F45" s="71"/>
      <c r="G45" s="71">
        <f t="shared" ref="G45:I54" si="9">E45*0.025</f>
        <v>0</v>
      </c>
      <c r="H45" s="71"/>
      <c r="I45" s="71">
        <f t="shared" si="9"/>
        <v>0</v>
      </c>
    </row>
    <row r="46" spans="1:9" ht="20.149999999999999" customHeight="1">
      <c r="A46" s="9">
        <v>3</v>
      </c>
      <c r="B46" s="10" t="s">
        <v>306</v>
      </c>
      <c r="C46" s="3" t="s">
        <v>307</v>
      </c>
      <c r="D46" s="9" t="s">
        <v>308</v>
      </c>
      <c r="E46" s="71"/>
      <c r="F46" s="71"/>
      <c r="G46" s="71">
        <f t="shared" si="9"/>
        <v>0</v>
      </c>
      <c r="H46" s="71"/>
      <c r="I46" s="71">
        <f t="shared" si="9"/>
        <v>0</v>
      </c>
    </row>
    <row r="47" spans="1:9" ht="20.149999999999999" customHeight="1">
      <c r="A47" s="9">
        <v>4</v>
      </c>
      <c r="B47" s="10" t="s">
        <v>309</v>
      </c>
      <c r="C47" s="3" t="s">
        <v>310</v>
      </c>
      <c r="D47" s="9" t="s">
        <v>249</v>
      </c>
      <c r="E47" s="71"/>
      <c r="F47" s="71"/>
      <c r="G47" s="71">
        <f t="shared" si="9"/>
        <v>0</v>
      </c>
      <c r="H47" s="71"/>
      <c r="I47" s="71">
        <f t="shared" si="9"/>
        <v>0</v>
      </c>
    </row>
    <row r="48" spans="1:9" ht="20.149999999999999" customHeight="1">
      <c r="A48" s="9">
        <v>5</v>
      </c>
      <c r="B48" s="10" t="s">
        <v>311</v>
      </c>
      <c r="C48" s="3" t="s">
        <v>310</v>
      </c>
      <c r="D48" s="9" t="s">
        <v>249</v>
      </c>
      <c r="E48" s="71">
        <f>'[6]NASS New Structure'!$J$19</f>
        <v>4022509</v>
      </c>
      <c r="F48" s="71">
        <f>E48/12</f>
        <v>335209.08333333302</v>
      </c>
      <c r="G48" s="71">
        <f>F48*0.025</f>
        <v>8380.2270833333296</v>
      </c>
      <c r="H48" s="71">
        <v>837.6875</v>
      </c>
      <c r="I48" s="71">
        <f>G48-H48</f>
        <v>7542.5395833333296</v>
      </c>
    </row>
    <row r="49" spans="1:9" ht="20.149999999999999" customHeight="1">
      <c r="A49" s="9">
        <v>6</v>
      </c>
      <c r="B49" s="10" t="s">
        <v>312</v>
      </c>
      <c r="C49" s="3" t="s">
        <v>310</v>
      </c>
      <c r="D49" s="9" t="s">
        <v>228</v>
      </c>
      <c r="E49" s="71"/>
      <c r="F49" s="71"/>
      <c r="G49" s="71">
        <f t="shared" si="9"/>
        <v>0</v>
      </c>
      <c r="H49" s="71"/>
      <c r="I49" s="71">
        <f t="shared" si="9"/>
        <v>0</v>
      </c>
    </row>
    <row r="50" spans="1:9" ht="20.149999999999999" customHeight="1">
      <c r="A50" s="9">
        <v>7</v>
      </c>
      <c r="B50" s="13" t="s">
        <v>313</v>
      </c>
      <c r="C50" s="3" t="s">
        <v>256</v>
      </c>
      <c r="D50" s="15" t="s">
        <v>257</v>
      </c>
      <c r="E50" s="71"/>
      <c r="F50" s="71"/>
      <c r="G50" s="71">
        <f t="shared" si="9"/>
        <v>0</v>
      </c>
      <c r="H50" s="71">
        <v>0</v>
      </c>
      <c r="I50" s="71">
        <f t="shared" si="9"/>
        <v>0</v>
      </c>
    </row>
    <row r="51" spans="1:9" ht="20.149999999999999" customHeight="1">
      <c r="A51" s="9">
        <v>8</v>
      </c>
      <c r="B51" s="10" t="s">
        <v>314</v>
      </c>
      <c r="C51" s="3" t="s">
        <v>63</v>
      </c>
      <c r="D51" s="9" t="s">
        <v>301</v>
      </c>
      <c r="E51" s="71"/>
      <c r="F51" s="71"/>
      <c r="G51" s="71">
        <f t="shared" si="9"/>
        <v>0</v>
      </c>
      <c r="H51" s="71"/>
      <c r="I51" s="71">
        <f t="shared" si="9"/>
        <v>0</v>
      </c>
    </row>
    <row r="52" spans="1:9" ht="20.149999999999999" customHeight="1">
      <c r="A52" s="9">
        <v>9</v>
      </c>
      <c r="B52" s="10" t="s">
        <v>315</v>
      </c>
      <c r="C52" s="3" t="s">
        <v>63</v>
      </c>
      <c r="D52" s="9" t="s">
        <v>283</v>
      </c>
      <c r="E52" s="71"/>
      <c r="F52" s="71"/>
      <c r="G52" s="71">
        <f t="shared" si="9"/>
        <v>0</v>
      </c>
      <c r="H52" s="71"/>
      <c r="I52" s="71">
        <f t="shared" si="9"/>
        <v>0</v>
      </c>
    </row>
    <row r="53" spans="1:9" ht="20.149999999999999" customHeight="1">
      <c r="A53" s="9">
        <v>10</v>
      </c>
      <c r="B53" s="10" t="s">
        <v>316</v>
      </c>
      <c r="C53" s="3" t="s">
        <v>63</v>
      </c>
      <c r="D53" s="9" t="s">
        <v>283</v>
      </c>
      <c r="E53" s="71"/>
      <c r="F53" s="71"/>
      <c r="G53" s="71">
        <f t="shared" si="9"/>
        <v>0</v>
      </c>
      <c r="H53" s="71"/>
      <c r="I53" s="71">
        <f t="shared" si="9"/>
        <v>0</v>
      </c>
    </row>
    <row r="54" spans="1:9" ht="20.149999999999999" customHeight="1">
      <c r="A54" s="9">
        <v>11</v>
      </c>
      <c r="B54" s="10" t="s">
        <v>317</v>
      </c>
      <c r="C54" s="3" t="s">
        <v>63</v>
      </c>
      <c r="D54" s="9" t="s">
        <v>283</v>
      </c>
      <c r="E54" s="71"/>
      <c r="F54" s="71"/>
      <c r="G54" s="71">
        <f t="shared" si="9"/>
        <v>0</v>
      </c>
      <c r="H54" s="71"/>
      <c r="I54" s="71">
        <f t="shared" si="9"/>
        <v>0</v>
      </c>
    </row>
    <row r="55" spans="1:9" ht="25.5" customHeight="1">
      <c r="A55" s="9"/>
      <c r="B55" s="19" t="s">
        <v>34</v>
      </c>
      <c r="C55" s="20">
        <v>11</v>
      </c>
      <c r="D55" s="20"/>
      <c r="E55" s="79">
        <f>SUM(E44:E54)</f>
        <v>4022509</v>
      </c>
      <c r="F55" s="79">
        <f>SUM(F44:F54)</f>
        <v>335209.08333333302</v>
      </c>
      <c r="G55" s="79">
        <f t="shared" ref="G55:I55" si="10">SUM(G44:G54)</f>
        <v>8380.2270833333296</v>
      </c>
      <c r="H55" s="79">
        <f t="shared" si="10"/>
        <v>837.6875</v>
      </c>
      <c r="I55" s="79">
        <f t="shared" si="10"/>
        <v>7542.5395833333296</v>
      </c>
    </row>
    <row r="56" spans="1:9" ht="20.149999999999999" customHeight="1">
      <c r="A56" s="9"/>
      <c r="B56" s="21"/>
      <c r="C56" s="20"/>
      <c r="D56" s="20"/>
      <c r="E56" s="133"/>
      <c r="F56" s="133"/>
      <c r="G56" s="133"/>
      <c r="H56" s="133"/>
      <c r="I56" s="133"/>
    </row>
    <row r="57" spans="1:9" ht="20.149999999999999" customHeight="1">
      <c r="A57" s="9"/>
      <c r="B57" s="19" t="s">
        <v>318</v>
      </c>
      <c r="C57" s="20"/>
      <c r="D57" s="20"/>
      <c r="E57" s="133"/>
      <c r="F57" s="133"/>
      <c r="G57" s="133"/>
      <c r="H57" s="133"/>
      <c r="I57" s="133"/>
    </row>
    <row r="58" spans="1:9" ht="20.149999999999999" customHeight="1">
      <c r="A58" s="9">
        <v>1</v>
      </c>
      <c r="B58" s="10" t="s">
        <v>319</v>
      </c>
      <c r="C58" s="11" t="s">
        <v>320</v>
      </c>
      <c r="D58" s="14" t="s">
        <v>297</v>
      </c>
      <c r="E58" s="71"/>
      <c r="F58" s="71"/>
      <c r="G58" s="71">
        <f>E58*0.025</f>
        <v>0</v>
      </c>
      <c r="H58" s="71">
        <f>F58*0.025</f>
        <v>0</v>
      </c>
      <c r="I58" s="71">
        <f t="shared" ref="H58:I59" si="11">G58*0.025</f>
        <v>0</v>
      </c>
    </row>
    <row r="59" spans="1:9" ht="20.149999999999999" customHeight="1">
      <c r="A59" s="9">
        <v>2</v>
      </c>
      <c r="B59" s="10" t="s">
        <v>321</v>
      </c>
      <c r="C59" s="11" t="s">
        <v>322</v>
      </c>
      <c r="D59" s="14" t="s">
        <v>225</v>
      </c>
      <c r="E59" s="71"/>
      <c r="F59" s="71"/>
      <c r="G59" s="71">
        <f>E59*0.025</f>
        <v>0</v>
      </c>
      <c r="H59" s="71">
        <f t="shared" si="11"/>
        <v>0</v>
      </c>
      <c r="I59" s="71">
        <f t="shared" si="11"/>
        <v>0</v>
      </c>
    </row>
    <row r="60" spans="1:9" ht="20.149999999999999" customHeight="1">
      <c r="A60" s="9"/>
      <c r="B60" s="19" t="s">
        <v>34</v>
      </c>
      <c r="C60" s="20">
        <v>2</v>
      </c>
      <c r="D60" s="20"/>
      <c r="E60" s="79">
        <f>SUM(E58:E59)</f>
        <v>0</v>
      </c>
      <c r="F60" s="79"/>
      <c r="G60" s="79">
        <f t="shared" ref="G60:I60" si="12">SUM(G58:G59)</f>
        <v>0</v>
      </c>
      <c r="H60" s="79">
        <f t="shared" si="12"/>
        <v>0</v>
      </c>
      <c r="I60" s="79">
        <f t="shared" si="12"/>
        <v>0</v>
      </c>
    </row>
    <row r="61" spans="1:9" ht="20.149999999999999" customHeight="1">
      <c r="A61" s="9"/>
      <c r="B61" s="19"/>
      <c r="C61" s="20"/>
      <c r="D61" s="20"/>
      <c r="E61" s="133"/>
      <c r="F61" s="133"/>
      <c r="G61" s="133"/>
      <c r="H61" s="133"/>
      <c r="I61" s="133"/>
    </row>
    <row r="62" spans="1:9" ht="20.149999999999999" customHeight="1">
      <c r="A62" s="9"/>
      <c r="B62" s="19" t="s">
        <v>45</v>
      </c>
      <c r="C62" s="20"/>
      <c r="D62" s="20"/>
      <c r="E62" s="133"/>
      <c r="F62" s="133"/>
      <c r="G62" s="133"/>
      <c r="H62" s="133"/>
      <c r="I62" s="133"/>
    </row>
    <row r="63" spans="1:9" ht="20.149999999999999" customHeight="1">
      <c r="A63" s="9">
        <v>1</v>
      </c>
      <c r="B63" s="10" t="s">
        <v>323</v>
      </c>
      <c r="C63" s="16" t="s">
        <v>324</v>
      </c>
      <c r="D63" s="9" t="s">
        <v>297</v>
      </c>
      <c r="E63" s="71"/>
      <c r="F63" s="71"/>
      <c r="G63" s="71">
        <f>E63*0.025</f>
        <v>0</v>
      </c>
      <c r="H63" s="71">
        <f t="shared" ref="H63:I63" si="13">F63*0.025</f>
        <v>0</v>
      </c>
      <c r="I63" s="71">
        <f t="shared" si="13"/>
        <v>0</v>
      </c>
    </row>
    <row r="64" spans="1:9" ht="20.149999999999999" customHeight="1">
      <c r="A64" s="9">
        <v>2</v>
      </c>
      <c r="B64" s="328" t="s">
        <v>325</v>
      </c>
      <c r="C64" s="16" t="s">
        <v>326</v>
      </c>
      <c r="D64" s="14" t="s">
        <v>327</v>
      </c>
      <c r="E64" s="71"/>
      <c r="F64" s="71"/>
      <c r="G64" s="71">
        <f t="shared" ref="G64:I72" si="14">E64*0.025</f>
        <v>0</v>
      </c>
      <c r="H64" s="71">
        <f t="shared" si="14"/>
        <v>0</v>
      </c>
      <c r="I64" s="71">
        <f t="shared" si="14"/>
        <v>0</v>
      </c>
    </row>
    <row r="65" spans="1:9" ht="20.149999999999999" customHeight="1">
      <c r="A65" s="9">
        <v>3</v>
      </c>
      <c r="B65" s="10" t="s">
        <v>328</v>
      </c>
      <c r="C65" s="3" t="s">
        <v>256</v>
      </c>
      <c r="D65" s="9" t="s">
        <v>260</v>
      </c>
      <c r="E65" s="71"/>
      <c r="F65" s="71"/>
      <c r="G65" s="71">
        <f t="shared" si="14"/>
        <v>0</v>
      </c>
      <c r="H65" s="71">
        <f t="shared" si="14"/>
        <v>0</v>
      </c>
      <c r="I65" s="71">
        <f t="shared" si="14"/>
        <v>0</v>
      </c>
    </row>
    <row r="66" spans="1:9" ht="20.149999999999999" customHeight="1">
      <c r="A66" s="9">
        <v>4</v>
      </c>
      <c r="B66" s="17" t="s">
        <v>329</v>
      </c>
      <c r="C66" s="16" t="s">
        <v>47</v>
      </c>
      <c r="D66" s="14" t="s">
        <v>266</v>
      </c>
      <c r="E66" s="71"/>
      <c r="F66" s="71"/>
      <c r="G66" s="71">
        <f t="shared" si="14"/>
        <v>0</v>
      </c>
      <c r="H66" s="71">
        <f t="shared" si="14"/>
        <v>0</v>
      </c>
      <c r="I66" s="71">
        <f t="shared" si="14"/>
        <v>0</v>
      </c>
    </row>
    <row r="67" spans="1:9" ht="20.149999999999999" customHeight="1">
      <c r="A67" s="9">
        <v>5</v>
      </c>
      <c r="B67" s="13" t="s">
        <v>330</v>
      </c>
      <c r="C67" s="16" t="s">
        <v>256</v>
      </c>
      <c r="D67" s="14" t="s">
        <v>254</v>
      </c>
      <c r="E67" s="71"/>
      <c r="F67" s="71"/>
      <c r="G67" s="71">
        <f t="shared" si="14"/>
        <v>0</v>
      </c>
      <c r="H67" s="71">
        <f t="shared" si="14"/>
        <v>0</v>
      </c>
      <c r="I67" s="71">
        <f t="shared" si="14"/>
        <v>0</v>
      </c>
    </row>
    <row r="68" spans="1:9" ht="20.149999999999999" customHeight="1">
      <c r="A68" s="9">
        <v>7</v>
      </c>
      <c r="B68" s="10" t="s">
        <v>331</v>
      </c>
      <c r="C68" s="3" t="s">
        <v>63</v>
      </c>
      <c r="D68" s="9" t="s">
        <v>332</v>
      </c>
      <c r="E68" s="71"/>
      <c r="F68" s="71"/>
      <c r="G68" s="71">
        <f t="shared" si="14"/>
        <v>0</v>
      </c>
      <c r="H68" s="71">
        <f t="shared" si="14"/>
        <v>0</v>
      </c>
      <c r="I68" s="71">
        <f t="shared" si="14"/>
        <v>0</v>
      </c>
    </row>
    <row r="69" spans="1:9" ht="20.149999999999999" customHeight="1">
      <c r="A69" s="9">
        <v>8</v>
      </c>
      <c r="B69" s="10" t="s">
        <v>333</v>
      </c>
      <c r="C69" s="16" t="s">
        <v>275</v>
      </c>
      <c r="D69" s="9" t="s">
        <v>332</v>
      </c>
      <c r="E69" s="71"/>
      <c r="F69" s="71"/>
      <c r="G69" s="71">
        <f t="shared" si="14"/>
        <v>0</v>
      </c>
      <c r="H69" s="71">
        <f t="shared" si="14"/>
        <v>0</v>
      </c>
      <c r="I69" s="71">
        <f t="shared" si="14"/>
        <v>0</v>
      </c>
    </row>
    <row r="70" spans="1:9" ht="20.149999999999999" customHeight="1">
      <c r="A70" s="9">
        <v>9</v>
      </c>
      <c r="B70" s="10" t="s">
        <v>334</v>
      </c>
      <c r="C70" s="16" t="s">
        <v>275</v>
      </c>
      <c r="D70" s="9" t="s">
        <v>332</v>
      </c>
      <c r="E70" s="71"/>
      <c r="F70" s="71"/>
      <c r="G70" s="71">
        <f t="shared" si="14"/>
        <v>0</v>
      </c>
      <c r="H70" s="71">
        <f t="shared" si="14"/>
        <v>0</v>
      </c>
      <c r="I70" s="71">
        <f t="shared" si="14"/>
        <v>0</v>
      </c>
    </row>
    <row r="71" spans="1:9" ht="20.149999999999999" customHeight="1">
      <c r="A71" s="9">
        <v>10</v>
      </c>
      <c r="B71" s="10" t="s">
        <v>335</v>
      </c>
      <c r="C71" s="3" t="s">
        <v>336</v>
      </c>
      <c r="D71" s="9" t="s">
        <v>271</v>
      </c>
      <c r="E71" s="439"/>
      <c r="F71" s="439"/>
      <c r="G71" s="71">
        <f t="shared" si="14"/>
        <v>0</v>
      </c>
      <c r="H71" s="71">
        <f t="shared" si="14"/>
        <v>0</v>
      </c>
      <c r="I71" s="71">
        <f t="shared" si="14"/>
        <v>0</v>
      </c>
    </row>
    <row r="72" spans="1:9" ht="21.65" customHeight="1">
      <c r="A72" s="9">
        <v>11</v>
      </c>
      <c r="B72" s="10" t="s">
        <v>337</v>
      </c>
      <c r="C72" s="3" t="s">
        <v>63</v>
      </c>
      <c r="D72" s="9" t="s">
        <v>301</v>
      </c>
      <c r="E72" s="201"/>
      <c r="F72" s="201"/>
      <c r="G72" s="71">
        <f t="shared" si="14"/>
        <v>0</v>
      </c>
      <c r="H72" s="71">
        <f t="shared" si="14"/>
        <v>0</v>
      </c>
      <c r="I72" s="71">
        <f t="shared" si="14"/>
        <v>0</v>
      </c>
    </row>
    <row r="73" spans="1:9" ht="27" customHeight="1">
      <c r="A73" s="9"/>
      <c r="B73" s="19" t="s">
        <v>34</v>
      </c>
      <c r="C73" s="20">
        <v>12</v>
      </c>
      <c r="D73" s="20"/>
      <c r="E73" s="79">
        <f>SUM(E63:E72)</f>
        <v>0</v>
      </c>
      <c r="F73" s="79"/>
      <c r="G73" s="79">
        <f t="shared" ref="G73:I73" si="15">SUM(G63:G72)</f>
        <v>0</v>
      </c>
      <c r="H73" s="79">
        <f t="shared" si="15"/>
        <v>0</v>
      </c>
      <c r="I73" s="79">
        <f t="shared" si="15"/>
        <v>0</v>
      </c>
    </row>
    <row r="74" spans="1:9" ht="20.149999999999999" customHeight="1">
      <c r="A74" s="9"/>
      <c r="B74" s="21"/>
      <c r="C74" s="20"/>
      <c r="D74" s="20"/>
      <c r="E74" s="133"/>
      <c r="F74" s="133"/>
      <c r="G74" s="133"/>
      <c r="H74" s="133"/>
      <c r="I74" s="133"/>
    </row>
    <row r="75" spans="1:9" ht="20.149999999999999" customHeight="1">
      <c r="A75" s="9"/>
      <c r="B75" s="19" t="s">
        <v>51</v>
      </c>
      <c r="C75" s="20"/>
      <c r="D75" s="20"/>
      <c r="E75" s="133"/>
      <c r="F75" s="133"/>
      <c r="G75" s="133"/>
      <c r="H75" s="133"/>
      <c r="I75" s="133"/>
    </row>
    <row r="76" spans="1:9" ht="20.149999999999999" customHeight="1">
      <c r="A76" s="9">
        <v>1</v>
      </c>
      <c r="B76" s="10" t="s">
        <v>338</v>
      </c>
      <c r="C76" s="3" t="s">
        <v>339</v>
      </c>
      <c r="D76" s="9" t="s">
        <v>297</v>
      </c>
      <c r="E76" s="71"/>
      <c r="F76" s="71"/>
      <c r="G76" s="71">
        <f>E76*0.025</f>
        <v>0</v>
      </c>
      <c r="H76" s="71">
        <f t="shared" ref="H76:I76" si="16">F76*0.025</f>
        <v>0</v>
      </c>
      <c r="I76" s="71">
        <f t="shared" si="16"/>
        <v>0</v>
      </c>
    </row>
    <row r="77" spans="1:9" ht="20.149999999999999" customHeight="1">
      <c r="A77" s="9">
        <v>2</v>
      </c>
      <c r="B77" s="13" t="s">
        <v>220</v>
      </c>
      <c r="C77" s="3" t="s">
        <v>221</v>
      </c>
      <c r="D77" s="14" t="s">
        <v>222</v>
      </c>
      <c r="E77" s="71"/>
      <c r="F77" s="71"/>
      <c r="G77" s="71">
        <f t="shared" ref="G77:I82" si="17">E77*0.025</f>
        <v>0</v>
      </c>
      <c r="H77" s="71">
        <f t="shared" si="17"/>
        <v>0</v>
      </c>
      <c r="I77" s="71">
        <f t="shared" si="17"/>
        <v>0</v>
      </c>
    </row>
    <row r="78" spans="1:9" ht="20.149999999999999" customHeight="1">
      <c r="A78" s="9">
        <v>3</v>
      </c>
      <c r="B78" s="17" t="s">
        <v>223</v>
      </c>
      <c r="C78" s="11" t="s">
        <v>224</v>
      </c>
      <c r="D78" s="9" t="s">
        <v>225</v>
      </c>
      <c r="E78" s="71"/>
      <c r="F78" s="71"/>
      <c r="G78" s="71">
        <f t="shared" si="17"/>
        <v>0</v>
      </c>
      <c r="H78" s="71">
        <f t="shared" si="17"/>
        <v>0</v>
      </c>
      <c r="I78" s="71">
        <f t="shared" si="17"/>
        <v>0</v>
      </c>
    </row>
    <row r="79" spans="1:9" ht="20.149999999999999" customHeight="1">
      <c r="A79" s="9">
        <v>4</v>
      </c>
      <c r="B79" s="10" t="s">
        <v>340</v>
      </c>
      <c r="C79" s="3" t="s">
        <v>341</v>
      </c>
      <c r="D79" s="14" t="s">
        <v>342</v>
      </c>
      <c r="E79" s="71">
        <f>'[6]NASS New Structure'!$J$18</f>
        <v>2954075</v>
      </c>
      <c r="F79" s="71">
        <f>E79/12</f>
        <v>246172.91666666701</v>
      </c>
      <c r="G79" s="71">
        <f>F79*0.025</f>
        <v>6154.3229166666697</v>
      </c>
      <c r="H79" s="71">
        <v>668.31624999999997</v>
      </c>
      <c r="I79" s="71">
        <f>G79-H79</f>
        <v>5486.0066666666698</v>
      </c>
    </row>
    <row r="80" spans="1:9" ht="20.149999999999999" customHeight="1">
      <c r="A80" s="9">
        <v>5</v>
      </c>
      <c r="B80" s="10" t="s">
        <v>343</v>
      </c>
      <c r="C80" s="3" t="s">
        <v>344</v>
      </c>
      <c r="D80" s="9" t="s">
        <v>345</v>
      </c>
      <c r="E80" s="71"/>
      <c r="F80" s="71"/>
      <c r="G80" s="71">
        <f t="shared" si="17"/>
        <v>0</v>
      </c>
      <c r="H80" s="71">
        <f t="shared" si="17"/>
        <v>0</v>
      </c>
      <c r="I80" s="71">
        <f t="shared" si="17"/>
        <v>0</v>
      </c>
    </row>
    <row r="81" spans="1:9" ht="20.149999999999999" customHeight="1">
      <c r="A81" s="9">
        <v>6</v>
      </c>
      <c r="B81" s="10" t="s">
        <v>346</v>
      </c>
      <c r="C81" s="3" t="s">
        <v>344</v>
      </c>
      <c r="D81" s="9" t="s">
        <v>283</v>
      </c>
      <c r="E81" s="71"/>
      <c r="F81" s="71"/>
      <c r="G81" s="71">
        <f t="shared" si="17"/>
        <v>0</v>
      </c>
      <c r="H81" s="71">
        <f t="shared" si="17"/>
        <v>0</v>
      </c>
      <c r="I81" s="71">
        <f t="shared" si="17"/>
        <v>0</v>
      </c>
    </row>
    <row r="82" spans="1:9" ht="20.149999999999999" customHeight="1">
      <c r="A82" s="9">
        <v>7</v>
      </c>
      <c r="B82" s="10" t="s">
        <v>347</v>
      </c>
      <c r="C82" s="3" t="s">
        <v>348</v>
      </c>
      <c r="D82" s="9" t="s">
        <v>294</v>
      </c>
      <c r="E82" s="71"/>
      <c r="F82" s="71"/>
      <c r="G82" s="71">
        <f t="shared" si="17"/>
        <v>0</v>
      </c>
      <c r="H82" s="71">
        <f t="shared" si="17"/>
        <v>0</v>
      </c>
      <c r="I82" s="71">
        <f t="shared" si="17"/>
        <v>0</v>
      </c>
    </row>
    <row r="83" spans="1:9" ht="20.149999999999999" customHeight="1">
      <c r="A83" s="9"/>
      <c r="B83" s="19" t="s">
        <v>34</v>
      </c>
      <c r="C83" s="20">
        <v>7</v>
      </c>
      <c r="D83" s="20"/>
      <c r="E83" s="79">
        <f>SUM(E76:E82)</f>
        <v>2954075</v>
      </c>
      <c r="F83" s="79">
        <f>SUM(F76:F82)</f>
        <v>246172.91666666701</v>
      </c>
      <c r="G83" s="79">
        <f t="shared" ref="G83:I83" si="18">SUM(G76:G82)</f>
        <v>6154.3229166666697</v>
      </c>
      <c r="H83" s="79">
        <f t="shared" si="18"/>
        <v>668.31624999999997</v>
      </c>
      <c r="I83" s="79">
        <f t="shared" si="18"/>
        <v>5486.0066666666698</v>
      </c>
    </row>
    <row r="84" spans="1:9" ht="20.149999999999999" customHeight="1">
      <c r="A84" s="9"/>
      <c r="B84" s="19"/>
      <c r="C84" s="20"/>
      <c r="D84" s="20"/>
      <c r="E84" s="133"/>
      <c r="F84" s="133"/>
      <c r="G84" s="133"/>
      <c r="H84" s="133"/>
      <c r="I84" s="133"/>
    </row>
    <row r="85" spans="1:9" ht="20.149999999999999" customHeight="1">
      <c r="A85" s="9"/>
      <c r="B85" s="19" t="s">
        <v>56</v>
      </c>
      <c r="C85" s="24"/>
      <c r="D85" s="20"/>
      <c r="E85" s="133"/>
      <c r="F85" s="133"/>
      <c r="G85" s="133"/>
      <c r="H85" s="133"/>
      <c r="I85" s="133"/>
    </row>
    <row r="86" spans="1:9" ht="20.149999999999999" customHeight="1">
      <c r="A86" s="9">
        <v>1</v>
      </c>
      <c r="B86" s="10" t="s">
        <v>349</v>
      </c>
      <c r="C86" s="3" t="s">
        <v>310</v>
      </c>
      <c r="D86" s="9" t="s">
        <v>249</v>
      </c>
      <c r="E86" s="71"/>
      <c r="F86" s="71"/>
      <c r="G86" s="71">
        <f>E86*0.025</f>
        <v>0</v>
      </c>
      <c r="H86" s="71"/>
      <c r="I86" s="71">
        <f t="shared" ref="I86" si="19">G86*0.025</f>
        <v>0</v>
      </c>
    </row>
    <row r="87" spans="1:9" ht="20.149999999999999" customHeight="1">
      <c r="A87" s="9">
        <v>2</v>
      </c>
      <c r="B87" s="10" t="s">
        <v>350</v>
      </c>
      <c r="C87" s="3" t="s">
        <v>310</v>
      </c>
      <c r="D87" s="9" t="s">
        <v>249</v>
      </c>
      <c r="E87" s="71">
        <f>'[6]NASS New Structure'!$J$19</f>
        <v>4022509</v>
      </c>
      <c r="F87" s="71">
        <f>E87/12</f>
        <v>335209.08333333302</v>
      </c>
      <c r="G87" s="71">
        <f>F87*0.025</f>
        <v>8380.2270833333296</v>
      </c>
      <c r="H87" s="71">
        <v>837.6875</v>
      </c>
      <c r="I87" s="71">
        <f>G87-H87</f>
        <v>7542.5395833333296</v>
      </c>
    </row>
    <row r="88" spans="1:9" ht="20.149999999999999" customHeight="1">
      <c r="A88" s="9">
        <v>3</v>
      </c>
      <c r="B88" s="10" t="s">
        <v>351</v>
      </c>
      <c r="C88" s="3" t="s">
        <v>310</v>
      </c>
      <c r="D88" s="9" t="s">
        <v>228</v>
      </c>
      <c r="E88" s="71"/>
      <c r="F88" s="71"/>
      <c r="G88" s="71">
        <f t="shared" ref="G88:I95" si="20">E88*0.025</f>
        <v>0</v>
      </c>
      <c r="H88" s="71"/>
      <c r="I88" s="71">
        <f t="shared" si="20"/>
        <v>0</v>
      </c>
    </row>
    <row r="89" spans="1:9" ht="21.65" customHeight="1">
      <c r="A89" s="9">
        <v>4</v>
      </c>
      <c r="B89" s="10" t="s">
        <v>352</v>
      </c>
      <c r="C89" s="3" t="s">
        <v>353</v>
      </c>
      <c r="D89" s="14" t="s">
        <v>263</v>
      </c>
      <c r="E89" s="71"/>
      <c r="F89" s="71"/>
      <c r="G89" s="71">
        <f t="shared" si="20"/>
        <v>0</v>
      </c>
      <c r="H89" s="71"/>
      <c r="I89" s="71">
        <f t="shared" si="20"/>
        <v>0</v>
      </c>
    </row>
    <row r="90" spans="1:9" ht="21.65" customHeight="1">
      <c r="A90" s="9">
        <v>5</v>
      </c>
      <c r="B90" s="10" t="s">
        <v>354</v>
      </c>
      <c r="C90" s="11" t="s">
        <v>47</v>
      </c>
      <c r="D90" s="14" t="s">
        <v>266</v>
      </c>
      <c r="E90" s="71"/>
      <c r="F90" s="71"/>
      <c r="G90" s="71">
        <f t="shared" si="20"/>
        <v>0</v>
      </c>
      <c r="H90" s="71"/>
      <c r="I90" s="71">
        <f t="shared" si="20"/>
        <v>0</v>
      </c>
    </row>
    <row r="91" spans="1:9" ht="21.65" customHeight="1">
      <c r="A91" s="9">
        <v>6</v>
      </c>
      <c r="B91" s="10" t="s">
        <v>355</v>
      </c>
      <c r="C91" s="11" t="s">
        <v>256</v>
      </c>
      <c r="D91" s="14" t="s">
        <v>356</v>
      </c>
      <c r="E91" s="71"/>
      <c r="F91" s="71"/>
      <c r="G91" s="71">
        <f t="shared" si="20"/>
        <v>0</v>
      </c>
      <c r="H91" s="71"/>
      <c r="I91" s="71">
        <f t="shared" si="20"/>
        <v>0</v>
      </c>
    </row>
    <row r="92" spans="1:9" ht="21.65" customHeight="1">
      <c r="A92" s="9">
        <v>7</v>
      </c>
      <c r="B92" s="10" t="s">
        <v>357</v>
      </c>
      <c r="C92" s="16" t="s">
        <v>275</v>
      </c>
      <c r="D92" s="14" t="s">
        <v>332</v>
      </c>
      <c r="E92" s="71"/>
      <c r="F92" s="71"/>
      <c r="G92" s="71">
        <f t="shared" si="20"/>
        <v>0</v>
      </c>
      <c r="H92" s="71"/>
      <c r="I92" s="71">
        <f t="shared" si="20"/>
        <v>0</v>
      </c>
    </row>
    <row r="93" spans="1:9" ht="21.65" customHeight="1">
      <c r="A93" s="9">
        <v>8</v>
      </c>
      <c r="B93" s="10" t="s">
        <v>358</v>
      </c>
      <c r="C93" s="16" t="s">
        <v>47</v>
      </c>
      <c r="D93" s="14" t="s">
        <v>48</v>
      </c>
      <c r="E93" s="71">
        <f>'[6]NASS New Structure'!$H$17</f>
        <v>2524677</v>
      </c>
      <c r="F93" s="71">
        <f>E93/12</f>
        <v>210389.75</v>
      </c>
      <c r="G93" s="71">
        <f>F93*0.025</f>
        <v>5259.7437499999996</v>
      </c>
      <c r="H93" s="71">
        <v>576.87474999999995</v>
      </c>
      <c r="I93" s="71">
        <f>G93-H93</f>
        <v>4682.8689999999997</v>
      </c>
    </row>
    <row r="94" spans="1:9" ht="21.65" customHeight="1">
      <c r="A94" s="9">
        <v>9</v>
      </c>
      <c r="B94" s="10" t="s">
        <v>359</v>
      </c>
      <c r="C94" s="3" t="s">
        <v>360</v>
      </c>
      <c r="D94" s="9" t="s">
        <v>301</v>
      </c>
      <c r="E94" s="201"/>
      <c r="F94" s="201"/>
      <c r="G94" s="71">
        <f t="shared" si="20"/>
        <v>0</v>
      </c>
      <c r="H94" s="71"/>
      <c r="I94" s="71">
        <f t="shared" si="20"/>
        <v>0</v>
      </c>
    </row>
    <row r="95" spans="1:9" ht="21.65" customHeight="1">
      <c r="A95" s="9">
        <v>10</v>
      </c>
      <c r="B95" s="10" t="s">
        <v>361</v>
      </c>
      <c r="C95" s="16" t="s">
        <v>362</v>
      </c>
      <c r="D95" s="14" t="s">
        <v>291</v>
      </c>
      <c r="E95" s="201"/>
      <c r="F95" s="201"/>
      <c r="G95" s="71">
        <f t="shared" si="20"/>
        <v>0</v>
      </c>
      <c r="H95" s="71">
        <v>0</v>
      </c>
      <c r="I95" s="71">
        <f t="shared" si="20"/>
        <v>0</v>
      </c>
    </row>
    <row r="96" spans="1:9" ht="20.149999999999999" customHeight="1">
      <c r="A96" s="9"/>
      <c r="B96" s="19" t="s">
        <v>34</v>
      </c>
      <c r="C96" s="20">
        <v>11</v>
      </c>
      <c r="D96" s="20"/>
      <c r="E96" s="79">
        <f>SUM(E86:E95)</f>
        <v>6547186</v>
      </c>
      <c r="F96" s="79">
        <f>SUM(F86:F95)</f>
        <v>545598.83333333302</v>
      </c>
      <c r="G96" s="79">
        <f t="shared" ref="G96:I96" si="21">SUM(G86:G95)</f>
        <v>13639.9708333333</v>
      </c>
      <c r="H96" s="79">
        <f t="shared" si="21"/>
        <v>1414.5622499999999</v>
      </c>
      <c r="I96" s="79">
        <f t="shared" si="21"/>
        <v>12225.408583333299</v>
      </c>
    </row>
    <row r="97" spans="1:9" ht="20.149999999999999" customHeight="1">
      <c r="A97" s="9"/>
      <c r="B97" s="21"/>
      <c r="C97" s="20"/>
      <c r="D97" s="20"/>
      <c r="E97" s="133"/>
      <c r="F97" s="133"/>
      <c r="G97" s="133"/>
      <c r="H97" s="133"/>
      <c r="I97" s="133"/>
    </row>
    <row r="98" spans="1:9" ht="20.149999999999999" customHeight="1">
      <c r="A98" s="9"/>
      <c r="B98" s="19" t="s">
        <v>58</v>
      </c>
      <c r="C98" s="20"/>
      <c r="D98" s="20"/>
      <c r="E98" s="133"/>
      <c r="F98" s="133"/>
      <c r="G98" s="133"/>
      <c r="H98" s="133"/>
      <c r="I98" s="133"/>
    </row>
    <row r="99" spans="1:9" ht="20.149999999999999" customHeight="1">
      <c r="A99" s="9">
        <v>1</v>
      </c>
      <c r="B99" s="13" t="s">
        <v>363</v>
      </c>
      <c r="C99" s="3" t="s">
        <v>364</v>
      </c>
      <c r="D99" s="15" t="s">
        <v>231</v>
      </c>
      <c r="E99" s="71">
        <f>'[6]NASS New Structure'!$H$21</f>
        <v>8762388</v>
      </c>
      <c r="F99" s="71">
        <f>E99/12</f>
        <v>730199</v>
      </c>
      <c r="G99" s="71">
        <f>F99*0.025</f>
        <v>18254.974999999999</v>
      </c>
      <c r="H99" s="71">
        <f>H12</f>
        <v>1066.32925</v>
      </c>
      <c r="I99" s="71">
        <f>G99-H99</f>
        <v>17188.64575</v>
      </c>
    </row>
    <row r="100" spans="1:9" ht="20.149999999999999" customHeight="1">
      <c r="A100" s="9">
        <v>2</v>
      </c>
      <c r="B100" s="10" t="s">
        <v>366</v>
      </c>
      <c r="C100" s="3" t="s">
        <v>367</v>
      </c>
      <c r="D100" s="14" t="s">
        <v>342</v>
      </c>
      <c r="E100" s="71"/>
      <c r="F100" s="71"/>
      <c r="G100" s="71">
        <f t="shared" ref="G100:I102" si="22">E100*0.025</f>
        <v>0</v>
      </c>
      <c r="H100" s="71">
        <f t="shared" si="22"/>
        <v>0</v>
      </c>
      <c r="I100" s="71">
        <f t="shared" si="22"/>
        <v>0</v>
      </c>
    </row>
    <row r="101" spans="1:9" ht="20.149999999999999" customHeight="1">
      <c r="A101" s="9">
        <v>3</v>
      </c>
      <c r="B101" s="10" t="s">
        <v>368</v>
      </c>
      <c r="C101" s="3" t="s">
        <v>369</v>
      </c>
      <c r="D101" s="14" t="s">
        <v>271</v>
      </c>
      <c r="E101" s="71"/>
      <c r="F101" s="71"/>
      <c r="G101" s="71">
        <f t="shared" si="22"/>
        <v>0</v>
      </c>
      <c r="H101" s="71">
        <f t="shared" si="22"/>
        <v>0</v>
      </c>
      <c r="I101" s="71">
        <f t="shared" si="22"/>
        <v>0</v>
      </c>
    </row>
    <row r="102" spans="1:9" ht="20.149999999999999" customHeight="1">
      <c r="A102" s="9">
        <v>4</v>
      </c>
      <c r="B102" s="10" t="s">
        <v>370</v>
      </c>
      <c r="C102" s="3" t="s">
        <v>371</v>
      </c>
      <c r="D102" s="14" t="s">
        <v>301</v>
      </c>
      <c r="E102" s="201"/>
      <c r="F102" s="201"/>
      <c r="G102" s="71">
        <f t="shared" si="22"/>
        <v>0</v>
      </c>
      <c r="H102" s="71">
        <f t="shared" si="22"/>
        <v>0</v>
      </c>
      <c r="I102" s="71">
        <f t="shared" si="22"/>
        <v>0</v>
      </c>
    </row>
    <row r="103" spans="1:9" ht="20.149999999999999" customHeight="1">
      <c r="A103" s="3"/>
      <c r="B103" s="19" t="s">
        <v>34</v>
      </c>
      <c r="C103" s="20">
        <v>4</v>
      </c>
      <c r="D103" s="25"/>
      <c r="E103" s="79">
        <f>SUM(E99:E102)</f>
        <v>8762388</v>
      </c>
      <c r="F103" s="79">
        <f>SUM(F99:F102)</f>
        <v>730199</v>
      </c>
      <c r="G103" s="79">
        <f t="shared" ref="G103:I103" si="23">SUM(G99:G102)</f>
        <v>18254.974999999999</v>
      </c>
      <c r="H103" s="79">
        <f t="shared" si="23"/>
        <v>1066.32925</v>
      </c>
      <c r="I103" s="79">
        <f t="shared" si="23"/>
        <v>17188.64575</v>
      </c>
    </row>
    <row r="104" spans="1:9" ht="20.149999999999999" customHeight="1">
      <c r="A104" s="3"/>
      <c r="B104" s="21"/>
      <c r="C104" s="20"/>
      <c r="D104" s="25"/>
      <c r="E104" s="133"/>
      <c r="F104" s="133"/>
      <c r="G104" s="133"/>
      <c r="H104" s="133"/>
      <c r="I104" s="133"/>
    </row>
    <row r="105" spans="1:9" ht="20.149999999999999" customHeight="1">
      <c r="A105" s="3"/>
      <c r="B105" s="19" t="s">
        <v>372</v>
      </c>
      <c r="C105" s="3"/>
      <c r="D105" s="3"/>
      <c r="E105" s="3"/>
      <c r="F105" s="3"/>
      <c r="G105" s="3"/>
      <c r="H105" s="3"/>
      <c r="I105" s="3"/>
    </row>
    <row r="106" spans="1:9" ht="20.149999999999999" customHeight="1">
      <c r="A106" s="3">
        <v>1</v>
      </c>
      <c r="B106" s="10" t="s">
        <v>373</v>
      </c>
      <c r="C106" s="11" t="s">
        <v>374</v>
      </c>
      <c r="D106" s="14" t="s">
        <v>297</v>
      </c>
      <c r="E106" s="71"/>
      <c r="F106" s="71"/>
      <c r="G106" s="71">
        <f>E106*0.08</f>
        <v>0</v>
      </c>
      <c r="H106" s="71">
        <f t="shared" ref="H106:I106" si="24">F106*0.08</f>
        <v>0</v>
      </c>
      <c r="I106" s="71">
        <f t="shared" si="24"/>
        <v>0</v>
      </c>
    </row>
    <row r="107" spans="1:9" ht="20.149999999999999" customHeight="1">
      <c r="A107" s="3">
        <v>2</v>
      </c>
      <c r="B107" s="10" t="s">
        <v>375</v>
      </c>
      <c r="C107" s="3" t="s">
        <v>376</v>
      </c>
      <c r="D107" s="15" t="s">
        <v>231</v>
      </c>
      <c r="E107" s="71">
        <f>'[6]NASS New Structure'!$J$20</f>
        <v>4940831</v>
      </c>
      <c r="F107" s="71">
        <f>E107/12</f>
        <v>411735.91666666698</v>
      </c>
      <c r="G107" s="71">
        <f>F107*0.025</f>
        <v>10293.3979166667</v>
      </c>
      <c r="H107" s="71">
        <v>1066.32925</v>
      </c>
      <c r="I107" s="71">
        <f>G107-H107</f>
        <v>9227.0686666666697</v>
      </c>
    </row>
    <row r="108" spans="1:9" ht="20.149999999999999" customHeight="1">
      <c r="A108" s="3">
        <v>3</v>
      </c>
      <c r="B108" s="10" t="s">
        <v>377</v>
      </c>
      <c r="C108" s="3" t="s">
        <v>378</v>
      </c>
      <c r="D108" s="9" t="s">
        <v>263</v>
      </c>
      <c r="E108" s="71">
        <f>'[6]NASS New Structure'!$L$17</f>
        <v>2858213</v>
      </c>
      <c r="F108" s="71">
        <f>E108/12</f>
        <v>238184.41666666701</v>
      </c>
      <c r="G108" s="71">
        <f>F108*0.025</f>
        <v>5954.6104166666701</v>
      </c>
      <c r="H108" s="71">
        <v>658.48249999999996</v>
      </c>
      <c r="I108" s="71">
        <f>G108-H108</f>
        <v>5296.12791666667</v>
      </c>
    </row>
    <row r="109" spans="1:9" ht="20.149999999999999" customHeight="1">
      <c r="A109" s="3">
        <v>4</v>
      </c>
      <c r="B109" s="10" t="s">
        <v>379</v>
      </c>
      <c r="C109" s="3" t="s">
        <v>378</v>
      </c>
      <c r="D109" s="9" t="s">
        <v>263</v>
      </c>
      <c r="E109" s="71"/>
      <c r="F109" s="71"/>
      <c r="G109" s="71">
        <f t="shared" ref="G109:G112" si="25">E109*0.08</f>
        <v>0</v>
      </c>
      <c r="H109" s="71">
        <f t="shared" ref="H109:H112" si="26">F109*0.08</f>
        <v>0</v>
      </c>
      <c r="I109" s="71">
        <f t="shared" ref="I109:I112" si="27">G109*0.08</f>
        <v>0</v>
      </c>
    </row>
    <row r="110" spans="1:9" ht="20.149999999999999" customHeight="1">
      <c r="A110" s="3">
        <v>5</v>
      </c>
      <c r="B110" s="10" t="s">
        <v>380</v>
      </c>
      <c r="C110" s="3" t="s">
        <v>381</v>
      </c>
      <c r="D110" s="14" t="s">
        <v>382</v>
      </c>
      <c r="E110" s="201"/>
      <c r="F110" s="201"/>
      <c r="G110" s="71">
        <f t="shared" si="25"/>
        <v>0</v>
      </c>
      <c r="H110" s="71">
        <f t="shared" si="26"/>
        <v>0</v>
      </c>
      <c r="I110" s="71">
        <f t="shared" si="27"/>
        <v>0</v>
      </c>
    </row>
    <row r="111" spans="1:9" ht="20.149999999999999" customHeight="1">
      <c r="A111" s="3">
        <v>6</v>
      </c>
      <c r="B111" s="17" t="s">
        <v>383</v>
      </c>
      <c r="C111" s="3" t="s">
        <v>381</v>
      </c>
      <c r="D111" s="9" t="s">
        <v>384</v>
      </c>
      <c r="E111" s="201"/>
      <c r="F111" s="201"/>
      <c r="G111" s="71">
        <f t="shared" si="25"/>
        <v>0</v>
      </c>
      <c r="H111" s="71">
        <f t="shared" si="26"/>
        <v>0</v>
      </c>
      <c r="I111" s="71">
        <f t="shared" si="27"/>
        <v>0</v>
      </c>
    </row>
    <row r="112" spans="1:9" ht="20.149999999999999" customHeight="1">
      <c r="A112" s="3">
        <v>7</v>
      </c>
      <c r="B112" s="17" t="s">
        <v>385</v>
      </c>
      <c r="C112" s="3" t="s">
        <v>381</v>
      </c>
      <c r="D112" s="14" t="s">
        <v>291</v>
      </c>
      <c r="E112" s="201"/>
      <c r="F112" s="201"/>
      <c r="G112" s="71">
        <f t="shared" si="25"/>
        <v>0</v>
      </c>
      <c r="H112" s="71">
        <f t="shared" si="26"/>
        <v>0</v>
      </c>
      <c r="I112" s="71">
        <f t="shared" si="27"/>
        <v>0</v>
      </c>
    </row>
    <row r="113" spans="1:9" ht="25.5" customHeight="1">
      <c r="A113" s="3"/>
      <c r="B113" s="19" t="s">
        <v>34</v>
      </c>
      <c r="C113" s="20">
        <v>7</v>
      </c>
      <c r="D113" s="3"/>
      <c r="E113" s="204">
        <f>SUM(E106:E112)</f>
        <v>7799044</v>
      </c>
      <c r="F113" s="204">
        <f>SUM(F106:F112)</f>
        <v>649920.33333333302</v>
      </c>
      <c r="G113" s="204">
        <f t="shared" ref="G113:I113" si="28">SUM(G106:G112)</f>
        <v>16248.0083333333</v>
      </c>
      <c r="H113" s="204">
        <f t="shared" si="28"/>
        <v>1724.8117500000001</v>
      </c>
      <c r="I113" s="204">
        <f t="shared" si="28"/>
        <v>14523.1965833333</v>
      </c>
    </row>
    <row r="114" spans="1:9" ht="20.149999999999999" customHeight="1">
      <c r="A114" s="3"/>
      <c r="B114" s="19"/>
      <c r="C114" s="20"/>
      <c r="D114" s="3"/>
      <c r="E114" s="204"/>
      <c r="F114" s="204"/>
      <c r="G114" s="204"/>
      <c r="H114" s="204"/>
      <c r="I114" s="204"/>
    </row>
    <row r="115" spans="1:9" ht="20.149999999999999" customHeight="1">
      <c r="A115" s="9"/>
      <c r="B115" s="19" t="s">
        <v>61</v>
      </c>
      <c r="C115" s="20"/>
      <c r="D115" s="20"/>
      <c r="E115" s="133"/>
      <c r="F115" s="133"/>
      <c r="G115" s="133"/>
      <c r="H115" s="133"/>
      <c r="I115" s="133"/>
    </row>
    <row r="116" spans="1:9" ht="20.149999999999999" customHeight="1">
      <c r="A116" s="9">
        <v>1</v>
      </c>
      <c r="B116" s="13" t="s">
        <v>386</v>
      </c>
      <c r="C116" s="3" t="s">
        <v>310</v>
      </c>
      <c r="D116" s="9" t="s">
        <v>327</v>
      </c>
      <c r="E116" s="71">
        <f>'[6]NASS New Structure'!$I$19</f>
        <v>3897566</v>
      </c>
      <c r="F116" s="71">
        <f>E116/12</f>
        <v>324797.16666666698</v>
      </c>
      <c r="G116" s="71">
        <f>F116*0.025</f>
        <v>8119.9291666666704</v>
      </c>
      <c r="H116" s="71">
        <v>806.58</v>
      </c>
      <c r="I116" s="71">
        <f>G116-H116</f>
        <v>7313.3491666666696</v>
      </c>
    </row>
    <row r="117" spans="1:9" ht="18.75" customHeight="1">
      <c r="A117" s="9">
        <v>2</v>
      </c>
      <c r="B117" s="10" t="s">
        <v>387</v>
      </c>
      <c r="C117" s="3" t="s">
        <v>388</v>
      </c>
      <c r="D117" s="14" t="s">
        <v>271</v>
      </c>
      <c r="E117" s="71"/>
      <c r="F117" s="71"/>
      <c r="G117" s="71">
        <f t="shared" ref="G117:G118" si="29">F117*0.025</f>
        <v>0</v>
      </c>
      <c r="H117" s="71"/>
      <c r="I117" s="71">
        <f t="shared" ref="I117:I118" si="30">G117-H117</f>
        <v>0</v>
      </c>
    </row>
    <row r="118" spans="1:9" ht="20.149999999999999" customHeight="1">
      <c r="A118" s="9">
        <v>3</v>
      </c>
      <c r="B118" s="10" t="s">
        <v>389</v>
      </c>
      <c r="C118" s="11" t="s">
        <v>390</v>
      </c>
      <c r="D118" s="14" t="s">
        <v>391</v>
      </c>
      <c r="E118" s="71">
        <f>'[6]NASS New Structure'!$K$16</f>
        <v>2523630</v>
      </c>
      <c r="F118" s="71">
        <f>E118/12</f>
        <v>210302.5</v>
      </c>
      <c r="G118" s="71">
        <f t="shared" si="29"/>
        <v>5257.5625</v>
      </c>
      <c r="H118" s="71">
        <v>576.62125000000003</v>
      </c>
      <c r="I118" s="71">
        <f t="shared" si="30"/>
        <v>4680.9412499999999</v>
      </c>
    </row>
    <row r="119" spans="1:9" ht="24.75" customHeight="1">
      <c r="A119" s="3"/>
      <c r="B119" s="19" t="s">
        <v>34</v>
      </c>
      <c r="C119" s="20">
        <v>2</v>
      </c>
      <c r="D119" s="25"/>
      <c r="E119" s="79">
        <f>SUM(E116:E118)</f>
        <v>6421196</v>
      </c>
      <c r="F119" s="79">
        <f>SUM(F116:F118)</f>
        <v>535099.66666666698</v>
      </c>
      <c r="G119" s="79">
        <f t="shared" ref="G119:I119" si="31">SUM(G116:G118)</f>
        <v>13377.4916666667</v>
      </c>
      <c r="H119" s="79">
        <f t="shared" si="31"/>
        <v>1383.2012500000001</v>
      </c>
      <c r="I119" s="79">
        <f t="shared" si="31"/>
        <v>11994.290416666699</v>
      </c>
    </row>
    <row r="120" spans="1:9" ht="20.149999999999999" customHeight="1">
      <c r="A120" s="3"/>
      <c r="B120" s="21"/>
      <c r="C120" s="9"/>
      <c r="D120" s="3"/>
      <c r="E120" s="205"/>
      <c r="F120" s="205"/>
      <c r="G120" s="8"/>
      <c r="H120" s="8"/>
      <c r="I120" s="8"/>
    </row>
    <row r="121" spans="1:9" ht="20.149999999999999" customHeight="1">
      <c r="A121" s="3"/>
      <c r="B121" s="19" t="s">
        <v>67</v>
      </c>
      <c r="C121" s="20"/>
      <c r="D121" s="20"/>
      <c r="E121" s="133"/>
      <c r="F121" s="133"/>
      <c r="G121" s="133"/>
      <c r="H121" s="133"/>
      <c r="I121" s="133"/>
    </row>
    <row r="122" spans="1:9" ht="20.149999999999999" customHeight="1">
      <c r="A122" s="3">
        <v>1</v>
      </c>
      <c r="B122" s="10" t="s">
        <v>392</v>
      </c>
      <c r="C122" s="11" t="s">
        <v>393</v>
      </c>
      <c r="D122" s="14" t="s">
        <v>297</v>
      </c>
      <c r="E122" s="71">
        <f>'[6]NASS New Structure'!$J$21</f>
        <v>9304688</v>
      </c>
      <c r="F122" s="71">
        <f>E122/12</f>
        <v>775390.66666666698</v>
      </c>
      <c r="G122" s="71">
        <f>F122*0.025</f>
        <v>19384.766666666699</v>
      </c>
      <c r="H122" s="71">
        <v>2043.5005000000001</v>
      </c>
      <c r="I122" s="71">
        <f>G122-H122</f>
        <v>17341.266166666701</v>
      </c>
    </row>
    <row r="123" spans="1:9" ht="20.149999999999999" customHeight="1">
      <c r="A123" s="3">
        <v>2</v>
      </c>
      <c r="B123" s="10" t="s">
        <v>130</v>
      </c>
      <c r="C123" s="11" t="s">
        <v>394</v>
      </c>
      <c r="D123" s="14" t="s">
        <v>308</v>
      </c>
      <c r="E123" s="71">
        <f>'[6]NASS New Structure'!$I$20</f>
        <v>4790672</v>
      </c>
      <c r="F123" s="71">
        <f t="shared" ref="F123:F128" si="32">E123/12</f>
        <v>399222.66666666698</v>
      </c>
      <c r="G123" s="71">
        <f t="shared" ref="G123:G128" si="33">F123*0.025</f>
        <v>9980.5666666666693</v>
      </c>
      <c r="H123" s="71">
        <v>1028.9422500000001</v>
      </c>
      <c r="I123" s="71">
        <f t="shared" ref="I123:I128" si="34">G123-H123</f>
        <v>8951.6244166666693</v>
      </c>
    </row>
    <row r="124" spans="1:9" ht="20.149999999999999" customHeight="1">
      <c r="A124" s="3">
        <v>3</v>
      </c>
      <c r="B124" s="13" t="s">
        <v>395</v>
      </c>
      <c r="C124" s="11" t="s">
        <v>227</v>
      </c>
      <c r="D124" s="14" t="s">
        <v>249</v>
      </c>
      <c r="E124" s="71">
        <f>'[6]NASS New Structure'!$J$19</f>
        <v>4022509</v>
      </c>
      <c r="F124" s="71">
        <f t="shared" si="32"/>
        <v>335209.08333333302</v>
      </c>
      <c r="G124" s="71">
        <f t="shared" si="33"/>
        <v>8380.2270833333296</v>
      </c>
      <c r="H124" s="71">
        <v>837.6875</v>
      </c>
      <c r="I124" s="71">
        <f t="shared" si="34"/>
        <v>7542.5395833333296</v>
      </c>
    </row>
    <row r="125" spans="1:9" ht="20.149999999999999" customHeight="1">
      <c r="A125" s="3">
        <v>4</v>
      </c>
      <c r="B125" s="13" t="s">
        <v>226</v>
      </c>
      <c r="C125" s="11" t="s">
        <v>227</v>
      </c>
      <c r="D125" s="14" t="s">
        <v>228</v>
      </c>
      <c r="E125" s="71"/>
      <c r="F125" s="71">
        <f t="shared" si="32"/>
        <v>0</v>
      </c>
      <c r="G125" s="71">
        <f t="shared" si="33"/>
        <v>0</v>
      </c>
      <c r="H125" s="71"/>
      <c r="I125" s="71">
        <f t="shared" si="34"/>
        <v>0</v>
      </c>
    </row>
    <row r="126" spans="1:9" ht="20.149999999999999" customHeight="1">
      <c r="A126" s="3">
        <v>5</v>
      </c>
      <c r="B126" s="10" t="s">
        <v>396</v>
      </c>
      <c r="C126" s="11" t="s">
        <v>397</v>
      </c>
      <c r="D126" s="14" t="s">
        <v>257</v>
      </c>
      <c r="E126" s="71"/>
      <c r="F126" s="71">
        <f t="shared" si="32"/>
        <v>0</v>
      </c>
      <c r="G126" s="71">
        <f t="shared" si="33"/>
        <v>0</v>
      </c>
      <c r="H126" s="71"/>
      <c r="I126" s="71">
        <f t="shared" si="34"/>
        <v>0</v>
      </c>
    </row>
    <row r="127" spans="1:9" ht="20.149999999999999" customHeight="1">
      <c r="A127" s="3">
        <v>6</v>
      </c>
      <c r="B127" s="10" t="s">
        <v>398</v>
      </c>
      <c r="C127" s="11" t="s">
        <v>399</v>
      </c>
      <c r="D127" s="14" t="s">
        <v>260</v>
      </c>
      <c r="E127" s="71">
        <f>'[6]NASS New Structure'!$I$18</f>
        <v>2864307</v>
      </c>
      <c r="F127" s="71">
        <f t="shared" si="32"/>
        <v>238692.25</v>
      </c>
      <c r="G127" s="71">
        <f t="shared" si="33"/>
        <v>5967.3062499999996</v>
      </c>
      <c r="H127" s="71">
        <v>646.35249999999996</v>
      </c>
      <c r="I127" s="71">
        <f t="shared" si="34"/>
        <v>5320.9537499999997</v>
      </c>
    </row>
    <row r="128" spans="1:9" ht="20.149999999999999" customHeight="1">
      <c r="A128" s="3">
        <v>7</v>
      </c>
      <c r="B128" s="10" t="s">
        <v>400</v>
      </c>
      <c r="C128" s="11" t="s">
        <v>397</v>
      </c>
      <c r="D128" s="14" t="s">
        <v>342</v>
      </c>
      <c r="E128" s="71">
        <f>'[6]NASS New Structure'!$J$18</f>
        <v>2954075</v>
      </c>
      <c r="F128" s="71">
        <f t="shared" si="32"/>
        <v>246172.91666666701</v>
      </c>
      <c r="G128" s="71">
        <f t="shared" si="33"/>
        <v>6154.3229166666697</v>
      </c>
      <c r="H128" s="71">
        <v>668.31624999999997</v>
      </c>
      <c r="I128" s="71">
        <f t="shared" si="34"/>
        <v>5486.0066666666698</v>
      </c>
    </row>
    <row r="129" spans="1:9" ht="20.149999999999999" customHeight="1">
      <c r="A129" s="3">
        <v>8</v>
      </c>
      <c r="B129" s="10" t="s">
        <v>401</v>
      </c>
      <c r="C129" s="11" t="s">
        <v>402</v>
      </c>
      <c r="D129" s="9" t="s">
        <v>279</v>
      </c>
      <c r="E129" s="71"/>
      <c r="F129" s="71"/>
      <c r="G129" s="71">
        <f t="shared" ref="G129:G131" si="35">E129*0.08</f>
        <v>0</v>
      </c>
      <c r="H129" s="71"/>
      <c r="I129" s="71">
        <f t="shared" ref="I129:I131" si="36">G129*0.08</f>
        <v>0</v>
      </c>
    </row>
    <row r="130" spans="1:9" ht="20.149999999999999" customHeight="1">
      <c r="A130" s="3">
        <v>9</v>
      </c>
      <c r="B130" s="17" t="s">
        <v>403</v>
      </c>
      <c r="C130" s="11" t="s">
        <v>404</v>
      </c>
      <c r="D130" s="14" t="s">
        <v>294</v>
      </c>
      <c r="E130" s="71"/>
      <c r="F130" s="71"/>
      <c r="G130" s="71">
        <f t="shared" si="35"/>
        <v>0</v>
      </c>
      <c r="H130" s="71">
        <v>0</v>
      </c>
      <c r="I130" s="71">
        <f t="shared" si="36"/>
        <v>0</v>
      </c>
    </row>
    <row r="131" spans="1:9" ht="20.149999999999999" customHeight="1">
      <c r="A131" s="3">
        <v>10</v>
      </c>
      <c r="B131" s="17" t="s">
        <v>405</v>
      </c>
      <c r="C131" s="11" t="s">
        <v>69</v>
      </c>
      <c r="D131" s="14" t="s">
        <v>294</v>
      </c>
      <c r="E131" s="71"/>
      <c r="F131" s="71"/>
      <c r="G131" s="71">
        <f t="shared" si="35"/>
        <v>0</v>
      </c>
      <c r="H131" s="71">
        <v>0</v>
      </c>
      <c r="I131" s="71">
        <f t="shared" si="36"/>
        <v>0</v>
      </c>
    </row>
    <row r="132" spans="1:9" ht="28.5" customHeight="1">
      <c r="A132" s="3"/>
      <c r="B132" s="19" t="s">
        <v>34</v>
      </c>
      <c r="C132" s="25" t="s">
        <v>406</v>
      </c>
      <c r="D132" s="14"/>
      <c r="E132" s="133">
        <f>SUM(E122:E131)</f>
        <v>23936251</v>
      </c>
      <c r="F132" s="133">
        <f>SUM(F122:F131)</f>
        <v>1994687.58333333</v>
      </c>
      <c r="G132" s="133">
        <f t="shared" ref="G132:I132" si="37">SUM(G122:G131)</f>
        <v>49867.189583333296</v>
      </c>
      <c r="H132" s="133">
        <f t="shared" si="37"/>
        <v>5224.799</v>
      </c>
      <c r="I132" s="133">
        <f t="shared" si="37"/>
        <v>44642.390583333297</v>
      </c>
    </row>
    <row r="133" spans="1:9" ht="20.149999999999999" customHeight="1">
      <c r="A133" s="3"/>
      <c r="B133" s="21"/>
      <c r="C133" s="25"/>
      <c r="D133" s="14"/>
      <c r="E133" s="133"/>
      <c r="F133" s="133"/>
      <c r="G133" s="133"/>
      <c r="H133" s="133"/>
      <c r="I133" s="133"/>
    </row>
    <row r="134" spans="1:9" ht="20.149999999999999" customHeight="1">
      <c r="A134" s="3"/>
      <c r="B134" s="19" t="s">
        <v>71</v>
      </c>
      <c r="C134" s="11"/>
      <c r="D134" s="14"/>
      <c r="E134" s="71"/>
      <c r="F134" s="71"/>
      <c r="G134" s="71"/>
      <c r="H134" s="71"/>
      <c r="I134" s="71"/>
    </row>
    <row r="135" spans="1:9" ht="20.149999999999999" customHeight="1">
      <c r="A135" s="26">
        <v>1</v>
      </c>
      <c r="B135" s="10" t="s">
        <v>407</v>
      </c>
      <c r="C135" s="11" t="s">
        <v>408</v>
      </c>
      <c r="D135" s="14" t="s">
        <v>297</v>
      </c>
      <c r="E135" s="71"/>
      <c r="F135" s="71"/>
      <c r="G135" s="71">
        <f>E135*0.08</f>
        <v>0</v>
      </c>
      <c r="H135" s="71">
        <f t="shared" ref="H135:I135" si="38">F135*0.08</f>
        <v>0</v>
      </c>
      <c r="I135" s="71">
        <f t="shared" si="38"/>
        <v>0</v>
      </c>
    </row>
    <row r="136" spans="1:9" ht="20.149999999999999" customHeight="1">
      <c r="A136" s="26">
        <v>2</v>
      </c>
      <c r="B136" s="10" t="s">
        <v>229</v>
      </c>
      <c r="C136" s="11" t="s">
        <v>230</v>
      </c>
      <c r="D136" s="14" t="s">
        <v>231</v>
      </c>
      <c r="E136" s="71"/>
      <c r="F136" s="71"/>
      <c r="G136" s="71"/>
      <c r="H136" s="71"/>
      <c r="I136" s="71"/>
    </row>
    <row r="137" spans="1:9" ht="20.149999999999999" customHeight="1">
      <c r="A137" s="26">
        <v>3</v>
      </c>
      <c r="B137" s="13" t="s">
        <v>409</v>
      </c>
      <c r="C137" s="3" t="s">
        <v>410</v>
      </c>
      <c r="D137" s="15" t="s">
        <v>231</v>
      </c>
      <c r="E137" s="71">
        <f>'[6]NASS New Structure'!$J$20</f>
        <v>4940831</v>
      </c>
      <c r="F137" s="71">
        <f>E137/12</f>
        <v>411735.91666666698</v>
      </c>
      <c r="G137" s="71">
        <f>F137*0.025</f>
        <v>10293.3979166667</v>
      </c>
      <c r="H137" s="71">
        <v>1066.32925</v>
      </c>
      <c r="I137" s="71">
        <f>G137-H137</f>
        <v>9227.0686666666697</v>
      </c>
    </row>
    <row r="138" spans="1:9" ht="20.149999999999999" customHeight="1">
      <c r="A138" s="26">
        <v>4</v>
      </c>
      <c r="B138" s="10" t="s">
        <v>411</v>
      </c>
      <c r="C138" s="11" t="s">
        <v>412</v>
      </c>
      <c r="D138" s="14" t="s">
        <v>254</v>
      </c>
      <c r="E138" s="71">
        <f>'[6]NASS New Structure'!$L$18</f>
        <v>3133611</v>
      </c>
      <c r="F138" s="71">
        <f t="shared" ref="F138:F141" si="39">E138/12</f>
        <v>261134.25</v>
      </c>
      <c r="G138" s="71">
        <f t="shared" ref="G138:G166" si="40">F138*0.025</f>
        <v>6528.3562499999998</v>
      </c>
      <c r="H138" s="71">
        <v>712.24525000000006</v>
      </c>
      <c r="I138" s="71">
        <f t="shared" ref="I138:I166" si="41">G138-H138</f>
        <v>5816.1109999999999</v>
      </c>
    </row>
    <row r="139" spans="1:9" ht="20.149999999999999" customHeight="1">
      <c r="A139" s="26">
        <v>5</v>
      </c>
      <c r="B139" s="10" t="s">
        <v>413</v>
      </c>
      <c r="C139" s="3" t="s">
        <v>414</v>
      </c>
      <c r="D139" s="14" t="s">
        <v>254</v>
      </c>
      <c r="E139" s="71">
        <f>'[6]NASS New Structure'!$L$18</f>
        <v>3133611</v>
      </c>
      <c r="F139" s="71">
        <f t="shared" si="39"/>
        <v>261134.25</v>
      </c>
      <c r="G139" s="71">
        <f t="shared" si="40"/>
        <v>6528.3562499999998</v>
      </c>
      <c r="H139" s="71">
        <v>712.24525000000006</v>
      </c>
      <c r="I139" s="71">
        <f t="shared" si="41"/>
        <v>5816.1109999999999</v>
      </c>
    </row>
    <row r="140" spans="1:9" ht="20.149999999999999" customHeight="1">
      <c r="A140" s="26">
        <v>6</v>
      </c>
      <c r="B140" s="10" t="s">
        <v>415</v>
      </c>
      <c r="C140" s="3" t="s">
        <v>414</v>
      </c>
      <c r="D140" s="14" t="s">
        <v>254</v>
      </c>
      <c r="E140" s="71">
        <f>'[6]NASS New Structure'!$L$18</f>
        <v>3133611</v>
      </c>
      <c r="F140" s="71">
        <f t="shared" si="39"/>
        <v>261134.25</v>
      </c>
      <c r="G140" s="71">
        <f t="shared" si="40"/>
        <v>6528.3562499999998</v>
      </c>
      <c r="H140" s="71">
        <v>712.24525000000006</v>
      </c>
      <c r="I140" s="71">
        <f t="shared" si="41"/>
        <v>5816.1109999999999</v>
      </c>
    </row>
    <row r="141" spans="1:9" ht="20.149999999999999" customHeight="1">
      <c r="A141" s="26">
        <v>7</v>
      </c>
      <c r="B141" s="10" t="s">
        <v>416</v>
      </c>
      <c r="C141" s="11" t="s">
        <v>417</v>
      </c>
      <c r="D141" s="14" t="s">
        <v>391</v>
      </c>
      <c r="E141" s="71">
        <f>'[6]NASS New Structure'!$K$16</f>
        <v>2523630</v>
      </c>
      <c r="F141" s="71">
        <f t="shared" si="39"/>
        <v>210302.5</v>
      </c>
      <c r="G141" s="71">
        <f t="shared" si="40"/>
        <v>5257.5625</v>
      </c>
      <c r="H141" s="71">
        <v>576.62125000000003</v>
      </c>
      <c r="I141" s="71">
        <f t="shared" si="41"/>
        <v>4680.9412499999999</v>
      </c>
    </row>
    <row r="142" spans="1:9" ht="20.149999999999999" customHeight="1">
      <c r="A142" s="26">
        <v>8</v>
      </c>
      <c r="B142" s="10" t="s">
        <v>418</v>
      </c>
      <c r="C142" s="11" t="s">
        <v>417</v>
      </c>
      <c r="D142" s="14" t="s">
        <v>391</v>
      </c>
      <c r="E142" s="71"/>
      <c r="F142" s="71"/>
      <c r="G142" s="71">
        <f t="shared" si="40"/>
        <v>0</v>
      </c>
      <c r="H142" s="71"/>
      <c r="I142" s="71">
        <f t="shared" si="41"/>
        <v>0</v>
      </c>
    </row>
    <row r="143" spans="1:9" ht="20.149999999999999" customHeight="1">
      <c r="A143" s="26">
        <v>9</v>
      </c>
      <c r="B143" s="10" t="s">
        <v>419</v>
      </c>
      <c r="C143" s="3" t="s">
        <v>420</v>
      </c>
      <c r="D143" s="14" t="s">
        <v>391</v>
      </c>
      <c r="E143" s="71"/>
      <c r="F143" s="71"/>
      <c r="G143" s="71">
        <f t="shared" si="40"/>
        <v>0</v>
      </c>
      <c r="H143" s="71"/>
      <c r="I143" s="71">
        <f t="shared" si="41"/>
        <v>0</v>
      </c>
    </row>
    <row r="144" spans="1:9" ht="20.149999999999999" customHeight="1">
      <c r="A144" s="26">
        <v>10</v>
      </c>
      <c r="B144" s="10" t="s">
        <v>421</v>
      </c>
      <c r="C144" s="11" t="s">
        <v>422</v>
      </c>
      <c r="D144" s="14" t="s">
        <v>271</v>
      </c>
      <c r="E144" s="71"/>
      <c r="F144" s="71"/>
      <c r="G144" s="71">
        <f t="shared" si="40"/>
        <v>0</v>
      </c>
      <c r="H144" s="71"/>
      <c r="I144" s="71">
        <f t="shared" si="41"/>
        <v>0</v>
      </c>
    </row>
    <row r="145" spans="1:9" ht="20.149999999999999" customHeight="1">
      <c r="A145" s="26">
        <v>11</v>
      </c>
      <c r="B145" s="10" t="s">
        <v>423</v>
      </c>
      <c r="C145" s="11" t="s">
        <v>424</v>
      </c>
      <c r="D145" s="14" t="s">
        <v>332</v>
      </c>
      <c r="E145" s="71">
        <f>'[6]NASS New Structure'!$I$16</f>
        <v>2365888</v>
      </c>
      <c r="F145" s="71">
        <f>E145/12</f>
        <v>197157.33333333299</v>
      </c>
      <c r="G145" s="71">
        <f t="shared" si="40"/>
        <v>4928.9333333333298</v>
      </c>
      <c r="H145" s="71">
        <v>538.02200000000005</v>
      </c>
      <c r="I145" s="71">
        <f t="shared" si="41"/>
        <v>4390.9113333333298</v>
      </c>
    </row>
    <row r="146" spans="1:9" ht="20.149999999999999" customHeight="1">
      <c r="A146" s="26">
        <v>12</v>
      </c>
      <c r="B146" s="10" t="s">
        <v>425</v>
      </c>
      <c r="C146" s="11" t="s">
        <v>426</v>
      </c>
      <c r="D146" s="14" t="s">
        <v>391</v>
      </c>
      <c r="E146" s="71">
        <f>'[6]NASS New Structure'!$K$16</f>
        <v>2523630</v>
      </c>
      <c r="F146" s="71">
        <f t="shared" ref="F146:F149" si="42">E146/12</f>
        <v>210302.5</v>
      </c>
      <c r="G146" s="71">
        <f t="shared" si="40"/>
        <v>5257.5625</v>
      </c>
      <c r="H146" s="71">
        <v>576.62125000000003</v>
      </c>
      <c r="I146" s="71">
        <f t="shared" si="41"/>
        <v>4680.9412499999999</v>
      </c>
    </row>
    <row r="147" spans="1:9" ht="20.149999999999999" customHeight="1">
      <c r="A147" s="26">
        <v>13</v>
      </c>
      <c r="B147" s="17" t="s">
        <v>427</v>
      </c>
      <c r="C147" s="3" t="s">
        <v>428</v>
      </c>
      <c r="D147" s="14" t="s">
        <v>42</v>
      </c>
      <c r="E147" s="201"/>
      <c r="F147" s="71">
        <f t="shared" si="42"/>
        <v>0</v>
      </c>
      <c r="G147" s="71">
        <f t="shared" si="40"/>
        <v>0</v>
      </c>
      <c r="H147" s="71">
        <v>0</v>
      </c>
      <c r="I147" s="71">
        <f t="shared" si="41"/>
        <v>0</v>
      </c>
    </row>
    <row r="148" spans="1:9" ht="20.149999999999999" customHeight="1">
      <c r="A148" s="26">
        <v>14</v>
      </c>
      <c r="B148" s="10" t="s">
        <v>429</v>
      </c>
      <c r="C148" s="3" t="s">
        <v>430</v>
      </c>
      <c r="D148" s="14" t="s">
        <v>345</v>
      </c>
      <c r="E148" s="201"/>
      <c r="F148" s="71">
        <f t="shared" si="42"/>
        <v>0</v>
      </c>
      <c r="G148" s="71">
        <f t="shared" si="40"/>
        <v>0</v>
      </c>
      <c r="H148" s="71"/>
      <c r="I148" s="71">
        <f t="shared" si="41"/>
        <v>0</v>
      </c>
    </row>
    <row r="149" spans="1:9" ht="20.149999999999999" customHeight="1">
      <c r="A149" s="26">
        <v>15</v>
      </c>
      <c r="B149" s="10" t="s">
        <v>431</v>
      </c>
      <c r="C149" s="3" t="s">
        <v>430</v>
      </c>
      <c r="D149" s="14" t="s">
        <v>432</v>
      </c>
      <c r="E149" s="201">
        <f>'[6]NASS New Structure'!$K$15</f>
        <v>2030090</v>
      </c>
      <c r="F149" s="71">
        <f t="shared" si="42"/>
        <v>169174.16666666701</v>
      </c>
      <c r="G149" s="71">
        <f t="shared" si="40"/>
        <v>4229.3541666666697</v>
      </c>
      <c r="H149" s="71">
        <v>469.48250000000002</v>
      </c>
      <c r="I149" s="71">
        <f t="shared" si="41"/>
        <v>3759.8716666666701</v>
      </c>
    </row>
    <row r="150" spans="1:9" ht="20.149999999999999" customHeight="1">
      <c r="A150" s="26">
        <v>16</v>
      </c>
      <c r="B150" s="10" t="s">
        <v>433</v>
      </c>
      <c r="C150" s="3" t="s">
        <v>430</v>
      </c>
      <c r="D150" s="14" t="s">
        <v>432</v>
      </c>
      <c r="E150" s="201"/>
      <c r="F150" s="201"/>
      <c r="G150" s="71">
        <f t="shared" si="40"/>
        <v>0</v>
      </c>
      <c r="H150" s="71"/>
      <c r="I150" s="71">
        <f t="shared" si="41"/>
        <v>0</v>
      </c>
    </row>
    <row r="151" spans="1:9" ht="20.149999999999999" customHeight="1">
      <c r="A151" s="26">
        <v>17</v>
      </c>
      <c r="B151" s="10" t="s">
        <v>434</v>
      </c>
      <c r="C151" s="11" t="s">
        <v>435</v>
      </c>
      <c r="D151" s="14" t="s">
        <v>301</v>
      </c>
      <c r="E151" s="201"/>
      <c r="F151" s="201"/>
      <c r="G151" s="71">
        <f t="shared" si="40"/>
        <v>0</v>
      </c>
      <c r="H151" s="71"/>
      <c r="I151" s="71">
        <f t="shared" si="41"/>
        <v>0</v>
      </c>
    </row>
    <row r="152" spans="1:9" ht="20.149999999999999" customHeight="1">
      <c r="A152" s="26">
        <v>18</v>
      </c>
      <c r="B152" s="10" t="s">
        <v>436</v>
      </c>
      <c r="C152" s="11" t="s">
        <v>437</v>
      </c>
      <c r="D152" s="9" t="s">
        <v>283</v>
      </c>
      <c r="E152" s="71"/>
      <c r="F152" s="71"/>
      <c r="G152" s="71">
        <f t="shared" si="40"/>
        <v>0</v>
      </c>
      <c r="H152" s="71"/>
      <c r="I152" s="71">
        <f t="shared" si="41"/>
        <v>0</v>
      </c>
    </row>
    <row r="153" spans="1:9" ht="20.149999999999999" customHeight="1">
      <c r="A153" s="26">
        <v>19</v>
      </c>
      <c r="B153" s="10" t="s">
        <v>438</v>
      </c>
      <c r="C153" s="11" t="s">
        <v>439</v>
      </c>
      <c r="D153" s="14" t="s">
        <v>345</v>
      </c>
      <c r="E153" s="201"/>
      <c r="F153" s="201"/>
      <c r="G153" s="71">
        <f t="shared" si="40"/>
        <v>0</v>
      </c>
      <c r="H153" s="71"/>
      <c r="I153" s="71">
        <f t="shared" si="41"/>
        <v>0</v>
      </c>
    </row>
    <row r="154" spans="1:9" ht="20.149999999999999" customHeight="1">
      <c r="A154" s="26">
        <v>20</v>
      </c>
      <c r="B154" s="10" t="s">
        <v>440</v>
      </c>
      <c r="C154" s="11" t="s">
        <v>441</v>
      </c>
      <c r="D154" s="14" t="s">
        <v>279</v>
      </c>
      <c r="E154" s="201"/>
      <c r="F154" s="201"/>
      <c r="G154" s="71">
        <f t="shared" si="40"/>
        <v>0</v>
      </c>
      <c r="H154" s="71"/>
      <c r="I154" s="71">
        <f t="shared" si="41"/>
        <v>0</v>
      </c>
    </row>
    <row r="155" spans="1:9" ht="20.149999999999999" customHeight="1">
      <c r="A155" s="26">
        <v>21</v>
      </c>
      <c r="B155" s="10" t="s">
        <v>442</v>
      </c>
      <c r="C155" s="11" t="s">
        <v>443</v>
      </c>
      <c r="D155" s="14" t="s">
        <v>345</v>
      </c>
      <c r="E155" s="201">
        <f>'[6]NASS New Structure'!$J$15</f>
        <v>1979242</v>
      </c>
      <c r="F155" s="201">
        <f>E155/12</f>
        <v>164936.83333333299</v>
      </c>
      <c r="G155" s="71">
        <f t="shared" si="40"/>
        <v>4123.4208333333299</v>
      </c>
      <c r="H155" s="71">
        <v>457.041</v>
      </c>
      <c r="I155" s="71">
        <f t="shared" si="41"/>
        <v>3666.3798333333302</v>
      </c>
    </row>
    <row r="156" spans="1:9" ht="20.149999999999999" customHeight="1">
      <c r="A156" s="26">
        <v>22</v>
      </c>
      <c r="B156" s="10" t="s">
        <v>444</v>
      </c>
      <c r="C156" s="11" t="s">
        <v>445</v>
      </c>
      <c r="D156" s="14" t="s">
        <v>279</v>
      </c>
      <c r="E156" s="201"/>
      <c r="F156" s="201"/>
      <c r="G156" s="71">
        <f t="shared" si="40"/>
        <v>0</v>
      </c>
      <c r="H156" s="71"/>
      <c r="I156" s="71">
        <f t="shared" si="41"/>
        <v>0</v>
      </c>
    </row>
    <row r="157" spans="1:9" ht="20.149999999999999" customHeight="1">
      <c r="A157" s="26">
        <v>23</v>
      </c>
      <c r="B157" s="17" t="s">
        <v>446</v>
      </c>
      <c r="C157" s="11" t="s">
        <v>447</v>
      </c>
      <c r="D157" s="14" t="s">
        <v>25</v>
      </c>
      <c r="E157" s="201"/>
      <c r="F157" s="201"/>
      <c r="G157" s="71">
        <f t="shared" si="40"/>
        <v>0</v>
      </c>
      <c r="H157" s="71"/>
      <c r="I157" s="71">
        <f t="shared" si="41"/>
        <v>0</v>
      </c>
    </row>
    <row r="158" spans="1:9" ht="20.149999999999999" customHeight="1">
      <c r="A158" s="26">
        <v>24</v>
      </c>
      <c r="B158" s="17" t="s">
        <v>448</v>
      </c>
      <c r="C158" s="11" t="s">
        <v>449</v>
      </c>
      <c r="D158" s="14" t="s">
        <v>294</v>
      </c>
      <c r="E158" s="71"/>
      <c r="F158" s="71"/>
      <c r="G158" s="71">
        <f t="shared" si="40"/>
        <v>0</v>
      </c>
      <c r="H158" s="71">
        <v>0</v>
      </c>
      <c r="I158" s="71">
        <f t="shared" si="41"/>
        <v>0</v>
      </c>
    </row>
    <row r="159" spans="1:9" ht="20.149999999999999" customHeight="1">
      <c r="A159" s="26">
        <v>25</v>
      </c>
      <c r="B159" s="17" t="s">
        <v>450</v>
      </c>
      <c r="C159" s="11" t="s">
        <v>451</v>
      </c>
      <c r="D159" s="14" t="s">
        <v>294</v>
      </c>
      <c r="E159" s="71"/>
      <c r="F159" s="71"/>
      <c r="G159" s="71">
        <f t="shared" si="40"/>
        <v>0</v>
      </c>
      <c r="H159" s="71">
        <v>0</v>
      </c>
      <c r="I159" s="71">
        <f t="shared" si="41"/>
        <v>0</v>
      </c>
    </row>
    <row r="160" spans="1:9" ht="20.149999999999999" customHeight="1">
      <c r="A160" s="26">
        <v>26</v>
      </c>
      <c r="B160" s="17" t="s">
        <v>452</v>
      </c>
      <c r="C160" s="11" t="s">
        <v>453</v>
      </c>
      <c r="D160" s="14" t="s">
        <v>294</v>
      </c>
      <c r="E160" s="71"/>
      <c r="F160" s="71"/>
      <c r="G160" s="71">
        <f t="shared" si="40"/>
        <v>0</v>
      </c>
      <c r="H160" s="71">
        <v>0</v>
      </c>
      <c r="I160" s="71">
        <f t="shared" si="41"/>
        <v>0</v>
      </c>
    </row>
    <row r="161" spans="1:9" ht="20.149999999999999" customHeight="1">
      <c r="A161" s="26">
        <v>27</v>
      </c>
      <c r="B161" s="17" t="s">
        <v>454</v>
      </c>
      <c r="C161" s="11" t="s">
        <v>455</v>
      </c>
      <c r="D161" s="14" t="s">
        <v>291</v>
      </c>
      <c r="E161" s="71"/>
      <c r="F161" s="71"/>
      <c r="G161" s="71">
        <f t="shared" si="40"/>
        <v>0</v>
      </c>
      <c r="H161" s="71">
        <v>0</v>
      </c>
      <c r="I161" s="71">
        <f t="shared" si="41"/>
        <v>0</v>
      </c>
    </row>
    <row r="162" spans="1:9" ht="20.149999999999999" customHeight="1">
      <c r="A162" s="26">
        <v>28</v>
      </c>
      <c r="B162" s="17" t="s">
        <v>456</v>
      </c>
      <c r="C162" s="11" t="s">
        <v>451</v>
      </c>
      <c r="D162" s="14" t="s">
        <v>294</v>
      </c>
      <c r="E162" s="71"/>
      <c r="F162" s="71"/>
      <c r="G162" s="71">
        <f t="shared" si="40"/>
        <v>0</v>
      </c>
      <c r="H162" s="71">
        <v>0</v>
      </c>
      <c r="I162" s="71">
        <f t="shared" si="41"/>
        <v>0</v>
      </c>
    </row>
    <row r="163" spans="1:9" ht="20.149999999999999" customHeight="1">
      <c r="A163" s="26">
        <v>29</v>
      </c>
      <c r="B163" s="10" t="s">
        <v>457</v>
      </c>
      <c r="C163" s="11" t="s">
        <v>458</v>
      </c>
      <c r="D163" s="14" t="s">
        <v>459</v>
      </c>
      <c r="E163" s="207">
        <f>'[6]NASS New Structure'!$G$12</f>
        <v>1110516</v>
      </c>
      <c r="F163" s="207">
        <f>E163/12</f>
        <v>92543</v>
      </c>
      <c r="G163" s="71">
        <f t="shared" si="40"/>
        <v>2313.5749999999998</v>
      </c>
      <c r="H163" s="71">
        <v>263.19</v>
      </c>
      <c r="I163" s="71">
        <f t="shared" si="41"/>
        <v>2050.3850000000002</v>
      </c>
    </row>
    <row r="164" spans="1:9" ht="20.149999999999999" customHeight="1">
      <c r="A164" s="26">
        <v>30</v>
      </c>
      <c r="B164" s="10" t="s">
        <v>460</v>
      </c>
      <c r="C164" s="11" t="s">
        <v>458</v>
      </c>
      <c r="D164" s="14" t="s">
        <v>459</v>
      </c>
      <c r="E164" s="207"/>
      <c r="F164" s="207"/>
      <c r="G164" s="71">
        <f t="shared" si="40"/>
        <v>0</v>
      </c>
      <c r="H164" s="71"/>
      <c r="I164" s="71">
        <f t="shared" si="41"/>
        <v>0</v>
      </c>
    </row>
    <row r="165" spans="1:9" ht="20.149999999999999" customHeight="1">
      <c r="A165" s="26">
        <v>31</v>
      </c>
      <c r="B165" s="10" t="s">
        <v>461</v>
      </c>
      <c r="C165" s="11" t="s">
        <v>458</v>
      </c>
      <c r="D165" s="14" t="s">
        <v>459</v>
      </c>
      <c r="E165" s="207"/>
      <c r="F165" s="207"/>
      <c r="G165" s="71">
        <f t="shared" si="40"/>
        <v>0</v>
      </c>
      <c r="H165" s="71"/>
      <c r="I165" s="71">
        <f t="shared" si="41"/>
        <v>0</v>
      </c>
    </row>
    <row r="166" spans="1:9" ht="20.149999999999999" customHeight="1">
      <c r="A166" s="26">
        <v>32</v>
      </c>
      <c r="B166" s="10" t="s">
        <v>462</v>
      </c>
      <c r="C166" s="11" t="s">
        <v>458</v>
      </c>
      <c r="D166" s="14" t="s">
        <v>459</v>
      </c>
      <c r="E166" s="207">
        <f>'[6]NASS New Structure'!$G$12</f>
        <v>1110516</v>
      </c>
      <c r="F166" s="207">
        <f>E166/12</f>
        <v>92543</v>
      </c>
      <c r="G166" s="71">
        <f t="shared" si="40"/>
        <v>2313.5749999999998</v>
      </c>
      <c r="H166" s="71">
        <v>263.19</v>
      </c>
      <c r="I166" s="71">
        <f t="shared" si="41"/>
        <v>2050.3850000000002</v>
      </c>
    </row>
    <row r="167" spans="1:9" ht="20.149999999999999" customHeight="1">
      <c r="A167" s="26">
        <v>33</v>
      </c>
      <c r="B167" s="10" t="s">
        <v>463</v>
      </c>
      <c r="C167" s="11" t="s">
        <v>458</v>
      </c>
      <c r="D167" s="14" t="s">
        <v>459</v>
      </c>
      <c r="E167" s="207"/>
      <c r="F167" s="207"/>
      <c r="G167" s="71">
        <f t="shared" ref="G167:G193" si="43">E167*0.08</f>
        <v>0</v>
      </c>
      <c r="H167" s="71">
        <f t="shared" ref="H167:H193" si="44">F167*0.08</f>
        <v>0</v>
      </c>
      <c r="I167" s="71">
        <f t="shared" ref="I167:I193" si="45">G167*0.08</f>
        <v>0</v>
      </c>
    </row>
    <row r="168" spans="1:9" ht="20.149999999999999" customHeight="1">
      <c r="A168" s="26">
        <v>34</v>
      </c>
      <c r="B168" s="10" t="s">
        <v>464</v>
      </c>
      <c r="C168" s="11" t="s">
        <v>458</v>
      </c>
      <c r="D168" s="14" t="s">
        <v>465</v>
      </c>
      <c r="E168" s="207"/>
      <c r="F168" s="207"/>
      <c r="G168" s="71">
        <f t="shared" si="43"/>
        <v>0</v>
      </c>
      <c r="H168" s="71">
        <f t="shared" si="44"/>
        <v>0</v>
      </c>
      <c r="I168" s="71">
        <f t="shared" si="45"/>
        <v>0</v>
      </c>
    </row>
    <row r="169" spans="1:9" ht="20.149999999999999" customHeight="1">
      <c r="A169" s="26">
        <v>35</v>
      </c>
      <c r="B169" s="10" t="s">
        <v>466</v>
      </c>
      <c r="C169" s="11" t="s">
        <v>458</v>
      </c>
      <c r="D169" s="14" t="s">
        <v>465</v>
      </c>
      <c r="E169" s="207"/>
      <c r="F169" s="207"/>
      <c r="G169" s="71">
        <f t="shared" si="43"/>
        <v>0</v>
      </c>
      <c r="H169" s="71">
        <f t="shared" si="44"/>
        <v>0</v>
      </c>
      <c r="I169" s="71">
        <f t="shared" si="45"/>
        <v>0</v>
      </c>
    </row>
    <row r="170" spans="1:9" ht="20.149999999999999" customHeight="1">
      <c r="A170" s="26">
        <v>36</v>
      </c>
      <c r="B170" s="13" t="s">
        <v>467</v>
      </c>
      <c r="C170" s="11" t="s">
        <v>458</v>
      </c>
      <c r="D170" s="14" t="s">
        <v>465</v>
      </c>
      <c r="E170" s="207"/>
      <c r="F170" s="207"/>
      <c r="G170" s="71">
        <f t="shared" si="43"/>
        <v>0</v>
      </c>
      <c r="H170" s="71">
        <f t="shared" si="44"/>
        <v>0</v>
      </c>
      <c r="I170" s="71">
        <f t="shared" si="45"/>
        <v>0</v>
      </c>
    </row>
    <row r="171" spans="1:9" ht="20.149999999999999" customHeight="1">
      <c r="A171" s="26">
        <v>37</v>
      </c>
      <c r="B171" s="10" t="s">
        <v>468</v>
      </c>
      <c r="C171" s="11" t="s">
        <v>458</v>
      </c>
      <c r="D171" s="14" t="s">
        <v>465</v>
      </c>
      <c r="E171" s="207"/>
      <c r="F171" s="207"/>
      <c r="G171" s="71">
        <f t="shared" si="43"/>
        <v>0</v>
      </c>
      <c r="H171" s="71">
        <f t="shared" si="44"/>
        <v>0</v>
      </c>
      <c r="I171" s="71">
        <f t="shared" si="45"/>
        <v>0</v>
      </c>
    </row>
    <row r="172" spans="1:9" ht="20.149999999999999" customHeight="1">
      <c r="A172" s="26">
        <v>38</v>
      </c>
      <c r="B172" s="17" t="s">
        <v>469</v>
      </c>
      <c r="C172" s="11" t="s">
        <v>458</v>
      </c>
      <c r="D172" s="14" t="s">
        <v>465</v>
      </c>
      <c r="E172" s="207"/>
      <c r="F172" s="207"/>
      <c r="G172" s="71">
        <f t="shared" si="43"/>
        <v>0</v>
      </c>
      <c r="H172" s="71">
        <f t="shared" si="44"/>
        <v>0</v>
      </c>
      <c r="I172" s="71">
        <f t="shared" si="45"/>
        <v>0</v>
      </c>
    </row>
    <row r="173" spans="1:9" ht="20.149999999999999" customHeight="1">
      <c r="A173" s="26">
        <v>39</v>
      </c>
      <c r="B173" s="17" t="s">
        <v>470</v>
      </c>
      <c r="C173" s="11" t="s">
        <v>458</v>
      </c>
      <c r="D173" s="14" t="s">
        <v>465</v>
      </c>
      <c r="E173" s="207"/>
      <c r="F173" s="207"/>
      <c r="G173" s="71">
        <f t="shared" si="43"/>
        <v>0</v>
      </c>
      <c r="H173" s="71">
        <f t="shared" si="44"/>
        <v>0</v>
      </c>
      <c r="I173" s="71">
        <f t="shared" si="45"/>
        <v>0</v>
      </c>
    </row>
    <row r="174" spans="1:9" ht="20.149999999999999" customHeight="1">
      <c r="A174" s="26">
        <v>40</v>
      </c>
      <c r="B174" s="10" t="s">
        <v>471</v>
      </c>
      <c r="C174" s="11" t="s">
        <v>472</v>
      </c>
      <c r="D174" s="14" t="s">
        <v>473</v>
      </c>
      <c r="E174" s="71"/>
      <c r="F174" s="71"/>
      <c r="G174" s="71">
        <f t="shared" si="43"/>
        <v>0</v>
      </c>
      <c r="H174" s="71">
        <f t="shared" si="44"/>
        <v>0</v>
      </c>
      <c r="I174" s="71">
        <f t="shared" si="45"/>
        <v>0</v>
      </c>
    </row>
    <row r="175" spans="1:9" ht="20.149999999999999" customHeight="1">
      <c r="A175" s="26">
        <v>41</v>
      </c>
      <c r="B175" s="10" t="s">
        <v>474</v>
      </c>
      <c r="C175" s="11" t="s">
        <v>472</v>
      </c>
      <c r="D175" s="14" t="s">
        <v>473</v>
      </c>
      <c r="E175" s="71"/>
      <c r="F175" s="71"/>
      <c r="G175" s="71">
        <f t="shared" si="43"/>
        <v>0</v>
      </c>
      <c r="H175" s="71">
        <f t="shared" si="44"/>
        <v>0</v>
      </c>
      <c r="I175" s="71">
        <f t="shared" si="45"/>
        <v>0</v>
      </c>
    </row>
    <row r="176" spans="1:9" ht="20.149999999999999" customHeight="1">
      <c r="A176" s="26">
        <v>42</v>
      </c>
      <c r="B176" s="17" t="s">
        <v>475</v>
      </c>
      <c r="C176" s="11" t="s">
        <v>472</v>
      </c>
      <c r="D176" s="14" t="s">
        <v>476</v>
      </c>
      <c r="E176" s="71"/>
      <c r="F176" s="71"/>
      <c r="G176" s="71">
        <f t="shared" si="43"/>
        <v>0</v>
      </c>
      <c r="H176" s="71">
        <f t="shared" si="44"/>
        <v>0</v>
      </c>
      <c r="I176" s="71">
        <f t="shared" si="45"/>
        <v>0</v>
      </c>
    </row>
    <row r="177" spans="1:9" ht="20.149999999999999" customHeight="1">
      <c r="A177" s="26">
        <v>43</v>
      </c>
      <c r="B177" s="10" t="s">
        <v>477</v>
      </c>
      <c r="C177" s="11" t="s">
        <v>478</v>
      </c>
      <c r="D177" s="14" t="s">
        <v>479</v>
      </c>
      <c r="E177" s="71"/>
      <c r="F177" s="71"/>
      <c r="G177" s="71">
        <f t="shared" si="43"/>
        <v>0</v>
      </c>
      <c r="H177" s="71">
        <f t="shared" si="44"/>
        <v>0</v>
      </c>
      <c r="I177" s="71">
        <f t="shared" si="45"/>
        <v>0</v>
      </c>
    </row>
    <row r="178" spans="1:9" ht="20.149999999999999" customHeight="1">
      <c r="A178" s="26">
        <v>44</v>
      </c>
      <c r="B178" s="10" t="s">
        <v>480</v>
      </c>
      <c r="C178" s="11" t="s">
        <v>481</v>
      </c>
      <c r="D178" s="14" t="s">
        <v>482</v>
      </c>
      <c r="E178" s="71"/>
      <c r="F178" s="71"/>
      <c r="G178" s="71">
        <f t="shared" si="43"/>
        <v>0</v>
      </c>
      <c r="H178" s="71">
        <f t="shared" si="44"/>
        <v>0</v>
      </c>
      <c r="I178" s="71">
        <f t="shared" si="45"/>
        <v>0</v>
      </c>
    </row>
    <row r="179" spans="1:9" ht="20.149999999999999" customHeight="1">
      <c r="A179" s="26">
        <v>45</v>
      </c>
      <c r="B179" s="10" t="s">
        <v>483</v>
      </c>
      <c r="C179" s="11" t="s">
        <v>481</v>
      </c>
      <c r="D179" s="14" t="s">
        <v>482</v>
      </c>
      <c r="E179" s="71"/>
      <c r="F179" s="71"/>
      <c r="G179" s="71">
        <f t="shared" si="43"/>
        <v>0</v>
      </c>
      <c r="H179" s="71">
        <f t="shared" si="44"/>
        <v>0</v>
      </c>
      <c r="I179" s="71">
        <f t="shared" si="45"/>
        <v>0</v>
      </c>
    </row>
    <row r="180" spans="1:9" ht="20.149999999999999" customHeight="1">
      <c r="A180" s="26">
        <v>46</v>
      </c>
      <c r="B180" s="10" t="s">
        <v>484</v>
      </c>
      <c r="C180" s="11" t="s">
        <v>481</v>
      </c>
      <c r="D180" s="14" t="s">
        <v>482</v>
      </c>
      <c r="E180" s="71"/>
      <c r="F180" s="71"/>
      <c r="G180" s="71">
        <f t="shared" si="43"/>
        <v>0</v>
      </c>
      <c r="H180" s="71">
        <f t="shared" si="44"/>
        <v>0</v>
      </c>
      <c r="I180" s="71">
        <f t="shared" si="45"/>
        <v>0</v>
      </c>
    </row>
    <row r="181" spans="1:9" ht="20.149999999999999" customHeight="1">
      <c r="A181" s="26">
        <v>47</v>
      </c>
      <c r="B181" s="10" t="s">
        <v>485</v>
      </c>
      <c r="C181" s="11" t="s">
        <v>481</v>
      </c>
      <c r="D181" s="14" t="s">
        <v>482</v>
      </c>
      <c r="E181" s="71"/>
      <c r="F181" s="71"/>
      <c r="G181" s="71">
        <f t="shared" si="43"/>
        <v>0</v>
      </c>
      <c r="H181" s="71">
        <f t="shared" si="44"/>
        <v>0</v>
      </c>
      <c r="I181" s="71">
        <f t="shared" si="45"/>
        <v>0</v>
      </c>
    </row>
    <row r="182" spans="1:9" ht="20.149999999999999" customHeight="1">
      <c r="A182" s="26">
        <v>48</v>
      </c>
      <c r="B182" s="10" t="s">
        <v>486</v>
      </c>
      <c r="C182" s="11" t="s">
        <v>481</v>
      </c>
      <c r="D182" s="14" t="s">
        <v>482</v>
      </c>
      <c r="E182" s="71"/>
      <c r="F182" s="71"/>
      <c r="G182" s="71">
        <f t="shared" si="43"/>
        <v>0</v>
      </c>
      <c r="H182" s="71">
        <f t="shared" si="44"/>
        <v>0</v>
      </c>
      <c r="I182" s="71">
        <f t="shared" si="45"/>
        <v>0</v>
      </c>
    </row>
    <row r="183" spans="1:9" ht="20.149999999999999" customHeight="1">
      <c r="A183" s="26">
        <v>49</v>
      </c>
      <c r="B183" s="17" t="s">
        <v>487</v>
      </c>
      <c r="C183" s="11" t="s">
        <v>481</v>
      </c>
      <c r="D183" s="14" t="s">
        <v>482</v>
      </c>
      <c r="E183" s="71"/>
      <c r="F183" s="71"/>
      <c r="G183" s="71">
        <f t="shared" si="43"/>
        <v>0</v>
      </c>
      <c r="H183" s="71">
        <f t="shared" si="44"/>
        <v>0</v>
      </c>
      <c r="I183" s="71">
        <f t="shared" si="45"/>
        <v>0</v>
      </c>
    </row>
    <row r="184" spans="1:9" ht="20.149999999999999" customHeight="1">
      <c r="A184" s="26">
        <v>50</v>
      </c>
      <c r="B184" s="17" t="s">
        <v>488</v>
      </c>
      <c r="C184" s="11" t="s">
        <v>481</v>
      </c>
      <c r="D184" s="14" t="s">
        <v>482</v>
      </c>
      <c r="E184" s="71"/>
      <c r="F184" s="71"/>
      <c r="G184" s="71">
        <f t="shared" si="43"/>
        <v>0</v>
      </c>
      <c r="H184" s="71">
        <f t="shared" si="44"/>
        <v>0</v>
      </c>
      <c r="I184" s="71">
        <f t="shared" si="45"/>
        <v>0</v>
      </c>
    </row>
    <row r="185" spans="1:9" ht="20.149999999999999" customHeight="1">
      <c r="A185" s="26">
        <v>51</v>
      </c>
      <c r="B185" s="10" t="s">
        <v>489</v>
      </c>
      <c r="C185" s="11" t="s">
        <v>478</v>
      </c>
      <c r="D185" s="14" t="s">
        <v>482</v>
      </c>
      <c r="E185" s="71"/>
      <c r="F185" s="71"/>
      <c r="G185" s="71">
        <f t="shared" si="43"/>
        <v>0</v>
      </c>
      <c r="H185" s="71">
        <f t="shared" si="44"/>
        <v>0</v>
      </c>
      <c r="I185" s="71">
        <f t="shared" si="45"/>
        <v>0</v>
      </c>
    </row>
    <row r="186" spans="1:9" ht="20.149999999999999" customHeight="1">
      <c r="A186" s="26">
        <v>52</v>
      </c>
      <c r="B186" s="10" t="s">
        <v>490</v>
      </c>
      <c r="C186" s="11" t="s">
        <v>478</v>
      </c>
      <c r="D186" s="14" t="s">
        <v>482</v>
      </c>
      <c r="E186" s="71"/>
      <c r="F186" s="71"/>
      <c r="G186" s="71">
        <f t="shared" si="43"/>
        <v>0</v>
      </c>
      <c r="H186" s="71">
        <f t="shared" si="44"/>
        <v>0</v>
      </c>
      <c r="I186" s="71">
        <f t="shared" si="45"/>
        <v>0</v>
      </c>
    </row>
    <row r="187" spans="1:9" ht="20.149999999999999" customHeight="1">
      <c r="A187" s="26">
        <v>53</v>
      </c>
      <c r="B187" s="17" t="s">
        <v>491</v>
      </c>
      <c r="C187" s="11" t="s">
        <v>172</v>
      </c>
      <c r="D187" s="14" t="s">
        <v>492</v>
      </c>
      <c r="E187" s="71"/>
      <c r="F187" s="71"/>
      <c r="G187" s="71">
        <f t="shared" si="43"/>
        <v>0</v>
      </c>
      <c r="H187" s="71">
        <f t="shared" si="44"/>
        <v>0</v>
      </c>
      <c r="I187" s="71">
        <f t="shared" si="45"/>
        <v>0</v>
      </c>
    </row>
    <row r="188" spans="1:9" ht="20.149999999999999" customHeight="1">
      <c r="A188" s="26">
        <v>54</v>
      </c>
      <c r="B188" s="17" t="s">
        <v>493</v>
      </c>
      <c r="C188" s="11" t="s">
        <v>481</v>
      </c>
      <c r="D188" s="14" t="s">
        <v>494</v>
      </c>
      <c r="E188" s="201"/>
      <c r="F188" s="201"/>
      <c r="G188" s="71">
        <f t="shared" si="43"/>
        <v>0</v>
      </c>
      <c r="H188" s="71">
        <f t="shared" si="44"/>
        <v>0</v>
      </c>
      <c r="I188" s="71">
        <f t="shared" si="45"/>
        <v>0</v>
      </c>
    </row>
    <row r="189" spans="1:9" ht="20.149999999999999" customHeight="1">
      <c r="A189" s="26">
        <v>55</v>
      </c>
      <c r="B189" s="17" t="s">
        <v>495</v>
      </c>
      <c r="C189" s="11" t="s">
        <v>496</v>
      </c>
      <c r="D189" s="14" t="s">
        <v>497</v>
      </c>
      <c r="E189" s="71"/>
      <c r="F189" s="71"/>
      <c r="G189" s="71">
        <f t="shared" si="43"/>
        <v>0</v>
      </c>
      <c r="H189" s="71">
        <f t="shared" si="44"/>
        <v>0</v>
      </c>
      <c r="I189" s="71">
        <f t="shared" si="45"/>
        <v>0</v>
      </c>
    </row>
    <row r="190" spans="1:9" ht="20.149999999999999" customHeight="1">
      <c r="A190" s="26">
        <v>56</v>
      </c>
      <c r="B190" s="17" t="s">
        <v>498</v>
      </c>
      <c r="C190" s="11" t="s">
        <v>496</v>
      </c>
      <c r="D190" s="14" t="s">
        <v>497</v>
      </c>
      <c r="E190" s="71"/>
      <c r="F190" s="71"/>
      <c r="G190" s="71">
        <f t="shared" si="43"/>
        <v>0</v>
      </c>
      <c r="H190" s="71">
        <f t="shared" si="44"/>
        <v>0</v>
      </c>
      <c r="I190" s="71">
        <f t="shared" si="45"/>
        <v>0</v>
      </c>
    </row>
    <row r="191" spans="1:9" ht="20.149999999999999" customHeight="1">
      <c r="A191" s="26">
        <v>57</v>
      </c>
      <c r="B191" s="17" t="s">
        <v>499</v>
      </c>
      <c r="C191" s="11" t="s">
        <v>496</v>
      </c>
      <c r="D191" s="14" t="s">
        <v>497</v>
      </c>
      <c r="E191" s="71"/>
      <c r="F191" s="71"/>
      <c r="G191" s="71">
        <f t="shared" si="43"/>
        <v>0</v>
      </c>
      <c r="H191" s="71">
        <f t="shared" si="44"/>
        <v>0</v>
      </c>
      <c r="I191" s="71">
        <f t="shared" si="45"/>
        <v>0</v>
      </c>
    </row>
    <row r="192" spans="1:9" ht="20.149999999999999" customHeight="1">
      <c r="A192" s="26">
        <v>58</v>
      </c>
      <c r="B192" s="17" t="s">
        <v>500</v>
      </c>
      <c r="C192" s="11" t="s">
        <v>501</v>
      </c>
      <c r="D192" s="14" t="s">
        <v>502</v>
      </c>
      <c r="E192" s="71"/>
      <c r="F192" s="71"/>
      <c r="G192" s="71">
        <f t="shared" si="43"/>
        <v>0</v>
      </c>
      <c r="H192" s="71">
        <f t="shared" si="44"/>
        <v>0</v>
      </c>
      <c r="I192" s="71">
        <f t="shared" si="45"/>
        <v>0</v>
      </c>
    </row>
    <row r="193" spans="1:10" ht="20.149999999999999" customHeight="1">
      <c r="A193" s="26">
        <v>59</v>
      </c>
      <c r="B193" s="17" t="s">
        <v>503</v>
      </c>
      <c r="C193" s="11" t="s">
        <v>501</v>
      </c>
      <c r="D193" s="14" t="s">
        <v>502</v>
      </c>
      <c r="E193" s="71"/>
      <c r="F193" s="71"/>
      <c r="G193" s="71">
        <f t="shared" si="43"/>
        <v>0</v>
      </c>
      <c r="H193" s="71">
        <f t="shared" si="44"/>
        <v>0</v>
      </c>
      <c r="I193" s="71">
        <f t="shared" si="45"/>
        <v>0</v>
      </c>
    </row>
    <row r="194" spans="1:10" ht="20.149999999999999" customHeight="1">
      <c r="A194" s="26"/>
      <c r="B194" s="7" t="s">
        <v>34</v>
      </c>
      <c r="C194" s="27" t="s">
        <v>504</v>
      </c>
      <c r="D194" s="28"/>
      <c r="E194" s="79">
        <f>SUM(E135:E193)</f>
        <v>27985176</v>
      </c>
      <c r="F194" s="79">
        <f>SUM(F135:F193)</f>
        <v>2332098</v>
      </c>
      <c r="G194" s="79">
        <f t="shared" ref="G194:I194" si="46">SUM(G135:G193)</f>
        <v>58302.45</v>
      </c>
      <c r="H194" s="79">
        <f t="shared" si="46"/>
        <v>6347.2330000000002</v>
      </c>
      <c r="I194" s="79">
        <f t="shared" si="46"/>
        <v>51955.216999999997</v>
      </c>
    </row>
    <row r="195" spans="1:10" ht="19.5" customHeight="1">
      <c r="A195" s="3"/>
      <c r="B195" s="29" t="s">
        <v>80</v>
      </c>
      <c r="C195" s="30">
        <f>C35+C41+C55+C60+C73+C83+C96+C103+C113+C132+C194</f>
        <v>153</v>
      </c>
      <c r="D195" s="31"/>
      <c r="E195" s="208">
        <f>E194+E132+E119+E113+E103+E96+E83+E73+E60+E55+E41+E35</f>
        <v>110549745</v>
      </c>
      <c r="F195" s="208">
        <f>F194+F132+F119+F113+F103+F96+F83+F73+F60+F55+F41+F35</f>
        <v>9212478.75</v>
      </c>
      <c r="G195" s="208">
        <f t="shared" ref="G195:I195" si="47">G194+G132+G119+G113+G103+G96+G83+G73+G60+G55+G41+G35</f>
        <v>230311.96875</v>
      </c>
      <c r="H195" s="208">
        <f t="shared" si="47"/>
        <v>23031.313750000001</v>
      </c>
      <c r="I195" s="208">
        <f t="shared" si="47"/>
        <v>207280.655</v>
      </c>
      <c r="J195" s="34"/>
    </row>
    <row r="196" spans="1:10" ht="20.149999999999999" customHeight="1">
      <c r="A196" s="2"/>
      <c r="B196" s="32"/>
      <c r="C196" s="2"/>
      <c r="D196" s="33"/>
      <c r="E196" s="33"/>
      <c r="F196" s="33"/>
      <c r="G196" s="33"/>
      <c r="H196" s="34"/>
    </row>
    <row r="197" spans="1:10" ht="36.75" customHeight="1">
      <c r="A197" s="2"/>
      <c r="B197" s="32"/>
      <c r="C197" s="33"/>
      <c r="D197" s="33"/>
      <c r="E197" s="33"/>
      <c r="F197" s="33"/>
      <c r="G197" s="33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589" t="s">
        <v>535</v>
      </c>
      <c r="E1" s="589" t="s">
        <v>14</v>
      </c>
      <c r="F1" s="590"/>
      <c r="G1" s="590"/>
    </row>
    <row r="2" spans="1:7" ht="36" customHeight="1">
      <c r="A2" s="17" t="s">
        <v>292</v>
      </c>
      <c r="B2" s="11" t="s">
        <v>293</v>
      </c>
      <c r="C2" s="591" t="s">
        <v>31</v>
      </c>
      <c r="D2" s="589">
        <f>'[5]JANUARY 2024'!$R$33</f>
        <v>173329.04949999999</v>
      </c>
      <c r="E2" s="589">
        <f>'[5]JANUARY 2024'!$W$33</f>
        <v>16512.682190666699</v>
      </c>
      <c r="F2" s="590"/>
      <c r="G2" s="590"/>
    </row>
    <row r="3" spans="1:7" ht="36">
      <c r="A3" s="17" t="s">
        <v>292</v>
      </c>
      <c r="B3" s="11" t="s">
        <v>293</v>
      </c>
      <c r="C3" s="591" t="s">
        <v>294</v>
      </c>
      <c r="D3" s="589">
        <f>'[5]JANUARY 2024'!$R$38</f>
        <v>176816.1</v>
      </c>
      <c r="E3" s="589">
        <f>'[5]JANUARY 2024'!$W$38</f>
        <v>17042.713866666702</v>
      </c>
      <c r="F3" s="590"/>
      <c r="G3" s="590"/>
    </row>
    <row r="4" spans="1:7" ht="25.5" customHeight="1">
      <c r="A4" s="272" t="s">
        <v>520</v>
      </c>
      <c r="D4" s="589">
        <f>D3-D2</f>
        <v>3487.0504999999798</v>
      </c>
      <c r="E4" s="589">
        <f>E3-E2</f>
        <v>530.03167599999097</v>
      </c>
      <c r="F4" s="592">
        <f>D4-E4</f>
        <v>2957.0188239999902</v>
      </c>
      <c r="G4" s="590"/>
    </row>
    <row r="5" spans="1:7" ht="15.5">
      <c r="D5" s="590"/>
      <c r="E5" s="590"/>
      <c r="F5" s="590"/>
      <c r="G5" s="590"/>
    </row>
    <row r="6" spans="1:7" ht="15.5">
      <c r="D6" s="590"/>
      <c r="E6" s="590"/>
      <c r="F6" s="590"/>
      <c r="G6" s="590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38.7265625" style="1" customWidth="1"/>
    <col min="4" max="4" width="11.54296875" style="1" customWidth="1"/>
    <col min="5" max="5" width="19.54296875" style="1" customWidth="1"/>
    <col min="6" max="16384" width="9.1796875" style="1"/>
  </cols>
  <sheetData>
    <row r="1" spans="1:5" ht="27" customHeight="1">
      <c r="A1" s="785" t="s">
        <v>0</v>
      </c>
      <c r="B1" s="785"/>
      <c r="C1" s="785"/>
      <c r="D1" s="785"/>
      <c r="E1" s="785"/>
    </row>
    <row r="2" spans="1:5" ht="33.75" customHeight="1">
      <c r="A2" s="588" t="s">
        <v>536</v>
      </c>
      <c r="B2" s="63"/>
      <c r="C2" s="62"/>
      <c r="D2" s="62"/>
      <c r="E2" s="197"/>
    </row>
    <row r="3" spans="1:5" ht="9.75" customHeight="1">
      <c r="A3" s="2"/>
      <c r="B3" s="2"/>
      <c r="C3" s="2"/>
      <c r="D3" s="2"/>
      <c r="E3" s="198" t="e">
        <f>'[1]FEB 08'!E11/'[1]FEB 08'!M11</f>
        <v>#REF!</v>
      </c>
    </row>
    <row r="4" spans="1:5" ht="40.5" customHeight="1">
      <c r="A4" s="3"/>
      <c r="B4" s="4" t="s">
        <v>2</v>
      </c>
      <c r="C4" s="5" t="s">
        <v>3</v>
      </c>
      <c r="D4" s="6" t="s">
        <v>4</v>
      </c>
      <c r="E4" s="336" t="s">
        <v>134</v>
      </c>
    </row>
    <row r="5" spans="1:5" ht="17.25" customHeight="1">
      <c r="C5" s="7"/>
      <c r="D5" s="7"/>
      <c r="E5" s="337" t="s">
        <v>20</v>
      </c>
    </row>
    <row r="6" spans="1:5" ht="20.149999999999999" customHeight="1">
      <c r="A6" s="8" t="s">
        <v>21</v>
      </c>
      <c r="B6" s="7" t="s">
        <v>22</v>
      </c>
      <c r="C6" s="7"/>
      <c r="D6" s="7"/>
      <c r="E6" s="68"/>
    </row>
    <row r="7" spans="1:5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71">
        <v>540000</v>
      </c>
    </row>
    <row r="8" spans="1:5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71">
        <v>180000</v>
      </c>
    </row>
    <row r="9" spans="1:5" ht="20.149999999999999" customHeight="1">
      <c r="A9" s="9">
        <v>3</v>
      </c>
      <c r="B9" s="13" t="s">
        <v>241</v>
      </c>
      <c r="C9" s="3" t="s">
        <v>242</v>
      </c>
      <c r="D9" s="9" t="s">
        <v>234</v>
      </c>
      <c r="E9" s="71">
        <v>180000</v>
      </c>
    </row>
    <row r="10" spans="1:5" ht="20.149999999999999" customHeight="1">
      <c r="A10" s="9">
        <v>4</v>
      </c>
      <c r="B10" s="10" t="s">
        <v>243</v>
      </c>
      <c r="C10" s="16" t="s">
        <v>244</v>
      </c>
      <c r="D10" s="9" t="s">
        <v>234</v>
      </c>
      <c r="E10" s="71">
        <v>180000</v>
      </c>
    </row>
    <row r="11" spans="1:5" ht="20.149999999999999" customHeight="1">
      <c r="A11" s="9">
        <v>5</v>
      </c>
      <c r="B11" s="13" t="s">
        <v>245</v>
      </c>
      <c r="C11" s="3" t="s">
        <v>246</v>
      </c>
      <c r="D11" s="9" t="s">
        <v>234</v>
      </c>
      <c r="E11" s="71">
        <v>180000</v>
      </c>
    </row>
    <row r="12" spans="1:5" ht="20.149999999999999" customHeight="1">
      <c r="A12" s="9">
        <v>6</v>
      </c>
      <c r="B12" s="17" t="s">
        <v>232</v>
      </c>
      <c r="C12" s="9" t="s">
        <v>233</v>
      </c>
      <c r="D12" s="9" t="s">
        <v>234</v>
      </c>
      <c r="E12" s="71">
        <v>180000</v>
      </c>
    </row>
    <row r="13" spans="1:5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71">
        <v>126000</v>
      </c>
    </row>
    <row r="14" spans="1:5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71">
        <v>126000</v>
      </c>
    </row>
    <row r="15" spans="1:5" ht="20.149999999999999" customHeight="1">
      <c r="A15" s="9">
        <v>9</v>
      </c>
      <c r="B15" s="10" t="s">
        <v>252</v>
      </c>
      <c r="C15" s="3" t="s">
        <v>253</v>
      </c>
      <c r="D15" s="14" t="s">
        <v>254</v>
      </c>
      <c r="E15" s="71">
        <v>90000</v>
      </c>
    </row>
    <row r="16" spans="1:5" ht="20.149999999999999" customHeight="1">
      <c r="A16" s="9">
        <v>10</v>
      </c>
      <c r="B16" s="13" t="s">
        <v>255</v>
      </c>
      <c r="C16" s="16" t="s">
        <v>256</v>
      </c>
      <c r="D16" s="14" t="s">
        <v>257</v>
      </c>
      <c r="E16" s="71">
        <v>90000</v>
      </c>
    </row>
    <row r="17" spans="1:5" ht="20.149999999999999" customHeight="1">
      <c r="A17" s="9">
        <v>11</v>
      </c>
      <c r="B17" s="10" t="s">
        <v>258</v>
      </c>
      <c r="C17" s="3" t="s">
        <v>259</v>
      </c>
      <c r="D17" s="9" t="s">
        <v>260</v>
      </c>
      <c r="E17" s="71">
        <v>90000</v>
      </c>
    </row>
    <row r="18" spans="1:5" ht="20.149999999999999" customHeight="1">
      <c r="A18" s="9">
        <v>12</v>
      </c>
      <c r="B18" s="10" t="s">
        <v>261</v>
      </c>
      <c r="C18" s="3" t="s">
        <v>262</v>
      </c>
      <c r="D18" s="9" t="s">
        <v>263</v>
      </c>
      <c r="E18" s="71">
        <v>90000</v>
      </c>
    </row>
    <row r="19" spans="1:5" ht="20.149999999999999" customHeight="1">
      <c r="A19" s="9">
        <v>13</v>
      </c>
      <c r="B19" s="10" t="s">
        <v>264</v>
      </c>
      <c r="C19" s="11" t="s">
        <v>265</v>
      </c>
      <c r="D19" s="14" t="s">
        <v>266</v>
      </c>
      <c r="E19" s="71">
        <v>90000</v>
      </c>
    </row>
    <row r="20" spans="1:5" ht="20.149999999999999" customHeight="1">
      <c r="A20" s="9">
        <v>14</v>
      </c>
      <c r="B20" s="17" t="s">
        <v>267</v>
      </c>
      <c r="C20" s="3" t="s">
        <v>268</v>
      </c>
      <c r="D20" s="14" t="s">
        <v>269</v>
      </c>
      <c r="E20" s="71">
        <v>90000</v>
      </c>
    </row>
    <row r="21" spans="1:5" ht="18.75" customHeight="1">
      <c r="A21" s="9">
        <v>15</v>
      </c>
      <c r="B21" s="10" t="s">
        <v>270</v>
      </c>
      <c r="C21" s="11" t="s">
        <v>50</v>
      </c>
      <c r="D21" s="14" t="s">
        <v>271</v>
      </c>
      <c r="E21" s="71">
        <v>68000</v>
      </c>
    </row>
    <row r="22" spans="1:5" ht="20.149999999999999" customHeight="1">
      <c r="A22" s="9">
        <v>16</v>
      </c>
      <c r="B22" s="13" t="s">
        <v>272</v>
      </c>
      <c r="C22" s="16" t="s">
        <v>273</v>
      </c>
      <c r="D22" s="9" t="s">
        <v>42</v>
      </c>
      <c r="E22" s="71">
        <v>68000</v>
      </c>
    </row>
    <row r="23" spans="1:5" ht="21.65" customHeight="1">
      <c r="A23" s="9">
        <v>17</v>
      </c>
      <c r="B23" s="10" t="s">
        <v>274</v>
      </c>
      <c r="C23" s="16" t="s">
        <v>275</v>
      </c>
      <c r="D23" s="14" t="s">
        <v>42</v>
      </c>
      <c r="E23" s="71">
        <v>68000</v>
      </c>
    </row>
    <row r="24" spans="1:5" ht="20.149999999999999" customHeight="1">
      <c r="A24" s="9">
        <v>18</v>
      </c>
      <c r="B24" s="13" t="s">
        <v>276</v>
      </c>
      <c r="C24" s="16" t="s">
        <v>277</v>
      </c>
      <c r="D24" s="9" t="s">
        <v>38</v>
      </c>
      <c r="E24" s="71">
        <v>68000</v>
      </c>
    </row>
    <row r="25" spans="1:5" ht="18.75" customHeight="1">
      <c r="A25" s="9">
        <v>19</v>
      </c>
      <c r="B25" s="3" t="s">
        <v>278</v>
      </c>
      <c r="C25" s="3" t="s">
        <v>176</v>
      </c>
      <c r="D25" s="9" t="s">
        <v>279</v>
      </c>
      <c r="E25" s="71">
        <v>54000</v>
      </c>
    </row>
    <row r="26" spans="1:5" ht="18.75" customHeight="1">
      <c r="A26" s="9">
        <v>20</v>
      </c>
      <c r="B26" s="17" t="s">
        <v>280</v>
      </c>
      <c r="C26" s="11" t="s">
        <v>176</v>
      </c>
      <c r="D26" s="14" t="s">
        <v>279</v>
      </c>
      <c r="E26" s="71">
        <v>54000</v>
      </c>
    </row>
    <row r="27" spans="1:5" ht="20.149999999999999" customHeight="1">
      <c r="A27" s="9">
        <v>21</v>
      </c>
      <c r="B27" s="10" t="s">
        <v>281</v>
      </c>
      <c r="C27" s="16" t="s">
        <v>273</v>
      </c>
      <c r="D27" s="9" t="s">
        <v>279</v>
      </c>
      <c r="E27" s="71">
        <v>54000</v>
      </c>
    </row>
    <row r="28" spans="1:5" ht="18.75" customHeight="1">
      <c r="A28" s="9">
        <v>22</v>
      </c>
      <c r="B28" s="17" t="s">
        <v>282</v>
      </c>
      <c r="C28" s="11" t="s">
        <v>28</v>
      </c>
      <c r="D28" s="14" t="s">
        <v>283</v>
      </c>
      <c r="E28" s="71">
        <v>54000</v>
      </c>
    </row>
    <row r="29" spans="1:5" ht="18.75" customHeight="1">
      <c r="A29" s="9">
        <v>23</v>
      </c>
      <c r="B29" s="17" t="s">
        <v>284</v>
      </c>
      <c r="C29" s="3" t="s">
        <v>285</v>
      </c>
      <c r="D29" s="9" t="s">
        <v>25</v>
      </c>
      <c r="E29" s="71">
        <v>54000</v>
      </c>
    </row>
    <row r="30" spans="1:5" ht="18.75" customHeight="1">
      <c r="A30" s="9">
        <v>24</v>
      </c>
      <c r="B30" s="17" t="s">
        <v>286</v>
      </c>
      <c r="C30" s="3" t="s">
        <v>285</v>
      </c>
      <c r="D30" s="9" t="s">
        <v>25</v>
      </c>
      <c r="E30" s="71">
        <v>54000</v>
      </c>
    </row>
    <row r="31" spans="1:5" ht="18.75" customHeight="1">
      <c r="A31" s="9">
        <v>25</v>
      </c>
      <c r="B31" s="17" t="s">
        <v>287</v>
      </c>
      <c r="C31" s="16" t="s">
        <v>288</v>
      </c>
      <c r="D31" s="14" t="s">
        <v>279</v>
      </c>
      <c r="E31" s="71">
        <v>54000</v>
      </c>
    </row>
    <row r="32" spans="1:5" ht="18.75" customHeight="1">
      <c r="A32" s="9">
        <v>26</v>
      </c>
      <c r="B32" s="17" t="s">
        <v>289</v>
      </c>
      <c r="C32" s="3" t="s">
        <v>290</v>
      </c>
      <c r="D32" s="9" t="s">
        <v>291</v>
      </c>
      <c r="E32" s="71">
        <v>54000</v>
      </c>
    </row>
    <row r="33" spans="1:5" ht="18.75" customHeight="1">
      <c r="A33" s="9">
        <v>27</v>
      </c>
      <c r="B33" s="17" t="s">
        <v>292</v>
      </c>
      <c r="C33" s="11" t="s">
        <v>293</v>
      </c>
      <c r="D33" s="14" t="s">
        <v>294</v>
      </c>
      <c r="E33" s="71">
        <v>54000</v>
      </c>
    </row>
    <row r="34" spans="1:5" ht="26.25" customHeight="1">
      <c r="A34" s="9"/>
      <c r="B34" s="19" t="s">
        <v>34</v>
      </c>
      <c r="C34" s="20">
        <v>27</v>
      </c>
      <c r="D34" s="14"/>
      <c r="E34" s="202">
        <f>SUM(E7:E33)</f>
        <v>2990000</v>
      </c>
    </row>
    <row r="35" spans="1:5" ht="18.75" customHeight="1">
      <c r="A35" s="9"/>
      <c r="B35" s="21"/>
      <c r="C35" s="3"/>
      <c r="D35" s="14"/>
      <c r="E35" s="202"/>
    </row>
    <row r="36" spans="1:5" ht="18.75" customHeight="1">
      <c r="A36" s="9"/>
      <c r="B36" s="19" t="s">
        <v>35</v>
      </c>
      <c r="C36" s="3"/>
      <c r="D36" s="14"/>
      <c r="E36" s="71"/>
    </row>
    <row r="37" spans="1:5" ht="18.75" customHeight="1">
      <c r="A37" s="9">
        <v>1</v>
      </c>
      <c r="B37" s="17" t="s">
        <v>295</v>
      </c>
      <c r="C37" s="3" t="s">
        <v>296</v>
      </c>
      <c r="D37" s="9" t="s">
        <v>297</v>
      </c>
      <c r="E37" s="71">
        <v>270000</v>
      </c>
    </row>
    <row r="38" spans="1:5" ht="18.75" customHeight="1">
      <c r="A38" s="9">
        <v>2</v>
      </c>
      <c r="B38" s="17" t="s">
        <v>298</v>
      </c>
      <c r="C38" s="3" t="s">
        <v>537</v>
      </c>
      <c r="D38" s="9" t="s">
        <v>38</v>
      </c>
      <c r="E38" s="71">
        <v>68000</v>
      </c>
    </row>
    <row r="39" spans="1:5" ht="18.75" customHeight="1">
      <c r="A39" s="9">
        <v>3</v>
      </c>
      <c r="B39" s="10" t="s">
        <v>300</v>
      </c>
      <c r="C39" s="11" t="s">
        <v>534</v>
      </c>
      <c r="D39" s="14" t="s">
        <v>301</v>
      </c>
      <c r="E39" s="71">
        <v>68000</v>
      </c>
    </row>
    <row r="40" spans="1:5" ht="19.5" customHeight="1">
      <c r="A40" s="9"/>
      <c r="B40" s="13"/>
      <c r="C40" s="20">
        <v>3</v>
      </c>
      <c r="D40" s="9"/>
      <c r="E40" s="202">
        <f>SUM(E37:E39)</f>
        <v>406000</v>
      </c>
    </row>
    <row r="41" spans="1:5" ht="20.149999999999999" customHeight="1">
      <c r="A41" s="9"/>
      <c r="B41" s="13"/>
      <c r="C41" s="3"/>
      <c r="D41" s="9"/>
      <c r="E41" s="202"/>
    </row>
    <row r="42" spans="1:5" ht="20.149999999999999" customHeight="1">
      <c r="A42" s="9"/>
      <c r="B42" s="22" t="s">
        <v>39</v>
      </c>
      <c r="C42" s="4"/>
      <c r="D42" s="23"/>
      <c r="E42" s="202"/>
    </row>
    <row r="43" spans="1:5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71">
        <v>270000</v>
      </c>
    </row>
    <row r="44" spans="1:5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71">
        <v>126000</v>
      </c>
    </row>
    <row r="45" spans="1:5" ht="20.149999999999999" customHeight="1">
      <c r="A45" s="9">
        <v>3</v>
      </c>
      <c r="B45" s="10" t="s">
        <v>306</v>
      </c>
      <c r="C45" s="3" t="s">
        <v>307</v>
      </c>
      <c r="D45" s="9" t="s">
        <v>308</v>
      </c>
      <c r="E45" s="71">
        <v>180000</v>
      </c>
    </row>
    <row r="46" spans="1:5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71">
        <v>126000</v>
      </c>
    </row>
    <row r="47" spans="1:5" ht="20.149999999999999" customHeight="1">
      <c r="A47" s="9">
        <v>5</v>
      </c>
      <c r="B47" s="10" t="s">
        <v>311</v>
      </c>
      <c r="C47" s="3" t="s">
        <v>310</v>
      </c>
      <c r="D47" s="9" t="s">
        <v>249</v>
      </c>
      <c r="E47" s="71">
        <v>126000</v>
      </c>
    </row>
    <row r="48" spans="1:5" ht="20.149999999999999" customHeight="1">
      <c r="A48" s="9">
        <v>6</v>
      </c>
      <c r="B48" s="10" t="s">
        <v>312</v>
      </c>
      <c r="C48" s="3" t="s">
        <v>310</v>
      </c>
      <c r="D48" s="9" t="s">
        <v>228</v>
      </c>
      <c r="E48" s="71">
        <v>126000</v>
      </c>
    </row>
    <row r="49" spans="1:5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71">
        <v>90000</v>
      </c>
    </row>
    <row r="50" spans="1:5" ht="20.149999999999999" customHeight="1">
      <c r="A50" s="9">
        <v>8</v>
      </c>
      <c r="B50" s="10" t="s">
        <v>314</v>
      </c>
      <c r="C50" s="3" t="s">
        <v>63</v>
      </c>
      <c r="D50" s="9" t="s">
        <v>301</v>
      </c>
      <c r="E50" s="71">
        <v>68000</v>
      </c>
    </row>
    <row r="51" spans="1:5" ht="20.149999999999999" customHeight="1">
      <c r="A51" s="9">
        <v>9</v>
      </c>
      <c r="B51" s="10" t="s">
        <v>315</v>
      </c>
      <c r="C51" s="3" t="s">
        <v>63</v>
      </c>
      <c r="D51" s="9" t="s">
        <v>283</v>
      </c>
      <c r="E51" s="71">
        <v>54000</v>
      </c>
    </row>
    <row r="52" spans="1:5" ht="20.149999999999999" customHeight="1">
      <c r="A52" s="9">
        <v>10</v>
      </c>
      <c r="B52" s="10" t="s">
        <v>316</v>
      </c>
      <c r="C52" s="3" t="s">
        <v>63</v>
      </c>
      <c r="D52" s="9" t="s">
        <v>283</v>
      </c>
      <c r="E52" s="71">
        <v>54000</v>
      </c>
    </row>
    <row r="53" spans="1:5" ht="20.149999999999999" customHeight="1">
      <c r="A53" s="9">
        <v>11</v>
      </c>
      <c r="B53" s="10" t="s">
        <v>317</v>
      </c>
      <c r="C53" s="3" t="s">
        <v>63</v>
      </c>
      <c r="D53" s="9" t="s">
        <v>283</v>
      </c>
      <c r="E53" s="71">
        <v>54000</v>
      </c>
    </row>
    <row r="54" spans="1:5" ht="25.5" customHeight="1">
      <c r="A54" s="9"/>
      <c r="B54" s="19" t="s">
        <v>34</v>
      </c>
      <c r="C54" s="20">
        <v>11</v>
      </c>
      <c r="D54" s="20"/>
      <c r="E54" s="79">
        <f>SUM(E43:E53)</f>
        <v>1274000</v>
      </c>
    </row>
    <row r="55" spans="1:5" ht="20.149999999999999" customHeight="1">
      <c r="A55" s="9"/>
      <c r="B55" s="21"/>
      <c r="C55" s="20"/>
      <c r="D55" s="20"/>
      <c r="E55" s="133"/>
    </row>
    <row r="56" spans="1:5" ht="20.149999999999999" customHeight="1">
      <c r="A56" s="9"/>
      <c r="B56" s="19" t="s">
        <v>318</v>
      </c>
      <c r="C56" s="20"/>
      <c r="D56" s="20"/>
      <c r="E56" s="133"/>
    </row>
    <row r="57" spans="1:5" ht="20.149999999999999" customHeight="1">
      <c r="A57" s="9">
        <v>1</v>
      </c>
      <c r="B57" s="10" t="s">
        <v>319</v>
      </c>
      <c r="C57" s="11" t="s">
        <v>320</v>
      </c>
      <c r="D57" s="14" t="s">
        <v>297</v>
      </c>
      <c r="E57" s="71">
        <v>270000</v>
      </c>
    </row>
    <row r="58" spans="1:5" ht="20.149999999999999" customHeight="1">
      <c r="A58" s="9">
        <v>2</v>
      </c>
      <c r="B58" s="10" t="s">
        <v>321</v>
      </c>
      <c r="C58" s="11" t="s">
        <v>322</v>
      </c>
      <c r="D58" s="14" t="s">
        <v>225</v>
      </c>
      <c r="E58" s="71">
        <v>126000</v>
      </c>
    </row>
    <row r="59" spans="1:5" ht="20.149999999999999" customHeight="1">
      <c r="A59" s="9"/>
      <c r="B59" s="19" t="s">
        <v>34</v>
      </c>
      <c r="C59" s="20">
        <v>2</v>
      </c>
      <c r="D59" s="20"/>
      <c r="E59" s="79">
        <f>SUM(E57:E58)</f>
        <v>396000</v>
      </c>
    </row>
    <row r="60" spans="1:5" ht="20.149999999999999" customHeight="1">
      <c r="A60" s="9"/>
      <c r="B60" s="19"/>
      <c r="C60" s="20"/>
      <c r="D60" s="20"/>
      <c r="E60" s="133"/>
    </row>
    <row r="61" spans="1:5" ht="20.149999999999999" customHeight="1">
      <c r="A61" s="9"/>
      <c r="B61" s="19" t="s">
        <v>45</v>
      </c>
      <c r="C61" s="20"/>
      <c r="D61" s="20"/>
      <c r="E61" s="133"/>
    </row>
    <row r="62" spans="1:5" ht="20.149999999999999" customHeight="1">
      <c r="A62" s="9">
        <v>1</v>
      </c>
      <c r="B62" s="10" t="s">
        <v>323</v>
      </c>
      <c r="C62" s="16" t="s">
        <v>324</v>
      </c>
      <c r="D62" s="9" t="s">
        <v>297</v>
      </c>
      <c r="E62" s="71">
        <v>270000</v>
      </c>
    </row>
    <row r="63" spans="1:5" ht="20.149999999999999" customHeight="1">
      <c r="A63" s="9">
        <v>2</v>
      </c>
      <c r="B63" s="328" t="s">
        <v>325</v>
      </c>
      <c r="C63" s="16" t="s">
        <v>326</v>
      </c>
      <c r="D63" s="14" t="s">
        <v>327</v>
      </c>
      <c r="E63" s="71">
        <v>126000</v>
      </c>
    </row>
    <row r="64" spans="1:5" ht="20.149999999999999" customHeight="1">
      <c r="A64" s="9">
        <v>3</v>
      </c>
      <c r="B64" s="10" t="s">
        <v>328</v>
      </c>
      <c r="C64" s="3" t="s">
        <v>256</v>
      </c>
      <c r="D64" s="9" t="s">
        <v>260</v>
      </c>
      <c r="E64" s="71">
        <v>90000</v>
      </c>
    </row>
    <row r="65" spans="1:5" ht="20.149999999999999" customHeight="1">
      <c r="A65" s="9">
        <v>4</v>
      </c>
      <c r="B65" s="17" t="s">
        <v>329</v>
      </c>
      <c r="C65" s="16" t="s">
        <v>47</v>
      </c>
      <c r="D65" s="14" t="s">
        <v>266</v>
      </c>
      <c r="E65" s="71">
        <v>90000</v>
      </c>
    </row>
    <row r="66" spans="1:5" ht="20.149999999999999" customHeight="1">
      <c r="A66" s="9">
        <v>5</v>
      </c>
      <c r="B66" s="13" t="s">
        <v>330</v>
      </c>
      <c r="C66" s="16" t="s">
        <v>256</v>
      </c>
      <c r="D66" s="14" t="s">
        <v>254</v>
      </c>
      <c r="E66" s="71">
        <v>90000</v>
      </c>
    </row>
    <row r="67" spans="1:5" ht="20.149999999999999" customHeight="1">
      <c r="A67" s="9">
        <v>7</v>
      </c>
      <c r="B67" s="10" t="s">
        <v>331</v>
      </c>
      <c r="C67" s="3" t="s">
        <v>63</v>
      </c>
      <c r="D67" s="9" t="s">
        <v>332</v>
      </c>
      <c r="E67" s="71">
        <v>68000</v>
      </c>
    </row>
    <row r="68" spans="1:5" ht="20.149999999999999" customHeight="1">
      <c r="A68" s="9">
        <v>8</v>
      </c>
      <c r="B68" s="10" t="s">
        <v>333</v>
      </c>
      <c r="C68" s="16" t="s">
        <v>275</v>
      </c>
      <c r="D68" s="9" t="s">
        <v>332</v>
      </c>
      <c r="E68" s="71">
        <v>68000</v>
      </c>
    </row>
    <row r="69" spans="1:5" ht="20.149999999999999" customHeight="1">
      <c r="A69" s="9">
        <v>9</v>
      </c>
      <c r="B69" s="10" t="s">
        <v>334</v>
      </c>
      <c r="C69" s="16" t="s">
        <v>275</v>
      </c>
      <c r="D69" s="9" t="s">
        <v>332</v>
      </c>
      <c r="E69" s="71">
        <v>68000</v>
      </c>
    </row>
    <row r="70" spans="1:5" ht="20.149999999999999" customHeight="1">
      <c r="A70" s="9">
        <v>10</v>
      </c>
      <c r="B70" s="10" t="s">
        <v>335</v>
      </c>
      <c r="C70" s="3" t="s">
        <v>336</v>
      </c>
      <c r="D70" s="9" t="s">
        <v>271</v>
      </c>
      <c r="E70" s="71">
        <v>68000</v>
      </c>
    </row>
    <row r="71" spans="1:5" ht="21.65" customHeight="1">
      <c r="A71" s="9">
        <v>11</v>
      </c>
      <c r="B71" s="10" t="s">
        <v>337</v>
      </c>
      <c r="C71" s="3" t="s">
        <v>63</v>
      </c>
      <c r="D71" s="9" t="s">
        <v>301</v>
      </c>
      <c r="E71" s="71">
        <v>68000</v>
      </c>
    </row>
    <row r="72" spans="1:5" ht="27" customHeight="1">
      <c r="A72" s="9"/>
      <c r="B72" s="19" t="s">
        <v>34</v>
      </c>
      <c r="C72" s="20">
        <v>11</v>
      </c>
      <c r="D72" s="20"/>
      <c r="E72" s="79">
        <f>SUM(E62:E71)</f>
        <v>1006000</v>
      </c>
    </row>
    <row r="73" spans="1:5" ht="20.149999999999999" customHeight="1">
      <c r="A73" s="9"/>
      <c r="B73" s="21"/>
      <c r="C73" s="20"/>
      <c r="D73" s="20"/>
      <c r="E73" s="133"/>
    </row>
    <row r="74" spans="1:5" ht="20.149999999999999" customHeight="1">
      <c r="A74" s="9"/>
      <c r="B74" s="19" t="s">
        <v>51</v>
      </c>
      <c r="C74" s="20"/>
      <c r="D74" s="20"/>
      <c r="E74" s="133"/>
    </row>
    <row r="75" spans="1:5" ht="20.149999999999999" customHeight="1">
      <c r="A75" s="9">
        <v>1</v>
      </c>
      <c r="B75" s="10" t="s">
        <v>338</v>
      </c>
      <c r="C75" s="3" t="s">
        <v>339</v>
      </c>
      <c r="D75" s="9" t="s">
        <v>297</v>
      </c>
      <c r="E75" s="71">
        <v>270000</v>
      </c>
    </row>
    <row r="76" spans="1:5" ht="20.149999999999999" customHeight="1">
      <c r="A76" s="9">
        <v>2</v>
      </c>
      <c r="B76" s="13" t="s">
        <v>220</v>
      </c>
      <c r="C76" s="3" t="s">
        <v>221</v>
      </c>
      <c r="D76" s="14" t="s">
        <v>222</v>
      </c>
      <c r="E76" s="71">
        <v>126000</v>
      </c>
    </row>
    <row r="77" spans="1:5" ht="20.149999999999999" customHeight="1">
      <c r="A77" s="9">
        <v>3</v>
      </c>
      <c r="B77" s="17" t="s">
        <v>223</v>
      </c>
      <c r="C77" s="11" t="s">
        <v>224</v>
      </c>
      <c r="D77" s="9" t="s">
        <v>225</v>
      </c>
      <c r="E77" s="71">
        <v>126000</v>
      </c>
    </row>
    <row r="78" spans="1:5" ht="20.149999999999999" customHeight="1">
      <c r="A78" s="9">
        <v>4</v>
      </c>
      <c r="B78" s="10" t="s">
        <v>340</v>
      </c>
      <c r="C78" s="3" t="s">
        <v>341</v>
      </c>
      <c r="D78" s="14" t="s">
        <v>342</v>
      </c>
      <c r="E78" s="71">
        <v>90000</v>
      </c>
    </row>
    <row r="79" spans="1:5" ht="20.149999999999999" customHeight="1">
      <c r="A79" s="9">
        <v>5</v>
      </c>
      <c r="B79" s="10" t="s">
        <v>343</v>
      </c>
      <c r="C79" s="3" t="s">
        <v>344</v>
      </c>
      <c r="D79" s="9" t="s">
        <v>345</v>
      </c>
      <c r="E79" s="71">
        <v>68000</v>
      </c>
    </row>
    <row r="80" spans="1:5" ht="20.149999999999999" customHeight="1">
      <c r="A80" s="9">
        <v>6</v>
      </c>
      <c r="B80" s="10" t="s">
        <v>346</v>
      </c>
      <c r="C80" s="3" t="s">
        <v>344</v>
      </c>
      <c r="D80" s="9" t="s">
        <v>283</v>
      </c>
      <c r="E80" s="71">
        <v>54000</v>
      </c>
    </row>
    <row r="81" spans="1:5" ht="20.149999999999999" customHeight="1">
      <c r="A81" s="9">
        <v>7</v>
      </c>
      <c r="B81" s="10" t="s">
        <v>347</v>
      </c>
      <c r="C81" s="3" t="s">
        <v>348</v>
      </c>
      <c r="D81" s="9" t="s">
        <v>294</v>
      </c>
      <c r="E81" s="71">
        <v>54000</v>
      </c>
    </row>
    <row r="82" spans="1:5" ht="20.149999999999999" customHeight="1">
      <c r="A82" s="9"/>
      <c r="B82" s="19" t="s">
        <v>34</v>
      </c>
      <c r="C82" s="20">
        <v>7</v>
      </c>
      <c r="D82" s="20"/>
      <c r="E82" s="79">
        <f>SUM(E75:E81)</f>
        <v>788000</v>
      </c>
    </row>
    <row r="83" spans="1:5" ht="20.149999999999999" customHeight="1">
      <c r="A83" s="9"/>
      <c r="B83" s="19"/>
      <c r="C83" s="20"/>
      <c r="D83" s="20"/>
      <c r="E83" s="133"/>
    </row>
    <row r="84" spans="1:5" ht="20.149999999999999" customHeight="1">
      <c r="A84" s="9"/>
      <c r="B84" s="19" t="s">
        <v>56</v>
      </c>
      <c r="C84" s="24"/>
      <c r="D84" s="20"/>
      <c r="E84" s="133"/>
    </row>
    <row r="85" spans="1:5" ht="20.149999999999999" customHeight="1">
      <c r="A85" s="9">
        <v>1</v>
      </c>
      <c r="B85" s="10" t="s">
        <v>349</v>
      </c>
      <c r="C85" s="3" t="s">
        <v>310</v>
      </c>
      <c r="D85" s="9" t="s">
        <v>249</v>
      </c>
      <c r="E85" s="71">
        <v>126000</v>
      </c>
    </row>
    <row r="86" spans="1:5" ht="20.149999999999999" customHeight="1">
      <c r="A86" s="9">
        <v>2</v>
      </c>
      <c r="B86" s="10" t="s">
        <v>350</v>
      </c>
      <c r="C86" s="3" t="s">
        <v>310</v>
      </c>
      <c r="D86" s="9" t="s">
        <v>249</v>
      </c>
      <c r="E86" s="71">
        <v>126000</v>
      </c>
    </row>
    <row r="87" spans="1:5" ht="20.149999999999999" customHeight="1">
      <c r="A87" s="9">
        <v>3</v>
      </c>
      <c r="B87" s="10" t="s">
        <v>351</v>
      </c>
      <c r="C87" s="3" t="s">
        <v>310</v>
      </c>
      <c r="D87" s="9" t="s">
        <v>228</v>
      </c>
      <c r="E87" s="71">
        <v>126000</v>
      </c>
    </row>
    <row r="88" spans="1:5" ht="21.65" customHeight="1">
      <c r="A88" s="9">
        <v>4</v>
      </c>
      <c r="B88" s="10" t="s">
        <v>352</v>
      </c>
      <c r="C88" s="3" t="s">
        <v>353</v>
      </c>
      <c r="D88" s="14" t="s">
        <v>263</v>
      </c>
      <c r="E88" s="71">
        <v>90000</v>
      </c>
    </row>
    <row r="89" spans="1:5" ht="21.65" customHeight="1">
      <c r="A89" s="9">
        <v>5</v>
      </c>
      <c r="B89" s="10" t="s">
        <v>354</v>
      </c>
      <c r="C89" s="11" t="s">
        <v>47</v>
      </c>
      <c r="D89" s="14" t="s">
        <v>266</v>
      </c>
      <c r="E89" s="71">
        <v>90000</v>
      </c>
    </row>
    <row r="90" spans="1:5" ht="21.65" customHeight="1">
      <c r="A90" s="9">
        <v>6</v>
      </c>
      <c r="B90" s="10" t="s">
        <v>355</v>
      </c>
      <c r="C90" s="11" t="s">
        <v>256</v>
      </c>
      <c r="D90" s="14" t="s">
        <v>356</v>
      </c>
      <c r="E90" s="71">
        <v>90000</v>
      </c>
    </row>
    <row r="91" spans="1:5" ht="21.65" customHeight="1">
      <c r="A91" s="9">
        <v>7</v>
      </c>
      <c r="B91" s="10" t="s">
        <v>357</v>
      </c>
      <c r="C91" s="16" t="s">
        <v>275</v>
      </c>
      <c r="D91" s="14" t="s">
        <v>332</v>
      </c>
      <c r="E91" s="71">
        <v>68000</v>
      </c>
    </row>
    <row r="92" spans="1:5" ht="21.65" customHeight="1">
      <c r="A92" s="9">
        <v>8</v>
      </c>
      <c r="B92" s="10" t="s">
        <v>358</v>
      </c>
      <c r="C92" s="16" t="s">
        <v>47</v>
      </c>
      <c r="D92" s="14" t="s">
        <v>48</v>
      </c>
      <c r="E92" s="71">
        <v>90000</v>
      </c>
    </row>
    <row r="93" spans="1:5" ht="21.65" customHeight="1">
      <c r="A93" s="9">
        <v>9</v>
      </c>
      <c r="B93" s="10" t="s">
        <v>359</v>
      </c>
      <c r="C93" s="3" t="s">
        <v>360</v>
      </c>
      <c r="D93" s="9" t="s">
        <v>301</v>
      </c>
      <c r="E93" s="201">
        <v>66000</v>
      </c>
    </row>
    <row r="94" spans="1:5" ht="21.65" customHeight="1">
      <c r="A94" s="9">
        <v>10</v>
      </c>
      <c r="B94" s="10" t="s">
        <v>361</v>
      </c>
      <c r="C94" s="16" t="s">
        <v>362</v>
      </c>
      <c r="D94" s="14" t="s">
        <v>291</v>
      </c>
      <c r="E94" s="201">
        <v>54000</v>
      </c>
    </row>
    <row r="95" spans="1:5" ht="20.149999999999999" customHeight="1">
      <c r="A95" s="9"/>
      <c r="B95" s="19" t="s">
        <v>34</v>
      </c>
      <c r="C95" s="20">
        <v>10</v>
      </c>
      <c r="D95" s="20"/>
      <c r="E95" s="79">
        <f>SUM(E85:E94)</f>
        <v>926000</v>
      </c>
    </row>
    <row r="96" spans="1:5" ht="20.149999999999999" customHeight="1">
      <c r="A96" s="9"/>
      <c r="B96" s="21"/>
      <c r="C96" s="20"/>
      <c r="D96" s="20"/>
      <c r="E96" s="133"/>
    </row>
    <row r="97" spans="1:5" ht="20.149999999999999" customHeight="1">
      <c r="A97" s="9"/>
      <c r="B97" s="19" t="s">
        <v>58</v>
      </c>
      <c r="C97" s="20"/>
      <c r="D97" s="20"/>
      <c r="E97" s="133"/>
    </row>
    <row r="98" spans="1:5" ht="20.149999999999999" customHeight="1">
      <c r="A98" s="9">
        <v>1</v>
      </c>
      <c r="B98" s="13" t="s">
        <v>363</v>
      </c>
      <c r="C98" s="3" t="s">
        <v>364</v>
      </c>
      <c r="D98" s="15" t="s">
        <v>365</v>
      </c>
      <c r="E98" s="71">
        <v>270000</v>
      </c>
    </row>
    <row r="99" spans="1:5" ht="20.149999999999999" customHeight="1">
      <c r="A99" s="9">
        <v>2</v>
      </c>
      <c r="B99" s="10" t="s">
        <v>366</v>
      </c>
      <c r="C99" s="3" t="s">
        <v>367</v>
      </c>
      <c r="D99" s="14" t="s">
        <v>342</v>
      </c>
      <c r="E99" s="71">
        <v>90000</v>
      </c>
    </row>
    <row r="100" spans="1:5" ht="20.149999999999999" customHeight="1">
      <c r="A100" s="9">
        <v>3</v>
      </c>
      <c r="B100" s="10" t="s">
        <v>368</v>
      </c>
      <c r="C100" s="3" t="s">
        <v>369</v>
      </c>
      <c r="D100" s="14" t="s">
        <v>271</v>
      </c>
      <c r="E100" s="71">
        <v>68000</v>
      </c>
    </row>
    <row r="101" spans="1:5" ht="20.149999999999999" customHeight="1">
      <c r="A101" s="9">
        <v>4</v>
      </c>
      <c r="B101" s="10" t="s">
        <v>370</v>
      </c>
      <c r="C101" s="3" t="s">
        <v>371</v>
      </c>
      <c r="D101" s="14" t="s">
        <v>301</v>
      </c>
      <c r="E101" s="71">
        <v>68000</v>
      </c>
    </row>
    <row r="102" spans="1:5" ht="20.149999999999999" customHeight="1">
      <c r="A102" s="3"/>
      <c r="B102" s="19" t="s">
        <v>34</v>
      </c>
      <c r="C102" s="20">
        <v>4</v>
      </c>
      <c r="D102" s="25"/>
      <c r="E102" s="79">
        <f>SUM(E98:E101)</f>
        <v>496000</v>
      </c>
    </row>
    <row r="103" spans="1:5" ht="20.149999999999999" customHeight="1">
      <c r="A103" s="3"/>
      <c r="B103" s="21"/>
      <c r="C103" s="20"/>
      <c r="D103" s="25"/>
      <c r="E103" s="133"/>
    </row>
    <row r="104" spans="1:5" ht="20.149999999999999" customHeight="1">
      <c r="A104" s="3"/>
      <c r="B104" s="19" t="s">
        <v>372</v>
      </c>
      <c r="C104" s="3"/>
      <c r="D104" s="3"/>
      <c r="E104" s="3"/>
    </row>
    <row r="105" spans="1:5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71">
        <v>270000</v>
      </c>
    </row>
    <row r="106" spans="1:5" ht="20.149999999999999" customHeight="1">
      <c r="A106" s="3">
        <v>2</v>
      </c>
      <c r="B106" s="10" t="s">
        <v>375</v>
      </c>
      <c r="C106" s="3" t="s">
        <v>376</v>
      </c>
      <c r="D106" s="15" t="s">
        <v>231</v>
      </c>
      <c r="E106" s="71">
        <v>180000</v>
      </c>
    </row>
    <row r="107" spans="1:5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71">
        <v>90000</v>
      </c>
    </row>
    <row r="108" spans="1:5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71">
        <v>90000</v>
      </c>
    </row>
    <row r="109" spans="1:5" ht="20.149999999999999" customHeight="1">
      <c r="A109" s="3">
        <v>5</v>
      </c>
      <c r="B109" s="10" t="s">
        <v>380</v>
      </c>
      <c r="C109" s="3" t="s">
        <v>381</v>
      </c>
      <c r="D109" s="14" t="s">
        <v>382</v>
      </c>
      <c r="E109" s="201">
        <v>54000</v>
      </c>
    </row>
    <row r="110" spans="1:5" ht="20.149999999999999" customHeight="1">
      <c r="A110" s="3">
        <v>6</v>
      </c>
      <c r="B110" s="17" t="s">
        <v>383</v>
      </c>
      <c r="C110" s="3" t="s">
        <v>381</v>
      </c>
      <c r="D110" s="9" t="s">
        <v>384</v>
      </c>
      <c r="E110" s="201">
        <v>54000</v>
      </c>
    </row>
    <row r="111" spans="1:5" ht="20.149999999999999" customHeight="1">
      <c r="A111" s="3">
        <v>7</v>
      </c>
      <c r="B111" s="17" t="s">
        <v>385</v>
      </c>
      <c r="C111" s="3" t="s">
        <v>381</v>
      </c>
      <c r="D111" s="14" t="s">
        <v>291</v>
      </c>
      <c r="E111" s="201">
        <v>54000</v>
      </c>
    </row>
    <row r="112" spans="1:5" ht="25.5" customHeight="1">
      <c r="A112" s="3"/>
      <c r="B112" s="19" t="s">
        <v>34</v>
      </c>
      <c r="C112" s="20">
        <v>7</v>
      </c>
      <c r="D112" s="3"/>
      <c r="E112" s="204">
        <f>SUM(E105:E111)</f>
        <v>792000</v>
      </c>
    </row>
    <row r="113" spans="1:5" ht="20.149999999999999" customHeight="1">
      <c r="A113" s="3"/>
      <c r="B113" s="19"/>
      <c r="C113" s="20"/>
      <c r="D113" s="3"/>
      <c r="E113" s="204"/>
    </row>
    <row r="114" spans="1:5" ht="20.149999999999999" customHeight="1">
      <c r="A114" s="9"/>
      <c r="B114" s="19" t="s">
        <v>61</v>
      </c>
      <c r="C114" s="20"/>
      <c r="D114" s="20"/>
      <c r="E114" s="133"/>
    </row>
    <row r="115" spans="1:5" ht="20.149999999999999" customHeight="1">
      <c r="A115" s="9">
        <v>1</v>
      </c>
      <c r="B115" s="13" t="s">
        <v>386</v>
      </c>
      <c r="C115" s="3" t="s">
        <v>310</v>
      </c>
      <c r="D115" s="9" t="s">
        <v>327</v>
      </c>
      <c r="E115" s="71">
        <v>126000</v>
      </c>
    </row>
    <row r="116" spans="1:5" ht="18.75" customHeight="1">
      <c r="A116" s="9">
        <v>2</v>
      </c>
      <c r="B116" s="10" t="s">
        <v>387</v>
      </c>
      <c r="C116" s="3" t="s">
        <v>388</v>
      </c>
      <c r="D116" s="14" t="s">
        <v>271</v>
      </c>
      <c r="E116" s="71">
        <v>68000</v>
      </c>
    </row>
    <row r="117" spans="1:5" ht="20.149999999999999" customHeight="1">
      <c r="A117" s="9">
        <v>3</v>
      </c>
      <c r="B117" s="10" t="s">
        <v>389</v>
      </c>
      <c r="C117" s="11" t="s">
        <v>390</v>
      </c>
      <c r="D117" s="14" t="s">
        <v>391</v>
      </c>
      <c r="E117" s="71">
        <v>68000</v>
      </c>
    </row>
    <row r="118" spans="1:5" ht="24.75" customHeight="1">
      <c r="A118" s="3"/>
      <c r="B118" s="19" t="s">
        <v>34</v>
      </c>
      <c r="C118" s="20">
        <v>3</v>
      </c>
      <c r="D118" s="25"/>
      <c r="E118" s="79">
        <f>SUM(E115:E117)</f>
        <v>262000</v>
      </c>
    </row>
    <row r="119" spans="1:5" ht="20.149999999999999" customHeight="1">
      <c r="A119" s="3"/>
      <c r="B119" s="21"/>
      <c r="C119" s="9"/>
      <c r="D119" s="3"/>
      <c r="E119" s="205"/>
    </row>
    <row r="120" spans="1:5" ht="20.149999999999999" customHeight="1">
      <c r="A120" s="3"/>
      <c r="B120" s="19" t="s">
        <v>67</v>
      </c>
      <c r="C120" s="20"/>
      <c r="D120" s="20"/>
      <c r="E120" s="133"/>
    </row>
    <row r="121" spans="1:5" ht="20.149999999999999" customHeight="1">
      <c r="A121" s="3">
        <v>1</v>
      </c>
      <c r="B121" s="10" t="s">
        <v>392</v>
      </c>
      <c r="C121" s="11" t="s">
        <v>393</v>
      </c>
      <c r="D121" s="14" t="s">
        <v>297</v>
      </c>
      <c r="E121" s="71">
        <v>270000</v>
      </c>
    </row>
    <row r="122" spans="1:5" ht="20.149999999999999" customHeight="1">
      <c r="A122" s="3">
        <v>2</v>
      </c>
      <c r="B122" s="10" t="s">
        <v>130</v>
      </c>
      <c r="C122" s="11" t="s">
        <v>394</v>
      </c>
      <c r="D122" s="14" t="s">
        <v>308</v>
      </c>
      <c r="E122" s="71">
        <v>180000</v>
      </c>
    </row>
    <row r="123" spans="1:5" ht="20.149999999999999" customHeight="1">
      <c r="A123" s="3">
        <v>3</v>
      </c>
      <c r="B123" s="13" t="s">
        <v>395</v>
      </c>
      <c r="C123" s="11" t="s">
        <v>227</v>
      </c>
      <c r="D123" s="14" t="s">
        <v>249</v>
      </c>
      <c r="E123" s="71">
        <v>126000</v>
      </c>
    </row>
    <row r="124" spans="1:5" ht="20.149999999999999" customHeight="1">
      <c r="A124" s="3">
        <v>4</v>
      </c>
      <c r="B124" s="13" t="s">
        <v>226</v>
      </c>
      <c r="C124" s="11" t="s">
        <v>227</v>
      </c>
      <c r="D124" s="14" t="s">
        <v>228</v>
      </c>
      <c r="E124" s="71">
        <v>126000</v>
      </c>
    </row>
    <row r="125" spans="1:5" ht="20.149999999999999" customHeight="1">
      <c r="A125" s="3">
        <v>5</v>
      </c>
      <c r="B125" s="10" t="s">
        <v>396</v>
      </c>
      <c r="C125" s="11" t="s">
        <v>397</v>
      </c>
      <c r="D125" s="14" t="s">
        <v>257</v>
      </c>
      <c r="E125" s="71">
        <v>90000</v>
      </c>
    </row>
    <row r="126" spans="1:5" ht="20.149999999999999" customHeight="1">
      <c r="A126" s="3">
        <v>6</v>
      </c>
      <c r="B126" s="10" t="s">
        <v>398</v>
      </c>
      <c r="C126" s="11" t="s">
        <v>399</v>
      </c>
      <c r="D126" s="14" t="s">
        <v>260</v>
      </c>
      <c r="E126" s="71">
        <v>90000</v>
      </c>
    </row>
    <row r="127" spans="1:5" ht="20.149999999999999" customHeight="1">
      <c r="A127" s="3">
        <v>7</v>
      </c>
      <c r="B127" s="10" t="s">
        <v>400</v>
      </c>
      <c r="C127" s="11" t="s">
        <v>397</v>
      </c>
      <c r="D127" s="14" t="s">
        <v>342</v>
      </c>
      <c r="E127" s="71">
        <v>90000</v>
      </c>
    </row>
    <row r="128" spans="1:5" ht="20.149999999999999" customHeight="1">
      <c r="A128" s="3">
        <v>8</v>
      </c>
      <c r="B128" s="10" t="s">
        <v>401</v>
      </c>
      <c r="C128" s="11" t="s">
        <v>402</v>
      </c>
      <c r="D128" s="9" t="s">
        <v>279</v>
      </c>
      <c r="E128" s="71">
        <v>54000</v>
      </c>
    </row>
    <row r="129" spans="1:5" ht="20.149999999999999" customHeight="1">
      <c r="A129" s="3">
        <v>9</v>
      </c>
      <c r="B129" s="17" t="s">
        <v>403</v>
      </c>
      <c r="C129" s="11" t="s">
        <v>404</v>
      </c>
      <c r="D129" s="14" t="s">
        <v>294</v>
      </c>
      <c r="E129" s="71">
        <v>54000</v>
      </c>
    </row>
    <row r="130" spans="1:5" ht="20.149999999999999" customHeight="1">
      <c r="A130" s="3">
        <v>10</v>
      </c>
      <c r="B130" s="17" t="s">
        <v>405</v>
      </c>
      <c r="C130" s="11" t="s">
        <v>69</v>
      </c>
      <c r="D130" s="14" t="s">
        <v>294</v>
      </c>
      <c r="E130" s="71">
        <v>54000</v>
      </c>
    </row>
    <row r="131" spans="1:5" ht="28.5" customHeight="1">
      <c r="A131" s="3"/>
      <c r="B131" s="19" t="s">
        <v>34</v>
      </c>
      <c r="C131" s="25" t="s">
        <v>406</v>
      </c>
      <c r="D131" s="14"/>
      <c r="E131" s="79">
        <f>SUM(E121:E130)</f>
        <v>1134000</v>
      </c>
    </row>
    <row r="132" spans="1:5" ht="20.149999999999999" customHeight="1">
      <c r="A132" s="3"/>
      <c r="B132" s="21"/>
      <c r="C132" s="25"/>
      <c r="D132" s="14"/>
      <c r="E132" s="133"/>
    </row>
    <row r="133" spans="1:5" ht="20.149999999999999" customHeight="1">
      <c r="A133" s="3"/>
      <c r="B133" s="19" t="s">
        <v>71</v>
      </c>
      <c r="C133" s="11"/>
      <c r="D133" s="14"/>
      <c r="E133" s="71"/>
    </row>
    <row r="134" spans="1:5" ht="20.149999999999999" customHeight="1">
      <c r="A134" s="26">
        <v>1</v>
      </c>
      <c r="B134" s="10" t="s">
        <v>407</v>
      </c>
      <c r="C134" s="11" t="s">
        <v>408</v>
      </c>
      <c r="D134" s="14" t="s">
        <v>297</v>
      </c>
      <c r="E134" s="71">
        <v>270000</v>
      </c>
    </row>
    <row r="135" spans="1:5" ht="20.149999999999999" customHeight="1">
      <c r="A135" s="26">
        <v>2</v>
      </c>
      <c r="B135" s="10" t="s">
        <v>229</v>
      </c>
      <c r="C135" s="11" t="s">
        <v>230</v>
      </c>
      <c r="D135" s="14" t="s">
        <v>231</v>
      </c>
      <c r="E135" s="71">
        <v>180000</v>
      </c>
    </row>
    <row r="136" spans="1:5" ht="20.149999999999999" customHeight="1">
      <c r="A136" s="26">
        <v>3</v>
      </c>
      <c r="B136" s="13" t="s">
        <v>409</v>
      </c>
      <c r="C136" s="3" t="s">
        <v>410</v>
      </c>
      <c r="D136" s="15" t="s">
        <v>231</v>
      </c>
      <c r="E136" s="71">
        <v>180000</v>
      </c>
    </row>
    <row r="137" spans="1:5" ht="20.149999999999999" customHeight="1">
      <c r="A137" s="26">
        <v>4</v>
      </c>
      <c r="B137" s="10" t="s">
        <v>411</v>
      </c>
      <c r="C137" s="11" t="s">
        <v>412</v>
      </c>
      <c r="D137" s="14" t="s">
        <v>254</v>
      </c>
      <c r="E137" s="71">
        <v>90000</v>
      </c>
    </row>
    <row r="138" spans="1:5" ht="20.149999999999999" customHeight="1">
      <c r="A138" s="26">
        <v>5</v>
      </c>
      <c r="B138" s="10" t="s">
        <v>413</v>
      </c>
      <c r="C138" s="3" t="s">
        <v>414</v>
      </c>
      <c r="D138" s="14" t="s">
        <v>254</v>
      </c>
      <c r="E138" s="71">
        <v>90000</v>
      </c>
    </row>
    <row r="139" spans="1:5" ht="20.149999999999999" customHeight="1">
      <c r="A139" s="26">
        <v>6</v>
      </c>
      <c r="B139" s="10" t="s">
        <v>415</v>
      </c>
      <c r="C139" s="3" t="s">
        <v>414</v>
      </c>
      <c r="D139" s="14" t="s">
        <v>254</v>
      </c>
      <c r="E139" s="71">
        <v>90000</v>
      </c>
    </row>
    <row r="140" spans="1:5" ht="20.149999999999999" customHeight="1">
      <c r="A140" s="26">
        <v>7</v>
      </c>
      <c r="B140" s="10" t="s">
        <v>416</v>
      </c>
      <c r="C140" s="11" t="s">
        <v>417</v>
      </c>
      <c r="D140" s="14" t="s">
        <v>391</v>
      </c>
      <c r="E140" s="71">
        <v>68000</v>
      </c>
    </row>
    <row r="141" spans="1:5" ht="20.149999999999999" customHeight="1">
      <c r="A141" s="26">
        <v>8</v>
      </c>
      <c r="B141" s="10" t="s">
        <v>418</v>
      </c>
      <c r="C141" s="11" t="s">
        <v>417</v>
      </c>
      <c r="D141" s="14" t="s">
        <v>391</v>
      </c>
      <c r="E141" s="71">
        <v>68000</v>
      </c>
    </row>
    <row r="142" spans="1:5" ht="20.149999999999999" customHeight="1">
      <c r="A142" s="26">
        <v>9</v>
      </c>
      <c r="B142" s="10" t="s">
        <v>419</v>
      </c>
      <c r="C142" s="3" t="s">
        <v>420</v>
      </c>
      <c r="D142" s="14" t="s">
        <v>391</v>
      </c>
      <c r="E142" s="71">
        <v>68000</v>
      </c>
    </row>
    <row r="143" spans="1:5" ht="20.149999999999999" customHeight="1">
      <c r="A143" s="26">
        <v>10</v>
      </c>
      <c r="B143" s="10" t="s">
        <v>421</v>
      </c>
      <c r="C143" s="11" t="s">
        <v>422</v>
      </c>
      <c r="D143" s="14" t="s">
        <v>271</v>
      </c>
      <c r="E143" s="71">
        <v>68000</v>
      </c>
    </row>
    <row r="144" spans="1:5" ht="20.149999999999999" customHeight="1">
      <c r="A144" s="26">
        <v>11</v>
      </c>
      <c r="B144" s="10" t="s">
        <v>423</v>
      </c>
      <c r="C144" s="11" t="s">
        <v>424</v>
      </c>
      <c r="D144" s="14" t="s">
        <v>332</v>
      </c>
      <c r="E144" s="71">
        <v>68000</v>
      </c>
    </row>
    <row r="145" spans="1:5" ht="20.149999999999999" customHeight="1">
      <c r="A145" s="26">
        <v>12</v>
      </c>
      <c r="B145" s="10" t="s">
        <v>425</v>
      </c>
      <c r="C145" s="11" t="s">
        <v>426</v>
      </c>
      <c r="D145" s="14" t="s">
        <v>391</v>
      </c>
      <c r="E145" s="71">
        <v>68000</v>
      </c>
    </row>
    <row r="146" spans="1:5" ht="20.149999999999999" customHeight="1">
      <c r="A146" s="26">
        <v>13</v>
      </c>
      <c r="B146" s="17" t="s">
        <v>427</v>
      </c>
      <c r="C146" s="3" t="s">
        <v>428</v>
      </c>
      <c r="D146" s="14" t="s">
        <v>42</v>
      </c>
      <c r="E146" s="71">
        <v>68000</v>
      </c>
    </row>
    <row r="147" spans="1:5" ht="20.149999999999999" customHeight="1">
      <c r="A147" s="26">
        <v>14</v>
      </c>
      <c r="B147" s="10" t="s">
        <v>429</v>
      </c>
      <c r="C147" s="3" t="s">
        <v>430</v>
      </c>
      <c r="D147" s="14" t="s">
        <v>345</v>
      </c>
      <c r="E147" s="71">
        <v>68000</v>
      </c>
    </row>
    <row r="148" spans="1:5" ht="20.149999999999999" customHeight="1">
      <c r="A148" s="26">
        <v>15</v>
      </c>
      <c r="B148" s="10" t="s">
        <v>431</v>
      </c>
      <c r="C148" s="3" t="s">
        <v>430</v>
      </c>
      <c r="D148" s="14" t="s">
        <v>432</v>
      </c>
      <c r="E148" s="71">
        <v>68000</v>
      </c>
    </row>
    <row r="149" spans="1:5" ht="20.149999999999999" customHeight="1">
      <c r="A149" s="26">
        <v>16</v>
      </c>
      <c r="B149" s="10" t="s">
        <v>433</v>
      </c>
      <c r="C149" s="3" t="s">
        <v>430</v>
      </c>
      <c r="D149" s="14" t="s">
        <v>432</v>
      </c>
      <c r="E149" s="71">
        <v>68000</v>
      </c>
    </row>
    <row r="150" spans="1:5" ht="20.149999999999999" customHeight="1">
      <c r="A150" s="26">
        <v>17</v>
      </c>
      <c r="B150" s="10" t="s">
        <v>434</v>
      </c>
      <c r="C150" s="11" t="s">
        <v>435</v>
      </c>
      <c r="D150" s="14" t="s">
        <v>301</v>
      </c>
      <c r="E150" s="71">
        <v>68000</v>
      </c>
    </row>
    <row r="151" spans="1:5" ht="20.149999999999999" customHeight="1">
      <c r="A151" s="26">
        <v>18</v>
      </c>
      <c r="B151" s="10" t="s">
        <v>436</v>
      </c>
      <c r="C151" s="11" t="s">
        <v>437</v>
      </c>
      <c r="D151" s="9" t="s">
        <v>283</v>
      </c>
      <c r="E151" s="71">
        <v>54000</v>
      </c>
    </row>
    <row r="152" spans="1:5" ht="20.149999999999999" customHeight="1">
      <c r="A152" s="26">
        <v>19</v>
      </c>
      <c r="B152" s="10" t="s">
        <v>438</v>
      </c>
      <c r="C152" s="11" t="s">
        <v>439</v>
      </c>
      <c r="D152" s="14" t="s">
        <v>345</v>
      </c>
      <c r="E152" s="201">
        <v>68000</v>
      </c>
    </row>
    <row r="153" spans="1:5" ht="20.149999999999999" customHeight="1">
      <c r="A153" s="26">
        <v>20</v>
      </c>
      <c r="B153" s="10" t="s">
        <v>440</v>
      </c>
      <c r="C153" s="11" t="s">
        <v>441</v>
      </c>
      <c r="D153" s="14" t="s">
        <v>279</v>
      </c>
      <c r="E153" s="201">
        <v>54000</v>
      </c>
    </row>
    <row r="154" spans="1:5" ht="20.149999999999999" customHeight="1">
      <c r="A154" s="26">
        <v>21</v>
      </c>
      <c r="B154" s="10" t="s">
        <v>442</v>
      </c>
      <c r="C154" s="11" t="s">
        <v>443</v>
      </c>
      <c r="D154" s="14" t="s">
        <v>345</v>
      </c>
      <c r="E154" s="201">
        <v>68000</v>
      </c>
    </row>
    <row r="155" spans="1:5" ht="20.149999999999999" customHeight="1">
      <c r="A155" s="26">
        <v>22</v>
      </c>
      <c r="B155" s="10" t="s">
        <v>444</v>
      </c>
      <c r="C155" s="11" t="s">
        <v>445</v>
      </c>
      <c r="D155" s="14" t="s">
        <v>279</v>
      </c>
      <c r="E155" s="201">
        <v>54000</v>
      </c>
    </row>
    <row r="156" spans="1:5" ht="20.149999999999999" customHeight="1">
      <c r="A156" s="26">
        <v>23</v>
      </c>
      <c r="B156" s="17" t="s">
        <v>446</v>
      </c>
      <c r="C156" s="11" t="s">
        <v>447</v>
      </c>
      <c r="D156" s="14" t="s">
        <v>25</v>
      </c>
      <c r="E156" s="201">
        <v>54000</v>
      </c>
    </row>
    <row r="157" spans="1:5" ht="20.149999999999999" customHeight="1">
      <c r="A157" s="26">
        <v>24</v>
      </c>
      <c r="B157" s="17" t="s">
        <v>448</v>
      </c>
      <c r="C157" s="11" t="s">
        <v>449</v>
      </c>
      <c r="D157" s="14" t="s">
        <v>294</v>
      </c>
      <c r="E157" s="201">
        <v>54000</v>
      </c>
    </row>
    <row r="158" spans="1:5" ht="20.149999999999999" customHeight="1">
      <c r="A158" s="26">
        <v>25</v>
      </c>
      <c r="B158" s="17" t="s">
        <v>450</v>
      </c>
      <c r="C158" s="11" t="s">
        <v>451</v>
      </c>
      <c r="D158" s="14" t="s">
        <v>294</v>
      </c>
      <c r="E158" s="201">
        <v>54000</v>
      </c>
    </row>
    <row r="159" spans="1:5" ht="20.149999999999999" customHeight="1">
      <c r="A159" s="26">
        <v>26</v>
      </c>
      <c r="B159" s="17" t="s">
        <v>452</v>
      </c>
      <c r="C159" s="11" t="s">
        <v>453</v>
      </c>
      <c r="D159" s="14" t="s">
        <v>294</v>
      </c>
      <c r="E159" s="201">
        <v>54000</v>
      </c>
    </row>
    <row r="160" spans="1:5" ht="20.149999999999999" customHeight="1">
      <c r="A160" s="26">
        <v>27</v>
      </c>
      <c r="B160" s="17" t="s">
        <v>454</v>
      </c>
      <c r="C160" s="11" t="s">
        <v>455</v>
      </c>
      <c r="D160" s="14" t="s">
        <v>291</v>
      </c>
      <c r="E160" s="201">
        <v>54000</v>
      </c>
    </row>
    <row r="161" spans="1:5" ht="20.149999999999999" customHeight="1">
      <c r="A161" s="26">
        <v>28</v>
      </c>
      <c r="B161" s="17" t="s">
        <v>456</v>
      </c>
      <c r="C161" s="11" t="s">
        <v>451</v>
      </c>
      <c r="D161" s="14" t="s">
        <v>294</v>
      </c>
      <c r="E161" s="201">
        <v>54000</v>
      </c>
    </row>
    <row r="162" spans="1:5" ht="20.149999999999999" customHeight="1">
      <c r="A162" s="26">
        <v>29</v>
      </c>
      <c r="B162" s="10" t="s">
        <v>457</v>
      </c>
      <c r="C162" s="11" t="s">
        <v>458</v>
      </c>
      <c r="D162" s="14" t="s">
        <v>459</v>
      </c>
      <c r="E162" s="207">
        <v>36000</v>
      </c>
    </row>
    <row r="163" spans="1:5" ht="20.149999999999999" customHeight="1">
      <c r="A163" s="26">
        <v>30</v>
      </c>
      <c r="B163" s="10" t="s">
        <v>460</v>
      </c>
      <c r="C163" s="11" t="s">
        <v>458</v>
      </c>
      <c r="D163" s="14" t="s">
        <v>459</v>
      </c>
      <c r="E163" s="207">
        <v>36000</v>
      </c>
    </row>
    <row r="164" spans="1:5" ht="20.149999999999999" customHeight="1">
      <c r="A164" s="26">
        <v>31</v>
      </c>
      <c r="B164" s="10" t="s">
        <v>461</v>
      </c>
      <c r="C164" s="11" t="s">
        <v>458</v>
      </c>
      <c r="D164" s="14" t="s">
        <v>459</v>
      </c>
      <c r="E164" s="207">
        <v>36000</v>
      </c>
    </row>
    <row r="165" spans="1:5" ht="20.149999999999999" customHeight="1">
      <c r="A165" s="26">
        <v>32</v>
      </c>
      <c r="B165" s="10" t="s">
        <v>462</v>
      </c>
      <c r="C165" s="11" t="s">
        <v>458</v>
      </c>
      <c r="D165" s="14" t="s">
        <v>459</v>
      </c>
      <c r="E165" s="207">
        <v>36000</v>
      </c>
    </row>
    <row r="166" spans="1:5" ht="20.149999999999999" customHeight="1">
      <c r="A166" s="26">
        <v>33</v>
      </c>
      <c r="B166" s="10" t="s">
        <v>463</v>
      </c>
      <c r="C166" s="11" t="s">
        <v>458</v>
      </c>
      <c r="D166" s="14" t="s">
        <v>459</v>
      </c>
      <c r="E166" s="207">
        <v>36000</v>
      </c>
    </row>
    <row r="167" spans="1:5" ht="20.149999999999999" customHeight="1">
      <c r="A167" s="26">
        <v>34</v>
      </c>
      <c r="B167" s="10" t="s">
        <v>464</v>
      </c>
      <c r="C167" s="11" t="s">
        <v>458</v>
      </c>
      <c r="D167" s="14" t="s">
        <v>465</v>
      </c>
      <c r="E167" s="207">
        <v>36000</v>
      </c>
    </row>
    <row r="168" spans="1:5" ht="20.149999999999999" customHeight="1">
      <c r="A168" s="26">
        <v>35</v>
      </c>
      <c r="B168" s="10" t="s">
        <v>466</v>
      </c>
      <c r="C168" s="11" t="s">
        <v>458</v>
      </c>
      <c r="D168" s="14" t="s">
        <v>465</v>
      </c>
      <c r="E168" s="207">
        <v>36000</v>
      </c>
    </row>
    <row r="169" spans="1:5" ht="20.149999999999999" customHeight="1">
      <c r="A169" s="26">
        <v>36</v>
      </c>
      <c r="B169" s="13" t="s">
        <v>467</v>
      </c>
      <c r="C169" s="11" t="s">
        <v>458</v>
      </c>
      <c r="D169" s="14" t="s">
        <v>465</v>
      </c>
      <c r="E169" s="207">
        <v>36000</v>
      </c>
    </row>
    <row r="170" spans="1:5" ht="20.149999999999999" customHeight="1">
      <c r="A170" s="26">
        <v>37</v>
      </c>
      <c r="B170" s="10" t="s">
        <v>468</v>
      </c>
      <c r="C170" s="11" t="s">
        <v>458</v>
      </c>
      <c r="D170" s="14" t="s">
        <v>465</v>
      </c>
      <c r="E170" s="207">
        <v>36000</v>
      </c>
    </row>
    <row r="171" spans="1:5" ht="20.149999999999999" customHeight="1">
      <c r="A171" s="26">
        <v>38</v>
      </c>
      <c r="B171" s="17" t="s">
        <v>469</v>
      </c>
      <c r="C171" s="11" t="s">
        <v>458</v>
      </c>
      <c r="D171" s="14" t="s">
        <v>465</v>
      </c>
      <c r="E171" s="207">
        <v>36000</v>
      </c>
    </row>
    <row r="172" spans="1:5" ht="20.149999999999999" customHeight="1">
      <c r="A172" s="26">
        <v>39</v>
      </c>
      <c r="B172" s="17" t="s">
        <v>470</v>
      </c>
      <c r="C172" s="11" t="s">
        <v>458</v>
      </c>
      <c r="D172" s="14" t="s">
        <v>465</v>
      </c>
      <c r="E172" s="207">
        <v>36000</v>
      </c>
    </row>
    <row r="173" spans="1:5" ht="20.149999999999999" customHeight="1">
      <c r="A173" s="26">
        <v>40</v>
      </c>
      <c r="B173" s="10" t="s">
        <v>471</v>
      </c>
      <c r="C173" s="11" t="s">
        <v>472</v>
      </c>
      <c r="D173" s="14" t="s">
        <v>473</v>
      </c>
      <c r="E173" s="207">
        <v>36000</v>
      </c>
    </row>
    <row r="174" spans="1:5" ht="20.149999999999999" customHeight="1">
      <c r="A174" s="26">
        <v>41</v>
      </c>
      <c r="B174" s="10" t="s">
        <v>474</v>
      </c>
      <c r="C174" s="11" t="s">
        <v>472</v>
      </c>
      <c r="D174" s="14" t="s">
        <v>473</v>
      </c>
      <c r="E174" s="207">
        <v>36000</v>
      </c>
    </row>
    <row r="175" spans="1:5" ht="20.149999999999999" customHeight="1">
      <c r="A175" s="26">
        <v>42</v>
      </c>
      <c r="B175" s="17" t="s">
        <v>475</v>
      </c>
      <c r="C175" s="11" t="s">
        <v>472</v>
      </c>
      <c r="D175" s="14" t="s">
        <v>476</v>
      </c>
      <c r="E175" s="207">
        <v>36000</v>
      </c>
    </row>
    <row r="176" spans="1:5" ht="20.149999999999999" customHeight="1">
      <c r="A176" s="26">
        <v>43</v>
      </c>
      <c r="B176" s="10" t="s">
        <v>477</v>
      </c>
      <c r="C176" s="11" t="s">
        <v>478</v>
      </c>
      <c r="D176" s="14" t="s">
        <v>479</v>
      </c>
      <c r="E176" s="71">
        <v>36000</v>
      </c>
    </row>
    <row r="177" spans="1:5" ht="20.149999999999999" customHeight="1">
      <c r="A177" s="26">
        <v>44</v>
      </c>
      <c r="B177" s="10" t="s">
        <v>480</v>
      </c>
      <c r="C177" s="11" t="s">
        <v>481</v>
      </c>
      <c r="D177" s="14" t="s">
        <v>482</v>
      </c>
      <c r="E177" s="71">
        <v>36000</v>
      </c>
    </row>
    <row r="178" spans="1:5" ht="20.149999999999999" customHeight="1">
      <c r="A178" s="26">
        <v>45</v>
      </c>
      <c r="B178" s="10" t="s">
        <v>483</v>
      </c>
      <c r="C178" s="11" t="s">
        <v>481</v>
      </c>
      <c r="D178" s="14" t="s">
        <v>482</v>
      </c>
      <c r="E178" s="71">
        <v>36000</v>
      </c>
    </row>
    <row r="179" spans="1:5" ht="20.149999999999999" customHeight="1">
      <c r="A179" s="26">
        <v>46</v>
      </c>
      <c r="B179" s="10" t="s">
        <v>484</v>
      </c>
      <c r="C179" s="11" t="s">
        <v>481</v>
      </c>
      <c r="D179" s="14" t="s">
        <v>482</v>
      </c>
      <c r="E179" s="71">
        <v>36000</v>
      </c>
    </row>
    <row r="180" spans="1:5" ht="20.149999999999999" customHeight="1">
      <c r="A180" s="26">
        <v>47</v>
      </c>
      <c r="B180" s="10" t="s">
        <v>485</v>
      </c>
      <c r="C180" s="11" t="s">
        <v>481</v>
      </c>
      <c r="D180" s="14" t="s">
        <v>482</v>
      </c>
      <c r="E180" s="71">
        <v>36000</v>
      </c>
    </row>
    <row r="181" spans="1:5" ht="20.149999999999999" customHeight="1">
      <c r="A181" s="26">
        <v>48</v>
      </c>
      <c r="B181" s="10" t="s">
        <v>486</v>
      </c>
      <c r="C181" s="11" t="s">
        <v>481</v>
      </c>
      <c r="D181" s="14" t="s">
        <v>482</v>
      </c>
      <c r="E181" s="71">
        <v>36000</v>
      </c>
    </row>
    <row r="182" spans="1:5" ht="20.149999999999999" customHeight="1">
      <c r="A182" s="26">
        <v>49</v>
      </c>
      <c r="B182" s="17" t="s">
        <v>487</v>
      </c>
      <c r="C182" s="11" t="s">
        <v>481</v>
      </c>
      <c r="D182" s="14" t="s">
        <v>482</v>
      </c>
      <c r="E182" s="71">
        <v>36000</v>
      </c>
    </row>
    <row r="183" spans="1:5" ht="20.149999999999999" customHeight="1">
      <c r="A183" s="26">
        <v>50</v>
      </c>
      <c r="B183" s="17" t="s">
        <v>488</v>
      </c>
      <c r="C183" s="11" t="s">
        <v>481</v>
      </c>
      <c r="D183" s="14" t="s">
        <v>482</v>
      </c>
      <c r="E183" s="71">
        <v>36000</v>
      </c>
    </row>
    <row r="184" spans="1:5" ht="20.149999999999999" customHeight="1">
      <c r="A184" s="26">
        <v>51</v>
      </c>
      <c r="B184" s="10" t="s">
        <v>489</v>
      </c>
      <c r="C184" s="11" t="s">
        <v>478</v>
      </c>
      <c r="D184" s="14" t="s">
        <v>482</v>
      </c>
      <c r="E184" s="71">
        <v>36000</v>
      </c>
    </row>
    <row r="185" spans="1:5" ht="20.149999999999999" customHeight="1">
      <c r="A185" s="26">
        <v>52</v>
      </c>
      <c r="B185" s="10" t="s">
        <v>490</v>
      </c>
      <c r="C185" s="11" t="s">
        <v>478</v>
      </c>
      <c r="D185" s="14" t="s">
        <v>482</v>
      </c>
      <c r="E185" s="71">
        <v>36000</v>
      </c>
    </row>
    <row r="186" spans="1:5" ht="20.149999999999999" customHeight="1">
      <c r="A186" s="26">
        <v>53</v>
      </c>
      <c r="B186" s="17" t="s">
        <v>491</v>
      </c>
      <c r="C186" s="11" t="s">
        <v>172</v>
      </c>
      <c r="D186" s="14" t="s">
        <v>492</v>
      </c>
      <c r="E186" s="71">
        <v>36000</v>
      </c>
    </row>
    <row r="187" spans="1:5" ht="20.149999999999999" customHeight="1">
      <c r="A187" s="26">
        <v>54</v>
      </c>
      <c r="B187" s="17" t="s">
        <v>493</v>
      </c>
      <c r="C187" s="11" t="s">
        <v>481</v>
      </c>
      <c r="D187" s="14" t="s">
        <v>494</v>
      </c>
      <c r="E187" s="71">
        <v>36000</v>
      </c>
    </row>
    <row r="188" spans="1:5" ht="20.149999999999999" customHeight="1">
      <c r="A188" s="26">
        <v>55</v>
      </c>
      <c r="B188" s="17" t="s">
        <v>495</v>
      </c>
      <c r="C188" s="11" t="s">
        <v>496</v>
      </c>
      <c r="D188" s="14" t="s">
        <v>497</v>
      </c>
      <c r="E188" s="71">
        <v>36000</v>
      </c>
    </row>
    <row r="189" spans="1:5" ht="20.149999999999999" customHeight="1">
      <c r="A189" s="26">
        <v>56</v>
      </c>
      <c r="B189" s="17" t="s">
        <v>498</v>
      </c>
      <c r="C189" s="11" t="s">
        <v>496</v>
      </c>
      <c r="D189" s="14" t="s">
        <v>497</v>
      </c>
      <c r="E189" s="71">
        <v>36000</v>
      </c>
    </row>
    <row r="190" spans="1:5" ht="20.149999999999999" customHeight="1">
      <c r="A190" s="26">
        <v>57</v>
      </c>
      <c r="B190" s="17" t="s">
        <v>499</v>
      </c>
      <c r="C190" s="11" t="s">
        <v>496</v>
      </c>
      <c r="D190" s="14" t="s">
        <v>497</v>
      </c>
      <c r="E190" s="71">
        <v>36000</v>
      </c>
    </row>
    <row r="191" spans="1:5" ht="20.149999999999999" customHeight="1">
      <c r="A191" s="26">
        <v>58</v>
      </c>
      <c r="B191" s="17" t="s">
        <v>500</v>
      </c>
      <c r="C191" s="11" t="s">
        <v>501</v>
      </c>
      <c r="D191" s="14" t="s">
        <v>502</v>
      </c>
      <c r="E191" s="71">
        <v>36000</v>
      </c>
    </row>
    <row r="192" spans="1:5" ht="20.149999999999999" customHeight="1">
      <c r="A192" s="26">
        <v>59</v>
      </c>
      <c r="B192" s="17" t="s">
        <v>503</v>
      </c>
      <c r="C192" s="11" t="s">
        <v>501</v>
      </c>
      <c r="D192" s="14" t="s">
        <v>502</v>
      </c>
      <c r="E192" s="71">
        <v>36000</v>
      </c>
    </row>
    <row r="193" spans="1:5" ht="30.75" customHeight="1">
      <c r="A193" s="26"/>
      <c r="B193" s="7" t="s">
        <v>34</v>
      </c>
      <c r="C193" s="27" t="s">
        <v>504</v>
      </c>
      <c r="D193" s="28"/>
      <c r="E193" s="79">
        <f>SUM(E134:E192)</f>
        <v>3386000</v>
      </c>
    </row>
    <row r="194" spans="1:5" ht="42.75" customHeight="1">
      <c r="A194" s="3"/>
      <c r="B194" s="29" t="s">
        <v>80</v>
      </c>
      <c r="C194" s="30">
        <f>C34+C40+C54+C59+C72+C82+C95+C102+C112+C131+C193</f>
        <v>151</v>
      </c>
      <c r="D194" s="31"/>
      <c r="E194" s="208">
        <f>E193+E131+E118+E112+E102+E95+E82+E72+E59+E54+E40+E34</f>
        <v>13856000</v>
      </c>
    </row>
    <row r="195" spans="1:5" ht="38.25" customHeight="1">
      <c r="A195" s="2"/>
      <c r="B195" s="32"/>
      <c r="C195" s="2"/>
      <c r="D195" s="33"/>
      <c r="E195" s="33"/>
    </row>
    <row r="196" spans="1:5" ht="36.75" customHeight="1">
      <c r="A196" s="2"/>
      <c r="B196" s="32"/>
      <c r="C196" s="33"/>
      <c r="D196" s="33"/>
      <c r="E196" s="33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18.26953125" style="1" customWidth="1"/>
    <col min="8" max="8" width="18.1796875" style="1" customWidth="1"/>
    <col min="9" max="9" width="17.81640625" style="1" customWidth="1"/>
    <col min="10" max="12" width="20" style="1" customWidth="1"/>
    <col min="13" max="15" width="19.7265625" style="1" customWidth="1"/>
    <col min="16" max="16" width="3.7265625" style="1" customWidth="1"/>
    <col min="17" max="17" width="21.7265625" style="1" customWidth="1"/>
    <col min="18" max="16384" width="9.1796875" style="1"/>
  </cols>
  <sheetData>
    <row r="1" spans="1:17" ht="27" customHeight="1">
      <c r="A1" s="787" t="s">
        <v>0</v>
      </c>
      <c r="B1" s="787"/>
      <c r="C1" s="787"/>
      <c r="D1" s="787"/>
      <c r="E1" s="787"/>
      <c r="F1" s="787"/>
      <c r="G1" s="198"/>
      <c r="H1" s="198"/>
      <c r="I1" s="198"/>
      <c r="J1" s="198"/>
      <c r="K1" s="198"/>
      <c r="L1" s="198"/>
    </row>
    <row r="2" spans="1:17" ht="33.75" customHeight="1">
      <c r="A2" s="481" t="s">
        <v>538</v>
      </c>
      <c r="B2" s="482"/>
      <c r="C2" s="481"/>
      <c r="D2" s="481"/>
      <c r="E2" s="483"/>
      <c r="F2" s="483"/>
      <c r="G2" s="277"/>
      <c r="H2" s="277"/>
      <c r="I2" s="277"/>
      <c r="J2" s="277"/>
      <c r="K2" s="277"/>
      <c r="L2" s="277"/>
      <c r="M2" s="64"/>
      <c r="N2" s="64"/>
      <c r="O2" s="64"/>
      <c r="P2" s="64"/>
    </row>
    <row r="3" spans="1:17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  <c r="J3" s="198"/>
      <c r="K3" s="198"/>
      <c r="L3" s="198"/>
    </row>
    <row r="4" spans="1:17" ht="52.5" customHeight="1">
      <c r="A4" s="3"/>
      <c r="B4" s="4" t="s">
        <v>2</v>
      </c>
      <c r="C4" s="5" t="s">
        <v>3</v>
      </c>
      <c r="D4" s="6" t="s">
        <v>4</v>
      </c>
      <c r="E4" s="199" t="s">
        <v>195</v>
      </c>
      <c r="F4" s="199" t="s">
        <v>539</v>
      </c>
      <c r="G4" s="199" t="s">
        <v>540</v>
      </c>
      <c r="H4" s="199" t="s">
        <v>541</v>
      </c>
      <c r="I4" s="199" t="s">
        <v>8</v>
      </c>
      <c r="J4" s="484" t="s">
        <v>542</v>
      </c>
      <c r="K4" s="484" t="s">
        <v>543</v>
      </c>
      <c r="L4" s="484" t="s">
        <v>544</v>
      </c>
      <c r="M4" s="485" t="s">
        <v>545</v>
      </c>
      <c r="N4" s="547" t="s">
        <v>546</v>
      </c>
      <c r="O4" s="547" t="s">
        <v>547</v>
      </c>
      <c r="P4" s="548"/>
      <c r="Q4" s="566" t="s">
        <v>548</v>
      </c>
    </row>
    <row r="5" spans="1:17" ht="17.25" customHeight="1">
      <c r="C5" s="7"/>
      <c r="D5" s="7"/>
      <c r="L5" s="347" t="s">
        <v>549</v>
      </c>
      <c r="O5" s="549" t="s">
        <v>550</v>
      </c>
      <c r="P5" s="550"/>
      <c r="Q5" s="347" t="s">
        <v>551</v>
      </c>
    </row>
    <row r="6" spans="1:17" ht="20.149999999999999" customHeight="1">
      <c r="A6" s="8" t="s">
        <v>21</v>
      </c>
      <c r="B6" s="7" t="s">
        <v>22</v>
      </c>
      <c r="C6" s="7"/>
      <c r="D6" s="7"/>
      <c r="E6" s="68" t="s">
        <v>20</v>
      </c>
      <c r="F6" s="68" t="s">
        <v>20</v>
      </c>
      <c r="G6" s="68" t="s">
        <v>20</v>
      </c>
      <c r="H6" s="68" t="s">
        <v>20</v>
      </c>
      <c r="I6" s="68" t="s">
        <v>20</v>
      </c>
      <c r="J6" s="68" t="s">
        <v>20</v>
      </c>
      <c r="K6" s="68" t="s">
        <v>20</v>
      </c>
      <c r="L6" s="68" t="s">
        <v>20</v>
      </c>
      <c r="M6" s="68" t="s">
        <v>20</v>
      </c>
      <c r="N6" s="551" t="s">
        <v>20</v>
      </c>
      <c r="O6" s="551" t="s">
        <v>20</v>
      </c>
      <c r="P6" s="552"/>
      <c r="Q6" s="567" t="s">
        <v>20</v>
      </c>
    </row>
    <row r="7" spans="1:17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71">
        <v>1659751.1669999999</v>
      </c>
      <c r="F7" s="71"/>
      <c r="G7" s="201">
        <f>250000</f>
        <v>250000</v>
      </c>
      <c r="H7" s="201"/>
      <c r="I7" s="71">
        <v>25235</v>
      </c>
      <c r="J7" s="488">
        <f>E7+F7+G7+H7+I7</f>
        <v>1934986.1669999999</v>
      </c>
      <c r="K7" s="488">
        <v>1158849.8400000001</v>
      </c>
      <c r="L7" s="488">
        <f>J7-K7</f>
        <v>776136.32700000005</v>
      </c>
      <c r="M7" s="489">
        <v>350184.01073066698</v>
      </c>
      <c r="N7" s="553">
        <v>201165.83594666701</v>
      </c>
      <c r="O7" s="554">
        <f>M7-N7</f>
        <v>149018.174784</v>
      </c>
      <c r="P7" s="555"/>
      <c r="Q7" s="568">
        <f>L7-O7</f>
        <v>627118.15221600002</v>
      </c>
    </row>
    <row r="8" spans="1:17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71">
        <v>762373.16666666698</v>
      </c>
      <c r="F8" s="71"/>
      <c r="G8" s="201"/>
      <c r="H8" s="201">
        <f>90000</f>
        <v>90000</v>
      </c>
      <c r="I8" s="71">
        <v>0</v>
      </c>
      <c r="J8" s="488">
        <f t="shared" ref="J8:J33" si="0">E8+F8+G8+H8+I8</f>
        <v>852373.16666666698</v>
      </c>
      <c r="K8" s="488">
        <v>541465.02474999998</v>
      </c>
      <c r="L8" s="488">
        <f t="shared" ref="L8:L33" si="1">J8-K8</f>
        <v>310908.14191666699</v>
      </c>
      <c r="M8" s="489">
        <v>130612.26282666701</v>
      </c>
      <c r="N8" s="553">
        <v>82627.951418666693</v>
      </c>
      <c r="O8" s="554">
        <f t="shared" ref="O8:O33" si="2">M8-N8</f>
        <v>47984.311408000001</v>
      </c>
      <c r="P8" s="555"/>
      <c r="Q8" s="568">
        <f t="shared" ref="Q8:Q33" si="3">L8-O8</f>
        <v>262923.83050866699</v>
      </c>
    </row>
    <row r="9" spans="1:17" ht="20.149999999999999" customHeight="1">
      <c r="A9" s="9">
        <v>3</v>
      </c>
      <c r="B9" s="13" t="s">
        <v>241</v>
      </c>
      <c r="C9" s="3" t="s">
        <v>242</v>
      </c>
      <c r="D9" s="9" t="s">
        <v>234</v>
      </c>
      <c r="E9" s="71">
        <v>762373.16666666698</v>
      </c>
      <c r="F9" s="71"/>
      <c r="G9" s="201"/>
      <c r="H9" s="201">
        <f>90000</f>
        <v>90000</v>
      </c>
      <c r="I9" s="71">
        <f>100000+100000</f>
        <v>200000</v>
      </c>
      <c r="J9" s="488">
        <f t="shared" si="0"/>
        <v>1052373.16666667</v>
      </c>
      <c r="K9" s="488">
        <v>741465.02474999998</v>
      </c>
      <c r="L9" s="488">
        <f t="shared" si="1"/>
        <v>310908.14191666601</v>
      </c>
      <c r="M9" s="489">
        <v>180722.31466666699</v>
      </c>
      <c r="N9" s="553">
        <v>121027.951418667</v>
      </c>
      <c r="O9" s="554">
        <f t="shared" si="2"/>
        <v>59694.363248000001</v>
      </c>
      <c r="P9" s="555"/>
      <c r="Q9" s="568">
        <f t="shared" si="3"/>
        <v>251213.778668666</v>
      </c>
    </row>
    <row r="10" spans="1:17" ht="20.149999999999999" customHeight="1">
      <c r="A10" s="9">
        <v>4</v>
      </c>
      <c r="B10" s="10" t="s">
        <v>243</v>
      </c>
      <c r="C10" s="16" t="s">
        <v>244</v>
      </c>
      <c r="D10" s="9" t="s">
        <v>234</v>
      </c>
      <c r="E10" s="71">
        <v>762373.16666666698</v>
      </c>
      <c r="F10" s="71"/>
      <c r="G10" s="201">
        <v>180000</v>
      </c>
      <c r="H10" s="201"/>
      <c r="I10" s="71">
        <v>0</v>
      </c>
      <c r="J10" s="488">
        <f t="shared" si="0"/>
        <v>942373.16666666698</v>
      </c>
      <c r="K10" s="488">
        <v>631465.02474999998</v>
      </c>
      <c r="L10" s="488">
        <f t="shared" si="1"/>
        <v>310908.14191666699</v>
      </c>
      <c r="M10" s="489">
        <v>147687.52761066699</v>
      </c>
      <c r="N10" s="553">
        <v>99703.216202666707</v>
      </c>
      <c r="O10" s="554">
        <f t="shared" si="2"/>
        <v>47984.311408000001</v>
      </c>
      <c r="P10" s="555"/>
      <c r="Q10" s="568">
        <f t="shared" si="3"/>
        <v>262923.83050866699</v>
      </c>
    </row>
    <row r="11" spans="1:17" ht="20.149999999999999" customHeight="1">
      <c r="A11" s="9">
        <v>5</v>
      </c>
      <c r="B11" s="13" t="s">
        <v>245</v>
      </c>
      <c r="C11" s="3" t="s">
        <v>530</v>
      </c>
      <c r="D11" s="9" t="s">
        <v>234</v>
      </c>
      <c r="E11" s="71">
        <v>762373.16666666698</v>
      </c>
      <c r="F11" s="71"/>
      <c r="G11" s="201"/>
      <c r="H11" s="201">
        <f>80000+10000</f>
        <v>90000</v>
      </c>
      <c r="I11" s="71">
        <v>150000</v>
      </c>
      <c r="J11" s="488">
        <f t="shared" si="0"/>
        <v>1002373.16666667</v>
      </c>
      <c r="K11" s="488">
        <v>691465.02474999998</v>
      </c>
      <c r="L11" s="488">
        <f t="shared" si="1"/>
        <v>310908.14191666699</v>
      </c>
      <c r="M11" s="489">
        <v>159207.52761066699</v>
      </c>
      <c r="N11" s="553">
        <v>111223.216202667</v>
      </c>
      <c r="O11" s="554">
        <f t="shared" si="2"/>
        <v>47984.311408000001</v>
      </c>
      <c r="P11" s="555"/>
      <c r="Q11" s="568">
        <f t="shared" si="3"/>
        <v>262923.83050866699</v>
      </c>
    </row>
    <row r="12" spans="1:17" ht="20.149999999999999" customHeight="1">
      <c r="A12" s="9">
        <v>6</v>
      </c>
      <c r="B12" s="17" t="s">
        <v>232</v>
      </c>
      <c r="C12" s="9" t="s">
        <v>233</v>
      </c>
      <c r="D12" s="9" t="s">
        <v>234</v>
      </c>
      <c r="E12" s="71">
        <v>762373.16666666698</v>
      </c>
      <c r="F12" s="71"/>
      <c r="G12" s="201"/>
      <c r="H12" s="201">
        <f>90000</f>
        <v>90000</v>
      </c>
      <c r="I12" s="71">
        <v>100000</v>
      </c>
      <c r="J12" s="488">
        <f t="shared" si="0"/>
        <v>952373.16666666698</v>
      </c>
      <c r="K12" s="488">
        <v>641465.02474999998</v>
      </c>
      <c r="L12" s="488">
        <f t="shared" si="1"/>
        <v>310908.14191666699</v>
      </c>
      <c r="M12" s="489">
        <v>161522.31466666699</v>
      </c>
      <c r="N12" s="553">
        <v>101827.951418667</v>
      </c>
      <c r="O12" s="554">
        <f t="shared" si="2"/>
        <v>59694.363248000001</v>
      </c>
      <c r="P12" s="555"/>
      <c r="Q12" s="568">
        <f t="shared" si="3"/>
        <v>251213.77866866699</v>
      </c>
    </row>
    <row r="13" spans="1:17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71">
        <v>620675.58333333302</v>
      </c>
      <c r="F13" s="71"/>
      <c r="G13" s="201"/>
      <c r="H13" s="201">
        <f t="shared" ref="H13:H124" si="4">80000</f>
        <v>80000</v>
      </c>
      <c r="I13" s="71">
        <v>50000</v>
      </c>
      <c r="J13" s="488">
        <f t="shared" si="0"/>
        <v>750675.58333333302</v>
      </c>
      <c r="K13" s="488">
        <v>497553.5025</v>
      </c>
      <c r="L13" s="488">
        <f t="shared" si="1"/>
        <v>253122.08083333299</v>
      </c>
      <c r="M13" s="489">
        <v>113101.965706667</v>
      </c>
      <c r="N13" s="553">
        <v>74036.103146666705</v>
      </c>
      <c r="O13" s="554">
        <f t="shared" si="2"/>
        <v>39065.862560000001</v>
      </c>
      <c r="P13" s="555"/>
      <c r="Q13" s="568">
        <f t="shared" si="3"/>
        <v>214056.21827333301</v>
      </c>
    </row>
    <row r="14" spans="1:17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71">
        <v>582118.08333333302</v>
      </c>
      <c r="F14" s="71"/>
      <c r="G14" s="201">
        <v>160000</v>
      </c>
      <c r="H14" s="201"/>
      <c r="I14" s="71">
        <f>100000</f>
        <v>100000</v>
      </c>
      <c r="J14" s="488">
        <f t="shared" si="0"/>
        <v>842118.08333333302</v>
      </c>
      <c r="K14" s="488">
        <v>604729.22199999995</v>
      </c>
      <c r="L14" s="488">
        <f t="shared" si="1"/>
        <v>237388.86133333301</v>
      </c>
      <c r="M14" s="489">
        <v>131263.10967466701</v>
      </c>
      <c r="N14" s="553">
        <v>94625.782058666693</v>
      </c>
      <c r="O14" s="554">
        <f t="shared" si="2"/>
        <v>36637.327616000002</v>
      </c>
      <c r="P14" s="555"/>
      <c r="Q14" s="568">
        <f t="shared" si="3"/>
        <v>200751.53371733299</v>
      </c>
    </row>
    <row r="15" spans="1:17" ht="20.149999999999999" customHeight="1">
      <c r="A15" s="9">
        <v>9</v>
      </c>
      <c r="B15" s="10" t="s">
        <v>252</v>
      </c>
      <c r="C15" s="3" t="s">
        <v>253</v>
      </c>
      <c r="D15" s="14" t="s">
        <v>254</v>
      </c>
      <c r="E15" s="71">
        <v>484373.75</v>
      </c>
      <c r="F15" s="71"/>
      <c r="G15" s="201"/>
      <c r="H15" s="201">
        <f t="shared" ref="H15" si="5">70000</f>
        <v>70000</v>
      </c>
      <c r="I15" s="71">
        <f>0</f>
        <v>0</v>
      </c>
      <c r="J15" s="488">
        <f t="shared" si="0"/>
        <v>554373.75</v>
      </c>
      <c r="K15" s="488">
        <v>343333.03525000002</v>
      </c>
      <c r="L15" s="488">
        <f t="shared" si="1"/>
        <v>211040.71475000001</v>
      </c>
      <c r="M15" s="489">
        <v>77666.445866666705</v>
      </c>
      <c r="N15" s="553">
        <v>44846.6165886667</v>
      </c>
      <c r="O15" s="554">
        <f t="shared" si="2"/>
        <v>32819.829277999997</v>
      </c>
      <c r="P15" s="555"/>
      <c r="Q15" s="568">
        <f t="shared" si="3"/>
        <v>178220.88547199999</v>
      </c>
    </row>
    <row r="16" spans="1:17" ht="20.149999999999999" customHeight="1">
      <c r="A16" s="9">
        <v>10</v>
      </c>
      <c r="B16" s="13" t="s">
        <v>255</v>
      </c>
      <c r="C16" s="16" t="s">
        <v>256</v>
      </c>
      <c r="D16" s="14" t="s">
        <v>257</v>
      </c>
      <c r="E16" s="71">
        <v>470498</v>
      </c>
      <c r="F16" s="71"/>
      <c r="G16" s="201">
        <v>140000</v>
      </c>
      <c r="H16" s="201"/>
      <c r="I16" s="71">
        <v>50000</v>
      </c>
      <c r="J16" s="488">
        <f t="shared" si="0"/>
        <v>660498</v>
      </c>
      <c r="K16" s="488">
        <v>463333.03525000002</v>
      </c>
      <c r="L16" s="488">
        <f t="shared" si="1"/>
        <v>197164.96475000001</v>
      </c>
      <c r="M16" s="491">
        <v>98255.4333866667</v>
      </c>
      <c r="N16" s="553">
        <v>67626.609434666694</v>
      </c>
      <c r="O16" s="554">
        <f t="shared" si="2"/>
        <v>30628.823951999999</v>
      </c>
      <c r="P16" s="555"/>
      <c r="Q16" s="568">
        <f t="shared" si="3"/>
        <v>166536.14079800001</v>
      </c>
    </row>
    <row r="17" spans="1:17" ht="20.149999999999999" customHeight="1">
      <c r="A17" s="9">
        <v>11</v>
      </c>
      <c r="B17" s="10" t="s">
        <v>258</v>
      </c>
      <c r="C17" s="3" t="s">
        <v>259</v>
      </c>
      <c r="D17" s="9" t="s">
        <v>260</v>
      </c>
      <c r="E17" s="71">
        <v>442746.5</v>
      </c>
      <c r="F17" s="71"/>
      <c r="G17" s="201">
        <f>140000</f>
        <v>140000</v>
      </c>
      <c r="H17" s="201"/>
      <c r="I17" s="71">
        <v>150000</v>
      </c>
      <c r="J17" s="488">
        <f t="shared" si="0"/>
        <v>732746.5</v>
      </c>
      <c r="K17" s="488">
        <v>547211.36750000005</v>
      </c>
      <c r="L17" s="488">
        <f t="shared" si="1"/>
        <v>185535.13250000001</v>
      </c>
      <c r="M17" s="489">
        <v>112553.408426667</v>
      </c>
      <c r="N17" s="553">
        <v>83731.249226666696</v>
      </c>
      <c r="O17" s="554">
        <f t="shared" si="2"/>
        <v>28822.159199999998</v>
      </c>
      <c r="P17" s="555"/>
      <c r="Q17" s="568">
        <f t="shared" si="3"/>
        <v>156712.97330000001</v>
      </c>
    </row>
    <row r="18" spans="1:17" ht="20.149999999999999" customHeight="1">
      <c r="A18" s="9">
        <v>12</v>
      </c>
      <c r="B18" s="10" t="s">
        <v>261</v>
      </c>
      <c r="C18" s="3" t="s">
        <v>262</v>
      </c>
      <c r="D18" s="9" t="s">
        <v>263</v>
      </c>
      <c r="E18" s="71">
        <v>441804.91666666698</v>
      </c>
      <c r="F18" s="71"/>
      <c r="G18" s="201"/>
      <c r="H18" s="201">
        <v>70000</v>
      </c>
      <c r="I18" s="71"/>
      <c r="J18" s="488">
        <f t="shared" si="0"/>
        <v>511804.91666666698</v>
      </c>
      <c r="K18" s="488">
        <v>326663.07750000001</v>
      </c>
      <c r="L18" s="488">
        <f t="shared" si="1"/>
        <v>185141.83916666699</v>
      </c>
      <c r="M18" s="489">
        <v>70147.087146666701</v>
      </c>
      <c r="N18" s="553">
        <v>42046.063686666697</v>
      </c>
      <c r="O18" s="554">
        <f t="shared" si="2"/>
        <v>28101.02346</v>
      </c>
      <c r="P18" s="555"/>
      <c r="Q18" s="568">
        <f t="shared" si="3"/>
        <v>157040.815706667</v>
      </c>
    </row>
    <row r="19" spans="1:17" ht="20.149999999999999" customHeight="1">
      <c r="A19" s="9">
        <v>13</v>
      </c>
      <c r="B19" s="10" t="s">
        <v>264</v>
      </c>
      <c r="C19" s="11" t="s">
        <v>265</v>
      </c>
      <c r="D19" s="14" t="s">
        <v>266</v>
      </c>
      <c r="E19" s="71">
        <v>428915.91666666698</v>
      </c>
      <c r="F19" s="71"/>
      <c r="G19" s="201">
        <f>120000</f>
        <v>120000</v>
      </c>
      <c r="H19" s="201"/>
      <c r="I19" s="71">
        <v>0</v>
      </c>
      <c r="J19" s="488">
        <f t="shared" si="0"/>
        <v>548915.91666666698</v>
      </c>
      <c r="K19" s="488">
        <v>369177.65375</v>
      </c>
      <c r="L19" s="488">
        <f t="shared" si="1"/>
        <v>179738.26291666701</v>
      </c>
      <c r="M19" s="489">
        <v>77470.374186666697</v>
      </c>
      <c r="N19" s="553">
        <v>49548.776186666699</v>
      </c>
      <c r="O19" s="554">
        <f t="shared" si="2"/>
        <v>27921.598000000002</v>
      </c>
      <c r="P19" s="555"/>
      <c r="Q19" s="568">
        <f t="shared" si="3"/>
        <v>151816.66491666701</v>
      </c>
    </row>
    <row r="20" spans="1:17" ht="20.149999999999999" customHeight="1">
      <c r="A20" s="9">
        <v>14</v>
      </c>
      <c r="B20" s="17" t="s">
        <v>267</v>
      </c>
      <c r="C20" s="3" t="s">
        <v>531</v>
      </c>
      <c r="D20" s="14" t="s">
        <v>269</v>
      </c>
      <c r="E20" s="71">
        <v>416026.91666666698</v>
      </c>
      <c r="F20" s="71"/>
      <c r="G20" s="201">
        <f>120000</f>
        <v>120000</v>
      </c>
      <c r="H20" s="201"/>
      <c r="I20" s="71">
        <f>100000</f>
        <v>100000</v>
      </c>
      <c r="J20" s="488">
        <f t="shared" si="0"/>
        <v>636026.91666666698</v>
      </c>
      <c r="K20" s="488">
        <v>462001.06050000002</v>
      </c>
      <c r="L20" s="488">
        <f t="shared" si="1"/>
        <v>174025.85616666701</v>
      </c>
      <c r="M20" s="489">
        <v>94274.903466666699</v>
      </c>
      <c r="N20" s="553">
        <v>67370.870282666699</v>
      </c>
      <c r="O20" s="554">
        <f t="shared" si="2"/>
        <v>26904.033184</v>
      </c>
      <c r="P20" s="555"/>
      <c r="Q20" s="568">
        <f t="shared" si="3"/>
        <v>147121.82298266701</v>
      </c>
    </row>
    <row r="21" spans="1:17" ht="18.75" customHeight="1">
      <c r="A21" s="9">
        <v>15</v>
      </c>
      <c r="B21" s="10" t="s">
        <v>270</v>
      </c>
      <c r="C21" s="11" t="s">
        <v>50</v>
      </c>
      <c r="D21" s="14" t="s">
        <v>271</v>
      </c>
      <c r="E21" s="71">
        <v>377895.16666666698</v>
      </c>
      <c r="F21" s="71"/>
      <c r="G21" s="201"/>
      <c r="H21" s="201">
        <f>60000</f>
        <v>60000</v>
      </c>
      <c r="I21" s="71">
        <v>100000</v>
      </c>
      <c r="J21" s="488">
        <f t="shared" si="0"/>
        <v>537895.16666666698</v>
      </c>
      <c r="K21" s="488">
        <v>384536.99849999999</v>
      </c>
      <c r="L21" s="488">
        <f t="shared" si="1"/>
        <v>153358.16816666699</v>
      </c>
      <c r="M21" s="489">
        <v>76138.068906666696</v>
      </c>
      <c r="N21" s="553">
        <v>52497.770378666602</v>
      </c>
      <c r="O21" s="554">
        <f t="shared" si="2"/>
        <v>23640.298527999999</v>
      </c>
      <c r="P21" s="555"/>
      <c r="Q21" s="568">
        <f t="shared" si="3"/>
        <v>129717.86963866701</v>
      </c>
    </row>
    <row r="22" spans="1:17" ht="20.149999999999999" customHeight="1">
      <c r="A22" s="9">
        <v>16</v>
      </c>
      <c r="B22" s="13" t="s">
        <v>272</v>
      </c>
      <c r="C22" s="16" t="s">
        <v>532</v>
      </c>
      <c r="D22" s="9" t="s">
        <v>42</v>
      </c>
      <c r="E22" s="71">
        <v>353512.5</v>
      </c>
      <c r="F22" s="71"/>
      <c r="G22" s="201">
        <f t="shared" ref="G22" si="6">100000</f>
        <v>100000</v>
      </c>
      <c r="H22" s="201"/>
      <c r="I22" s="71">
        <v>100000</v>
      </c>
      <c r="J22" s="488">
        <f t="shared" si="0"/>
        <v>553512.5</v>
      </c>
      <c r="K22" s="488">
        <v>400372.07500000001</v>
      </c>
      <c r="L22" s="488">
        <f t="shared" si="1"/>
        <v>153140.42499999999</v>
      </c>
      <c r="M22" s="489">
        <v>79511.114666666705</v>
      </c>
      <c r="N22" s="553">
        <v>55538.1050666667</v>
      </c>
      <c r="O22" s="554">
        <f t="shared" si="2"/>
        <v>23973.009600000001</v>
      </c>
      <c r="P22" s="555"/>
      <c r="Q22" s="568">
        <f t="shared" si="3"/>
        <v>129167.4154</v>
      </c>
    </row>
    <row r="23" spans="1:17" ht="21.65" customHeight="1">
      <c r="A23" s="9">
        <v>17</v>
      </c>
      <c r="B23" s="10" t="s">
        <v>274</v>
      </c>
      <c r="C23" s="16" t="s">
        <v>275</v>
      </c>
      <c r="D23" s="14" t="s">
        <v>42</v>
      </c>
      <c r="E23" s="71">
        <v>353512.5</v>
      </c>
      <c r="F23" s="71"/>
      <c r="G23" s="201">
        <v>110000</v>
      </c>
      <c r="H23" s="201"/>
      <c r="I23" s="71">
        <v>0</v>
      </c>
      <c r="J23" s="488">
        <f t="shared" si="0"/>
        <v>463512.5</v>
      </c>
      <c r="K23" s="488">
        <f>1015372.075-700000</f>
        <v>315372.07500000001</v>
      </c>
      <c r="L23" s="488">
        <f t="shared" si="1"/>
        <v>148140.42499999999</v>
      </c>
      <c r="M23" s="489">
        <v>62231.114666666697</v>
      </c>
      <c r="N23" s="553">
        <v>40149.175266666702</v>
      </c>
      <c r="O23" s="554">
        <f t="shared" si="2"/>
        <v>22081.939399999999</v>
      </c>
      <c r="P23" s="555"/>
      <c r="Q23" s="568">
        <f t="shared" si="3"/>
        <v>126058.4856</v>
      </c>
    </row>
    <row r="24" spans="1:17" ht="20.149999999999999" customHeight="1">
      <c r="A24" s="9">
        <v>18</v>
      </c>
      <c r="B24" s="13" t="s">
        <v>276</v>
      </c>
      <c r="C24" s="16" t="s">
        <v>277</v>
      </c>
      <c r="D24" s="9" t="s">
        <v>38</v>
      </c>
      <c r="E24" s="71">
        <v>293029.66666666698</v>
      </c>
      <c r="F24" s="71"/>
      <c r="G24" s="201"/>
      <c r="H24" s="201">
        <f>50000+10000</f>
        <v>60000</v>
      </c>
      <c r="I24" s="71">
        <v>100000</v>
      </c>
      <c r="J24" s="488">
        <f t="shared" si="0"/>
        <v>453029.66666666698</v>
      </c>
      <c r="K24" s="488">
        <v>328602.07775</v>
      </c>
      <c r="L24" s="488">
        <f t="shared" si="1"/>
        <v>124427.58891666699</v>
      </c>
      <c r="M24" s="489">
        <v>61147.426986666702</v>
      </c>
      <c r="N24" s="553">
        <v>42371.815728666697</v>
      </c>
      <c r="O24" s="554">
        <f t="shared" si="2"/>
        <v>18775.611258000001</v>
      </c>
      <c r="P24" s="555"/>
      <c r="Q24" s="568">
        <f t="shared" si="3"/>
        <v>105651.97765866701</v>
      </c>
    </row>
    <row r="25" spans="1:17" ht="18.75" customHeight="1">
      <c r="A25" s="9">
        <v>19</v>
      </c>
      <c r="B25" s="3" t="s">
        <v>278</v>
      </c>
      <c r="C25" s="3" t="s">
        <v>176</v>
      </c>
      <c r="D25" s="9" t="s">
        <v>279</v>
      </c>
      <c r="E25" s="71">
        <v>270481.66666666698</v>
      </c>
      <c r="F25" s="71"/>
      <c r="G25" s="201"/>
      <c r="H25" s="201">
        <f>50000+10000</f>
        <v>60000</v>
      </c>
      <c r="I25" s="71"/>
      <c r="J25" s="488">
        <f t="shared" si="0"/>
        <v>330481.66666666698</v>
      </c>
      <c r="K25" s="488">
        <v>213508.01</v>
      </c>
      <c r="L25" s="488">
        <f t="shared" si="1"/>
        <v>116973.656666667</v>
      </c>
      <c r="M25" s="491">
        <v>39052.313066666698</v>
      </c>
      <c r="N25" s="553">
        <v>23036.012346666699</v>
      </c>
      <c r="O25" s="554">
        <f t="shared" si="2"/>
        <v>16016.300719999999</v>
      </c>
      <c r="P25" s="555"/>
      <c r="Q25" s="568">
        <f t="shared" si="3"/>
        <v>100957.355946667</v>
      </c>
    </row>
    <row r="26" spans="1:17" ht="18.75" customHeight="1">
      <c r="A26" s="9">
        <v>20</v>
      </c>
      <c r="B26" s="17" t="s">
        <v>280</v>
      </c>
      <c r="C26" s="11" t="s">
        <v>176</v>
      </c>
      <c r="D26" s="14" t="s">
        <v>279</v>
      </c>
      <c r="E26" s="71">
        <v>270481.66666666698</v>
      </c>
      <c r="F26" s="71"/>
      <c r="G26" s="201"/>
      <c r="H26" s="201">
        <f>50000+10000</f>
        <v>60000</v>
      </c>
      <c r="I26" s="71"/>
      <c r="J26" s="488">
        <f t="shared" si="0"/>
        <v>330481.66666666698</v>
      </c>
      <c r="K26" s="488">
        <v>213508.01</v>
      </c>
      <c r="L26" s="488">
        <f t="shared" si="1"/>
        <v>116973.656666667</v>
      </c>
      <c r="M26" s="489">
        <v>39052.313066666698</v>
      </c>
      <c r="N26" s="553">
        <v>23036.012346666699</v>
      </c>
      <c r="O26" s="554">
        <f t="shared" si="2"/>
        <v>16016.300719999999</v>
      </c>
      <c r="P26" s="555"/>
      <c r="Q26" s="568">
        <f t="shared" si="3"/>
        <v>100957.355946667</v>
      </c>
    </row>
    <row r="27" spans="1:17" ht="20.149999999999999" customHeight="1">
      <c r="A27" s="9">
        <v>21</v>
      </c>
      <c r="B27" s="10" t="s">
        <v>281</v>
      </c>
      <c r="C27" s="16" t="s">
        <v>273</v>
      </c>
      <c r="D27" s="9" t="s">
        <v>279</v>
      </c>
      <c r="E27" s="71">
        <v>270481.66666666698</v>
      </c>
      <c r="F27" s="71"/>
      <c r="G27" s="201">
        <f t="shared" ref="G27" si="7">100000</f>
        <v>100000</v>
      </c>
      <c r="H27" s="201"/>
      <c r="I27" s="71"/>
      <c r="J27" s="488">
        <f t="shared" si="0"/>
        <v>370481.66666666698</v>
      </c>
      <c r="K27" s="488">
        <v>253508.01</v>
      </c>
      <c r="L27" s="488">
        <f t="shared" si="1"/>
        <v>116973.656666667</v>
      </c>
      <c r="M27" s="489">
        <v>45772.313066666698</v>
      </c>
      <c r="N27" s="553">
        <v>29756.012346666699</v>
      </c>
      <c r="O27" s="554">
        <f t="shared" si="2"/>
        <v>16016.300719999999</v>
      </c>
      <c r="P27" s="555"/>
      <c r="Q27" s="568">
        <f t="shared" si="3"/>
        <v>100957.355946667</v>
      </c>
    </row>
    <row r="28" spans="1:17" ht="18.75" customHeight="1">
      <c r="A28" s="9">
        <v>22</v>
      </c>
      <c r="B28" s="17" t="s">
        <v>282</v>
      </c>
      <c r="C28" s="11" t="s">
        <v>28</v>
      </c>
      <c r="D28" s="14" t="s">
        <v>283</v>
      </c>
      <c r="E28" s="71">
        <v>263165.33333333302</v>
      </c>
      <c r="F28" s="71"/>
      <c r="G28" s="201"/>
      <c r="H28" s="201">
        <f>60000</f>
        <v>60000</v>
      </c>
      <c r="I28" s="3"/>
      <c r="J28" s="488">
        <f t="shared" si="0"/>
        <v>323165.33333333302</v>
      </c>
      <c r="K28" s="488">
        <v>209356.04725</v>
      </c>
      <c r="L28" s="488">
        <f t="shared" si="1"/>
        <v>113809.28608333301</v>
      </c>
      <c r="M28" s="489">
        <v>37921.500586666698</v>
      </c>
      <c r="N28" s="553">
        <v>22338.4826046667</v>
      </c>
      <c r="O28" s="554">
        <f t="shared" si="2"/>
        <v>15583.017981999999</v>
      </c>
      <c r="P28" s="555"/>
      <c r="Q28" s="568">
        <f t="shared" si="3"/>
        <v>98226.268101333306</v>
      </c>
    </row>
    <row r="29" spans="1:17" ht="18.75" customHeight="1">
      <c r="A29" s="9">
        <v>23</v>
      </c>
      <c r="B29" s="17" t="s">
        <v>284</v>
      </c>
      <c r="C29" s="3" t="s">
        <v>285</v>
      </c>
      <c r="D29" s="9" t="s">
        <v>25</v>
      </c>
      <c r="E29" s="71">
        <v>255849</v>
      </c>
      <c r="F29" s="71"/>
      <c r="G29" s="201"/>
      <c r="H29" s="201">
        <f>60000</f>
        <v>60000</v>
      </c>
      <c r="I29" s="71"/>
      <c r="J29" s="488">
        <f t="shared" si="0"/>
        <v>315849</v>
      </c>
      <c r="K29" s="488">
        <v>205204.0845</v>
      </c>
      <c r="L29" s="488">
        <f t="shared" si="1"/>
        <v>110644.9155</v>
      </c>
      <c r="M29" s="489">
        <v>36790.688106666697</v>
      </c>
      <c r="N29" s="553">
        <v>21640.952862666702</v>
      </c>
      <c r="O29" s="554">
        <f t="shared" si="2"/>
        <v>15149.735244</v>
      </c>
      <c r="P29" s="555"/>
      <c r="Q29" s="568">
        <f t="shared" si="3"/>
        <v>95495.180256000007</v>
      </c>
    </row>
    <row r="30" spans="1:17" ht="18.75" customHeight="1">
      <c r="A30" s="9">
        <v>24</v>
      </c>
      <c r="B30" s="17" t="s">
        <v>286</v>
      </c>
      <c r="C30" s="3" t="s">
        <v>285</v>
      </c>
      <c r="D30" s="9" t="s">
        <v>25</v>
      </c>
      <c r="E30" s="71">
        <v>255849</v>
      </c>
      <c r="F30" s="71"/>
      <c r="G30" s="201"/>
      <c r="H30" s="201">
        <f>60000</f>
        <v>60000</v>
      </c>
      <c r="I30" s="71"/>
      <c r="J30" s="488">
        <f t="shared" si="0"/>
        <v>315849</v>
      </c>
      <c r="K30" s="488">
        <v>205204.0845</v>
      </c>
      <c r="L30" s="488">
        <f t="shared" si="1"/>
        <v>110644.9155</v>
      </c>
      <c r="M30" s="489">
        <v>36790.688106666697</v>
      </c>
      <c r="N30" s="553">
        <v>21640.952862666702</v>
      </c>
      <c r="O30" s="554">
        <f t="shared" si="2"/>
        <v>15149.735244</v>
      </c>
      <c r="P30" s="555"/>
      <c r="Q30" s="568">
        <f t="shared" si="3"/>
        <v>95495.180256000007</v>
      </c>
    </row>
    <row r="31" spans="1:17" ht="18.75" customHeight="1">
      <c r="A31" s="9">
        <v>25</v>
      </c>
      <c r="B31" s="17" t="s">
        <v>287</v>
      </c>
      <c r="C31" s="16" t="s">
        <v>288</v>
      </c>
      <c r="D31" s="14" t="s">
        <v>279</v>
      </c>
      <c r="E31" s="71">
        <v>270481.66666666698</v>
      </c>
      <c r="F31" s="71"/>
      <c r="G31" s="201"/>
      <c r="H31" s="201">
        <f>60000</f>
        <v>60000</v>
      </c>
      <c r="I31" s="71"/>
      <c r="J31" s="488">
        <f t="shared" si="0"/>
        <v>330481.66666666698</v>
      </c>
      <c r="K31" s="488">
        <v>209356.04725</v>
      </c>
      <c r="L31" s="488">
        <f t="shared" si="1"/>
        <v>121125.619416667</v>
      </c>
      <c r="M31" s="492">
        <v>39052.313066666698</v>
      </c>
      <c r="N31" s="556">
        <v>22338.4826046667</v>
      </c>
      <c r="O31" s="554">
        <f t="shared" si="2"/>
        <v>16713.830462000002</v>
      </c>
      <c r="P31" s="555"/>
      <c r="Q31" s="568">
        <f t="shared" si="3"/>
        <v>104411.788954667</v>
      </c>
    </row>
    <row r="32" spans="1:17" ht="18.75" customHeight="1">
      <c r="A32" s="9">
        <v>26</v>
      </c>
      <c r="B32" s="17" t="s">
        <v>289</v>
      </c>
      <c r="C32" s="3" t="s">
        <v>290</v>
      </c>
      <c r="D32" s="9" t="s">
        <v>291</v>
      </c>
      <c r="E32" s="71">
        <v>230631.91666666701</v>
      </c>
      <c r="F32" s="71"/>
      <c r="G32" s="201"/>
      <c r="H32" s="201">
        <f>50000</f>
        <v>50000</v>
      </c>
      <c r="I32" s="71"/>
      <c r="J32" s="488">
        <f t="shared" si="0"/>
        <v>280631.91666666698</v>
      </c>
      <c r="K32" s="488">
        <v>180304.068</v>
      </c>
      <c r="L32" s="488">
        <f t="shared" si="1"/>
        <v>100327.84866666701</v>
      </c>
      <c r="M32" s="489">
        <v>31213.135706666701</v>
      </c>
      <c r="N32" s="553">
        <v>17572.885002666699</v>
      </c>
      <c r="O32" s="554">
        <f t="shared" si="2"/>
        <v>13640.250704</v>
      </c>
      <c r="P32" s="555"/>
      <c r="Q32" s="568">
        <f t="shared" si="3"/>
        <v>86687.597962666594</v>
      </c>
    </row>
    <row r="33" spans="1:17" ht="18.75" customHeight="1">
      <c r="A33" s="9">
        <v>27</v>
      </c>
      <c r="B33" s="17" t="s">
        <v>292</v>
      </c>
      <c r="C33" s="11" t="s">
        <v>293</v>
      </c>
      <c r="D33" s="14" t="s">
        <v>294</v>
      </c>
      <c r="E33" s="71">
        <v>224459.75</v>
      </c>
      <c r="F33" s="71"/>
      <c r="G33" s="201"/>
      <c r="H33" s="201">
        <v>50000</v>
      </c>
      <c r="I33" s="71"/>
      <c r="J33" s="488">
        <f t="shared" si="0"/>
        <v>274459.75</v>
      </c>
      <c r="K33" s="488">
        <v>173329.04949999999</v>
      </c>
      <c r="L33" s="488">
        <f t="shared" si="1"/>
        <v>101130.70050000001</v>
      </c>
      <c r="M33" s="489">
        <v>30259.165626666701</v>
      </c>
      <c r="N33" s="553">
        <v>16512.682190666699</v>
      </c>
      <c r="O33" s="554">
        <f t="shared" si="2"/>
        <v>13746.483436</v>
      </c>
      <c r="P33" s="555"/>
      <c r="Q33" s="568">
        <f t="shared" si="3"/>
        <v>87384.217063999997</v>
      </c>
    </row>
    <row r="34" spans="1:17" ht="26.25" customHeight="1">
      <c r="A34" s="9"/>
      <c r="B34" s="19" t="s">
        <v>34</v>
      </c>
      <c r="C34" s="20">
        <v>27</v>
      </c>
      <c r="D34" s="14"/>
      <c r="E34" s="202">
        <f>SUM(E7:E33)</f>
        <v>13048608.166999999</v>
      </c>
      <c r="F34" s="202">
        <f t="shared" ref="F34:J34" si="8">SUM(F7:F33)</f>
        <v>0</v>
      </c>
      <c r="G34" s="202">
        <f t="shared" si="8"/>
        <v>1420000</v>
      </c>
      <c r="H34" s="202">
        <f t="shared" si="8"/>
        <v>1160000</v>
      </c>
      <c r="I34" s="202">
        <f t="shared" si="8"/>
        <v>1225235</v>
      </c>
      <c r="J34" s="202">
        <f t="shared" si="8"/>
        <v>16853843.166999999</v>
      </c>
      <c r="K34" s="202">
        <f t="shared" ref="K34:O34" si="9">SUM(K7:K33)</f>
        <v>11312337.55525</v>
      </c>
      <c r="L34" s="202">
        <f t="shared" si="9"/>
        <v>5541505.6117500002</v>
      </c>
      <c r="M34" s="202">
        <f t="shared" si="9"/>
        <v>2519600.8415999999</v>
      </c>
      <c r="N34" s="202">
        <f t="shared" si="9"/>
        <v>1629837.534828</v>
      </c>
      <c r="O34" s="202">
        <f t="shared" si="9"/>
        <v>889763.30677200004</v>
      </c>
      <c r="P34" s="557"/>
      <c r="Q34" s="569">
        <f>SUM(Q7:Q33)</f>
        <v>4651742.304978</v>
      </c>
    </row>
    <row r="35" spans="1:17" ht="18.75" customHeight="1">
      <c r="A35" s="9"/>
      <c r="B35" s="21"/>
      <c r="C35" s="3"/>
      <c r="D35" s="14"/>
      <c r="E35" s="202"/>
      <c r="F35" s="202"/>
      <c r="G35" s="201"/>
      <c r="H35" s="201"/>
      <c r="I35" s="202"/>
      <c r="J35" s="493"/>
      <c r="K35" s="493"/>
      <c r="L35" s="493"/>
      <c r="M35" s="494"/>
      <c r="N35" s="558"/>
      <c r="O35" s="558"/>
      <c r="P35" s="557"/>
      <c r="Q35" s="570"/>
    </row>
    <row r="36" spans="1:17" ht="18.75" customHeight="1">
      <c r="A36" s="9"/>
      <c r="B36" s="19" t="s">
        <v>35</v>
      </c>
      <c r="C36" s="3"/>
      <c r="D36" s="14"/>
      <c r="E36" s="71"/>
      <c r="F36" s="71"/>
      <c r="G36" s="201"/>
      <c r="H36" s="201"/>
      <c r="I36" s="71"/>
      <c r="J36" s="488"/>
      <c r="K36" s="488"/>
      <c r="L36" s="488"/>
      <c r="M36" s="489"/>
      <c r="N36" s="553"/>
      <c r="O36" s="553"/>
      <c r="P36" s="559"/>
      <c r="Q36" s="571"/>
    </row>
    <row r="37" spans="1:17" ht="18.75" customHeight="1">
      <c r="A37" s="9">
        <v>1</v>
      </c>
      <c r="B37" s="17" t="s">
        <v>295</v>
      </c>
      <c r="C37" s="3" t="s">
        <v>296</v>
      </c>
      <c r="D37" s="9" t="s">
        <v>297</v>
      </c>
      <c r="E37" s="71">
        <v>1435720</v>
      </c>
      <c r="F37" s="71"/>
      <c r="G37" s="201"/>
      <c r="H37" s="201">
        <f>100000</f>
        <v>100000</v>
      </c>
      <c r="I37" s="71"/>
      <c r="J37" s="488">
        <f>E37+F37+G37+H37+I37</f>
        <v>1535720</v>
      </c>
      <c r="K37" s="488">
        <v>950209.06350000005</v>
      </c>
      <c r="L37" s="488">
        <f>J37-K37</f>
        <v>585510.93649999995</v>
      </c>
      <c r="M37" s="490">
        <v>251472.247466667</v>
      </c>
      <c r="N37" s="553">
        <v>161106.806858667</v>
      </c>
      <c r="O37" s="554">
        <f>M37-N37</f>
        <v>90365.440607999903</v>
      </c>
      <c r="P37" s="555"/>
      <c r="Q37" s="568">
        <f>L37-O37</f>
        <v>495145.49589199998</v>
      </c>
    </row>
    <row r="38" spans="1:17" ht="18.75" customHeight="1">
      <c r="A38" s="9">
        <v>2</v>
      </c>
      <c r="B38" s="17" t="s">
        <v>298</v>
      </c>
      <c r="C38" s="3" t="s">
        <v>533</v>
      </c>
      <c r="D38" s="9" t="s">
        <v>38</v>
      </c>
      <c r="E38" s="71">
        <v>293029.66666666698</v>
      </c>
      <c r="F38" s="71"/>
      <c r="G38" s="201"/>
      <c r="H38" s="201">
        <f>60000</f>
        <v>60000</v>
      </c>
      <c r="I38" s="71"/>
      <c r="J38" s="488">
        <f t="shared" ref="J38:J39" si="10">E38+F38+G38+H38+I38</f>
        <v>353029.66666666698</v>
      </c>
      <c r="K38" s="488">
        <v>176816.1</v>
      </c>
      <c r="L38" s="488">
        <f t="shared" ref="L38:L39" si="11">J38-K38</f>
        <v>176213.566666667</v>
      </c>
      <c r="M38" s="490">
        <v>42537.331946666702</v>
      </c>
      <c r="N38" s="553">
        <v>17042.713866666702</v>
      </c>
      <c r="O38" s="554">
        <f>M38-N38</f>
        <v>25494.61808</v>
      </c>
      <c r="P38" s="555"/>
      <c r="Q38" s="568">
        <f t="shared" ref="Q38:Q39" si="12">L38-O38</f>
        <v>150718.94858666699</v>
      </c>
    </row>
    <row r="39" spans="1:17" ht="18.75" customHeight="1">
      <c r="A39" s="9">
        <v>3</v>
      </c>
      <c r="B39" s="10" t="s">
        <v>300</v>
      </c>
      <c r="C39" s="11" t="s">
        <v>534</v>
      </c>
      <c r="D39" s="14" t="s">
        <v>301</v>
      </c>
      <c r="E39" s="71">
        <v>300965.58333333302</v>
      </c>
      <c r="F39" s="71"/>
      <c r="G39" s="201"/>
      <c r="H39" s="201">
        <f>50000+10000</f>
        <v>60000</v>
      </c>
      <c r="I39" s="71"/>
      <c r="J39" s="488">
        <f t="shared" si="10"/>
        <v>360965.58333333302</v>
      </c>
      <c r="K39" s="488">
        <v>233169.11749999999</v>
      </c>
      <c r="L39" s="488">
        <f t="shared" si="11"/>
        <v>127796.465833333</v>
      </c>
      <c r="M39" s="490">
        <v>43763.907226666699</v>
      </c>
      <c r="N39" s="553">
        <v>26339.0784066667</v>
      </c>
      <c r="O39" s="554">
        <f>M39-N39</f>
        <v>17424.828819999999</v>
      </c>
      <c r="P39" s="555"/>
      <c r="Q39" s="568">
        <f t="shared" si="12"/>
        <v>110371.63701333301</v>
      </c>
    </row>
    <row r="40" spans="1:17" ht="19.5" customHeight="1">
      <c r="A40" s="9"/>
      <c r="B40" s="13"/>
      <c r="C40" s="20">
        <v>3</v>
      </c>
      <c r="D40" s="9"/>
      <c r="E40" s="202">
        <f>SUM(E37:E39)</f>
        <v>2029715.25</v>
      </c>
      <c r="F40" s="202">
        <f t="shared" ref="F40:O40" si="13">SUM(F37:F39)</f>
        <v>0</v>
      </c>
      <c r="G40" s="202">
        <f t="shared" si="13"/>
        <v>0</v>
      </c>
      <c r="H40" s="202">
        <f t="shared" si="13"/>
        <v>220000</v>
      </c>
      <c r="I40" s="202">
        <f t="shared" si="13"/>
        <v>0</v>
      </c>
      <c r="J40" s="202">
        <f t="shared" si="13"/>
        <v>2249715.25</v>
      </c>
      <c r="K40" s="202">
        <v>1360194.281</v>
      </c>
      <c r="L40" s="202">
        <f t="shared" si="13"/>
        <v>889520.96900000004</v>
      </c>
      <c r="M40" s="202">
        <f t="shared" si="13"/>
        <v>337773.48664000002</v>
      </c>
      <c r="N40" s="560">
        <v>204488.599132</v>
      </c>
      <c r="O40" s="560">
        <f t="shared" si="13"/>
        <v>133284.88750800001</v>
      </c>
      <c r="P40" s="557"/>
      <c r="Q40" s="569">
        <f>SUM(Q37:Q39)</f>
        <v>756236.08149200003</v>
      </c>
    </row>
    <row r="41" spans="1:17" ht="20.149999999999999" customHeight="1">
      <c r="A41" s="9"/>
      <c r="B41" s="13"/>
      <c r="C41" s="3"/>
      <c r="D41" s="9"/>
      <c r="E41" s="202"/>
      <c r="F41" s="202"/>
      <c r="G41" s="201"/>
      <c r="H41" s="201"/>
      <c r="I41" s="202"/>
      <c r="J41" s="493"/>
      <c r="K41" s="493"/>
      <c r="L41" s="493"/>
      <c r="M41" s="494"/>
      <c r="N41" s="558"/>
      <c r="O41" s="558"/>
      <c r="P41" s="557"/>
      <c r="Q41" s="570"/>
    </row>
    <row r="42" spans="1:17" ht="20.149999999999999" customHeight="1">
      <c r="A42" s="9"/>
      <c r="B42" s="22" t="s">
        <v>39</v>
      </c>
      <c r="C42" s="4"/>
      <c r="D42" s="23"/>
      <c r="E42" s="202"/>
      <c r="F42" s="202"/>
      <c r="G42" s="201"/>
      <c r="H42" s="201"/>
      <c r="I42" s="71"/>
      <c r="J42" s="488"/>
      <c r="K42" s="488"/>
      <c r="L42" s="488"/>
      <c r="M42" s="489"/>
      <c r="N42" s="553"/>
      <c r="O42" s="553"/>
      <c r="P42" s="559"/>
      <c r="Q42" s="571"/>
    </row>
    <row r="43" spans="1:17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71">
        <v>1435720</v>
      </c>
      <c r="F43" s="71"/>
      <c r="G43" s="201">
        <f>200000</f>
        <v>200000</v>
      </c>
      <c r="H43" s="201"/>
      <c r="I43" s="71"/>
      <c r="J43" s="488">
        <f>E43+F43+G43+H43+I43</f>
        <v>1635720</v>
      </c>
      <c r="K43" s="488">
        <v>1050209.0634999999</v>
      </c>
      <c r="L43" s="488">
        <f>J43-K43</f>
        <v>585510.93649999995</v>
      </c>
      <c r="M43" s="490">
        <v>270672.24746666697</v>
      </c>
      <c r="N43" s="553">
        <v>180306.806858667</v>
      </c>
      <c r="O43" s="554">
        <f t="shared" ref="O43:O53" si="14">M43-N43</f>
        <v>90365.440607999903</v>
      </c>
      <c r="P43" s="555"/>
      <c r="Q43" s="568">
        <f>L43-O43</f>
        <v>495145.49589199998</v>
      </c>
    </row>
    <row r="44" spans="1:17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71">
        <v>620675.58333333302</v>
      </c>
      <c r="F44" s="71"/>
      <c r="G44" s="201">
        <f>160000</f>
        <v>160000</v>
      </c>
      <c r="H44" s="201"/>
      <c r="I44" s="71">
        <v>0</v>
      </c>
      <c r="J44" s="488">
        <f t="shared" ref="J44:J53" si="15">E44+F44+G44+H44+I44</f>
        <v>780675.58333333302</v>
      </c>
      <c r="K44" s="488">
        <v>527553.50249999994</v>
      </c>
      <c r="L44" s="488">
        <f t="shared" ref="L44:L53" si="16">J44-K44</f>
        <v>253122.08083333299</v>
      </c>
      <c r="M44" s="490">
        <v>119022.801706667</v>
      </c>
      <c r="N44" s="553">
        <v>79956.9391466667</v>
      </c>
      <c r="O44" s="554">
        <f t="shared" si="14"/>
        <v>39065.862560000001</v>
      </c>
      <c r="P44" s="555"/>
      <c r="Q44" s="568">
        <f t="shared" ref="Q44:Q53" si="17">L44-O44</f>
        <v>214056.21827333301</v>
      </c>
    </row>
    <row r="45" spans="1:17" ht="20.149999999999999" customHeight="1">
      <c r="A45" s="9">
        <v>3</v>
      </c>
      <c r="B45" s="10" t="s">
        <v>306</v>
      </c>
      <c r="C45" s="3" t="s">
        <v>307</v>
      </c>
      <c r="D45" s="9" t="s">
        <v>308</v>
      </c>
      <c r="E45" s="71">
        <v>739203.58333333302</v>
      </c>
      <c r="F45" s="71"/>
      <c r="G45" s="201">
        <f>180000</f>
        <v>180000</v>
      </c>
      <c r="H45" s="201"/>
      <c r="I45" s="71"/>
      <c r="J45" s="488">
        <f t="shared" si="15"/>
        <v>919203.58333333302</v>
      </c>
      <c r="K45" s="488">
        <v>617743.99575</v>
      </c>
      <c r="L45" s="488">
        <f t="shared" si="16"/>
        <v>301459.58758333302</v>
      </c>
      <c r="M45" s="490">
        <v>143799.58762666699</v>
      </c>
      <c r="N45" s="553">
        <v>97273.513850666699</v>
      </c>
      <c r="O45" s="554">
        <f t="shared" si="14"/>
        <v>46526.073775999997</v>
      </c>
      <c r="P45" s="555"/>
      <c r="Q45" s="568">
        <f t="shared" si="17"/>
        <v>254933.51380733299</v>
      </c>
    </row>
    <row r="46" spans="1:17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71">
        <v>620675.58333333302</v>
      </c>
      <c r="F46" s="71"/>
      <c r="G46" s="201">
        <f>160000</f>
        <v>160000</v>
      </c>
      <c r="H46" s="201"/>
      <c r="I46" s="71"/>
      <c r="J46" s="488">
        <f t="shared" si="15"/>
        <v>780675.58333333302</v>
      </c>
      <c r="K46" s="488">
        <v>527553.50249999994</v>
      </c>
      <c r="L46" s="488">
        <f t="shared" si="16"/>
        <v>253122.08083333299</v>
      </c>
      <c r="M46" s="490">
        <v>119022.801706667</v>
      </c>
      <c r="N46" s="553">
        <v>79956.9391466667</v>
      </c>
      <c r="O46" s="554">
        <f t="shared" si="14"/>
        <v>39065.862560000001</v>
      </c>
      <c r="P46" s="555"/>
      <c r="Q46" s="568">
        <f t="shared" si="17"/>
        <v>214056.21827333301</v>
      </c>
    </row>
    <row r="47" spans="1:17" ht="20.149999999999999" customHeight="1">
      <c r="A47" s="9">
        <v>5</v>
      </c>
      <c r="B47" s="10" t="s">
        <v>311</v>
      </c>
      <c r="C47" s="3" t="s">
        <v>310</v>
      </c>
      <c r="D47" s="9" t="s">
        <v>249</v>
      </c>
      <c r="E47" s="71">
        <v>620675.58333333302</v>
      </c>
      <c r="F47" s="71"/>
      <c r="G47" s="201">
        <f>140000+20000</f>
        <v>160000</v>
      </c>
      <c r="H47" s="201"/>
      <c r="I47" s="71">
        <v>0</v>
      </c>
      <c r="J47" s="488">
        <f t="shared" si="15"/>
        <v>780675.58333333302</v>
      </c>
      <c r="K47" s="488">
        <v>527553.50249999994</v>
      </c>
      <c r="L47" s="488">
        <f t="shared" si="16"/>
        <v>253122.08083333299</v>
      </c>
      <c r="M47" s="490">
        <v>118861.965706667</v>
      </c>
      <c r="N47" s="553">
        <v>79796.103146666603</v>
      </c>
      <c r="O47" s="554">
        <f t="shared" si="14"/>
        <v>39065.862560000001</v>
      </c>
      <c r="P47" s="555"/>
      <c r="Q47" s="568">
        <f t="shared" si="17"/>
        <v>214056.21827333301</v>
      </c>
    </row>
    <row r="48" spans="1:17" ht="20.149999999999999" customHeight="1">
      <c r="A48" s="9">
        <v>6</v>
      </c>
      <c r="B48" s="10" t="s">
        <v>312</v>
      </c>
      <c r="C48" s="3" t="s">
        <v>310</v>
      </c>
      <c r="D48" s="9" t="s">
        <v>228</v>
      </c>
      <c r="E48" s="71">
        <v>582118.08333333302</v>
      </c>
      <c r="F48" s="71"/>
      <c r="G48" s="201">
        <f>140000+20000</f>
        <v>160000</v>
      </c>
      <c r="H48" s="201"/>
      <c r="I48" s="71"/>
      <c r="J48" s="488">
        <f t="shared" si="15"/>
        <v>742118.08333333302</v>
      </c>
      <c r="K48" s="488">
        <v>504720.04700000002</v>
      </c>
      <c r="L48" s="488">
        <f t="shared" si="16"/>
        <v>237398.036333333</v>
      </c>
      <c r="M48" s="490">
        <v>112212.004906667</v>
      </c>
      <c r="N48" s="553">
        <v>75572.915690666705</v>
      </c>
      <c r="O48" s="554">
        <f t="shared" si="14"/>
        <v>36639.089216</v>
      </c>
      <c r="P48" s="555"/>
      <c r="Q48" s="568">
        <f t="shared" si="17"/>
        <v>200758.94711733301</v>
      </c>
    </row>
    <row r="49" spans="1:17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71">
        <v>470498</v>
      </c>
      <c r="F49" s="71"/>
      <c r="G49" s="201">
        <f>140000</f>
        <v>140000</v>
      </c>
      <c r="H49" s="201"/>
      <c r="I49" s="71"/>
      <c r="J49" s="488">
        <f t="shared" si="15"/>
        <v>610498</v>
      </c>
      <c r="K49" s="488">
        <v>413333.03525000002</v>
      </c>
      <c r="L49" s="488">
        <f t="shared" si="16"/>
        <v>197164.96475000001</v>
      </c>
      <c r="M49" s="490">
        <v>88655.4333866667</v>
      </c>
      <c r="N49" s="553">
        <v>58026.609434666701</v>
      </c>
      <c r="O49" s="554">
        <f t="shared" si="14"/>
        <v>30628.823951999999</v>
      </c>
      <c r="P49" s="555"/>
      <c r="Q49" s="568">
        <f t="shared" si="17"/>
        <v>166536.14079800001</v>
      </c>
    </row>
    <row r="50" spans="1:17" ht="20.149999999999999" customHeight="1">
      <c r="A50" s="9">
        <v>8</v>
      </c>
      <c r="B50" s="10" t="s">
        <v>314</v>
      </c>
      <c r="C50" s="3" t="s">
        <v>63</v>
      </c>
      <c r="D50" s="9" t="s">
        <v>301</v>
      </c>
      <c r="E50" s="71">
        <v>300965.58333333302</v>
      </c>
      <c r="F50" s="71"/>
      <c r="G50" s="201">
        <v>100000</v>
      </c>
      <c r="H50" s="201"/>
      <c r="I50" s="71"/>
      <c r="J50" s="488">
        <f t="shared" si="15"/>
        <v>400965.58333333302</v>
      </c>
      <c r="K50" s="488">
        <v>273169.11749999999</v>
      </c>
      <c r="L50" s="488">
        <f t="shared" si="16"/>
        <v>127796.465833333</v>
      </c>
      <c r="M50" s="490">
        <v>51029.227306666697</v>
      </c>
      <c r="N50" s="553">
        <v>33059.078406666697</v>
      </c>
      <c r="O50" s="554">
        <f t="shared" si="14"/>
        <v>17970.1489</v>
      </c>
      <c r="P50" s="555"/>
      <c r="Q50" s="568">
        <f t="shared" si="17"/>
        <v>109826.316933333</v>
      </c>
    </row>
    <row r="51" spans="1:17" ht="20.149999999999999" customHeight="1">
      <c r="A51" s="9">
        <v>9</v>
      </c>
      <c r="B51" s="10" t="s">
        <v>315</v>
      </c>
      <c r="C51" s="3" t="s">
        <v>63</v>
      </c>
      <c r="D51" s="9" t="s">
        <v>283</v>
      </c>
      <c r="E51" s="71">
        <v>263165.33333333302</v>
      </c>
      <c r="F51" s="71"/>
      <c r="G51" s="201">
        <f>100000</f>
        <v>100000</v>
      </c>
      <c r="H51" s="201"/>
      <c r="I51" s="71"/>
      <c r="J51" s="488">
        <f t="shared" si="15"/>
        <v>363165.33333333302</v>
      </c>
      <c r="K51" s="488">
        <v>249356.04725</v>
      </c>
      <c r="L51" s="488">
        <f t="shared" si="16"/>
        <v>113809.28608333301</v>
      </c>
      <c r="M51" s="490">
        <v>44641.500586666698</v>
      </c>
      <c r="N51" s="553">
        <v>29058.4826046667</v>
      </c>
      <c r="O51" s="554">
        <f t="shared" si="14"/>
        <v>15583.017981999999</v>
      </c>
      <c r="P51" s="555"/>
      <c r="Q51" s="568">
        <f t="shared" si="17"/>
        <v>98226.268101333306</v>
      </c>
    </row>
    <row r="52" spans="1:17" ht="20.149999999999999" customHeight="1">
      <c r="A52" s="9">
        <v>10</v>
      </c>
      <c r="B52" s="10" t="s">
        <v>316</v>
      </c>
      <c r="C52" s="3" t="s">
        <v>63</v>
      </c>
      <c r="D52" s="9" t="s">
        <v>283</v>
      </c>
      <c r="E52" s="71">
        <v>263165.33333333302</v>
      </c>
      <c r="F52" s="71"/>
      <c r="G52" s="201">
        <f>100000</f>
        <v>100000</v>
      </c>
      <c r="H52" s="201"/>
      <c r="I52" s="71"/>
      <c r="J52" s="488">
        <f t="shared" si="15"/>
        <v>363165.33333333302</v>
      </c>
      <c r="K52" s="488">
        <v>249356.04725</v>
      </c>
      <c r="L52" s="488">
        <f t="shared" si="16"/>
        <v>113809.28608333301</v>
      </c>
      <c r="M52" s="490">
        <v>44641.500586666698</v>
      </c>
      <c r="N52" s="553">
        <v>28360.952862666702</v>
      </c>
      <c r="O52" s="554">
        <f t="shared" si="14"/>
        <v>16280.547724</v>
      </c>
      <c r="P52" s="555"/>
      <c r="Q52" s="568">
        <f t="shared" si="17"/>
        <v>97528.738359333307</v>
      </c>
    </row>
    <row r="53" spans="1:17" ht="20.149999999999999" customHeight="1">
      <c r="A53" s="9">
        <v>11</v>
      </c>
      <c r="B53" s="10" t="s">
        <v>317</v>
      </c>
      <c r="C53" s="3" t="s">
        <v>63</v>
      </c>
      <c r="D53" s="9" t="s">
        <v>283</v>
      </c>
      <c r="E53" s="71">
        <v>263165.33333333302</v>
      </c>
      <c r="F53" s="71"/>
      <c r="G53" s="201">
        <f>100000</f>
        <v>100000</v>
      </c>
      <c r="H53" s="201"/>
      <c r="I53" s="71"/>
      <c r="J53" s="488">
        <f t="shared" si="15"/>
        <v>363165.33333333302</v>
      </c>
      <c r="K53" s="488">
        <v>249356.04725</v>
      </c>
      <c r="L53" s="488">
        <f t="shared" si="16"/>
        <v>113809.28608333301</v>
      </c>
      <c r="M53" s="490">
        <v>44641.500586666698</v>
      </c>
      <c r="N53" s="553">
        <v>29058.4826046667</v>
      </c>
      <c r="O53" s="554">
        <f t="shared" si="14"/>
        <v>15583.017981999999</v>
      </c>
      <c r="P53" s="555"/>
      <c r="Q53" s="568">
        <f t="shared" si="17"/>
        <v>98226.268101333306</v>
      </c>
    </row>
    <row r="54" spans="1:17" ht="25.5" customHeight="1">
      <c r="A54" s="9"/>
      <c r="B54" s="19" t="s">
        <v>34</v>
      </c>
      <c r="C54" s="20">
        <v>11</v>
      </c>
      <c r="D54" s="20"/>
      <c r="E54" s="79">
        <f>SUM(E43:E53)</f>
        <v>6180028</v>
      </c>
      <c r="F54" s="79">
        <f t="shared" ref="F54:O54" si="18">SUM(F43:F53)</f>
        <v>0</v>
      </c>
      <c r="G54" s="79">
        <f t="shared" si="18"/>
        <v>1560000</v>
      </c>
      <c r="H54" s="79">
        <f t="shared" si="18"/>
        <v>0</v>
      </c>
      <c r="I54" s="79">
        <f t="shared" si="18"/>
        <v>0</v>
      </c>
      <c r="J54" s="79">
        <f t="shared" si="18"/>
        <v>7740028</v>
      </c>
      <c r="K54" s="79">
        <v>5189903.9082500003</v>
      </c>
      <c r="L54" s="79">
        <f t="shared" si="18"/>
        <v>2550124.0917500001</v>
      </c>
      <c r="M54" s="79">
        <f t="shared" si="18"/>
        <v>1157200.5715733301</v>
      </c>
      <c r="N54" s="561">
        <v>770426.82375333295</v>
      </c>
      <c r="O54" s="561">
        <f t="shared" si="18"/>
        <v>386773.74781999999</v>
      </c>
      <c r="P54" s="562"/>
      <c r="Q54" s="572">
        <f>SUM(Q43:Q53)</f>
        <v>2163350.34393</v>
      </c>
    </row>
    <row r="55" spans="1:17" ht="20.149999999999999" customHeight="1">
      <c r="A55" s="9"/>
      <c r="B55" s="21"/>
      <c r="C55" s="20"/>
      <c r="D55" s="20"/>
      <c r="E55" s="133"/>
      <c r="F55" s="133"/>
      <c r="G55" s="201"/>
      <c r="H55" s="201"/>
      <c r="I55" s="133"/>
      <c r="J55" s="495"/>
      <c r="K55" s="495"/>
      <c r="L55" s="495"/>
      <c r="M55" s="496"/>
      <c r="N55" s="563"/>
      <c r="O55" s="563"/>
      <c r="P55" s="564"/>
      <c r="Q55" s="573"/>
    </row>
    <row r="56" spans="1:17" ht="20.149999999999999" customHeight="1">
      <c r="A56" s="9"/>
      <c r="B56" s="19" t="s">
        <v>318</v>
      </c>
      <c r="C56" s="20"/>
      <c r="D56" s="20"/>
      <c r="E56" s="133"/>
      <c r="F56" s="133"/>
      <c r="G56" s="201"/>
      <c r="H56" s="201"/>
      <c r="I56" s="133"/>
      <c r="J56" s="495"/>
      <c r="K56" s="495"/>
      <c r="L56" s="495"/>
      <c r="M56" s="496"/>
      <c r="N56" s="563"/>
      <c r="O56" s="563"/>
      <c r="P56" s="564"/>
      <c r="Q56" s="573"/>
    </row>
    <row r="57" spans="1:17" ht="20.149999999999999" customHeight="1">
      <c r="A57" s="9">
        <v>1</v>
      </c>
      <c r="B57" s="10" t="s">
        <v>319</v>
      </c>
      <c r="C57" s="11" t="s">
        <v>320</v>
      </c>
      <c r="D57" s="14" t="s">
        <v>297</v>
      </c>
      <c r="E57" s="71">
        <v>1435720</v>
      </c>
      <c r="F57" s="71"/>
      <c r="G57" s="201">
        <f>200000</f>
        <v>200000</v>
      </c>
      <c r="H57" s="201"/>
      <c r="I57" s="71">
        <v>0</v>
      </c>
      <c r="J57" s="488">
        <f>E57+F57+G57+H57+I57</f>
        <v>1635720</v>
      </c>
      <c r="K57" s="488">
        <v>1050209.0634999999</v>
      </c>
      <c r="L57" s="488">
        <f>J57-K57</f>
        <v>585510.93649999995</v>
      </c>
      <c r="M57" s="490">
        <v>270672.24746666697</v>
      </c>
      <c r="N57" s="565">
        <v>180306.806858667</v>
      </c>
      <c r="O57" s="554">
        <f>M57-N57</f>
        <v>90365.440607999903</v>
      </c>
      <c r="P57" s="555"/>
      <c r="Q57" s="568">
        <f>L57-O57</f>
        <v>495145.49589199998</v>
      </c>
    </row>
    <row r="58" spans="1:17" ht="20.149999999999999" customHeight="1">
      <c r="A58" s="9">
        <v>2</v>
      </c>
      <c r="B58" s="10" t="s">
        <v>321</v>
      </c>
      <c r="C58" s="11" t="s">
        <v>322</v>
      </c>
      <c r="D58" s="14" t="s">
        <v>225</v>
      </c>
      <c r="E58" s="71">
        <v>620675.58333333302</v>
      </c>
      <c r="F58" s="71"/>
      <c r="G58" s="201"/>
      <c r="H58" s="201">
        <v>80000</v>
      </c>
      <c r="I58" s="71"/>
      <c r="J58" s="488">
        <f>E58+F58+G58+H58+I58</f>
        <v>700675.58333333302</v>
      </c>
      <c r="K58" s="488">
        <v>447553.5025</v>
      </c>
      <c r="L58" s="488">
        <f>J58-K58</f>
        <v>253122.08083333299</v>
      </c>
      <c r="M58" s="490">
        <v>103662.801706667</v>
      </c>
      <c r="N58" s="565">
        <v>64596.9391466667</v>
      </c>
      <c r="O58" s="554">
        <f>M58-N58</f>
        <v>39065.862560000001</v>
      </c>
      <c r="P58" s="555"/>
      <c r="Q58" s="568">
        <f>L58-O58</f>
        <v>214056.21827333301</v>
      </c>
    </row>
    <row r="59" spans="1:17" ht="20.149999999999999" customHeight="1">
      <c r="A59" s="9"/>
      <c r="B59" s="19" t="s">
        <v>34</v>
      </c>
      <c r="C59" s="20">
        <v>2</v>
      </c>
      <c r="D59" s="20"/>
      <c r="E59" s="79">
        <f>SUM(E57:E58)</f>
        <v>2056395.58333333</v>
      </c>
      <c r="F59" s="79">
        <f t="shared" ref="F59:O59" si="19">SUM(F57:F58)</f>
        <v>0</v>
      </c>
      <c r="G59" s="79">
        <f t="shared" si="19"/>
        <v>200000</v>
      </c>
      <c r="H59" s="79">
        <f t="shared" si="19"/>
        <v>80000</v>
      </c>
      <c r="I59" s="79">
        <f t="shared" si="19"/>
        <v>0</v>
      </c>
      <c r="J59" s="79">
        <f t="shared" si="19"/>
        <v>2336395.5833333302</v>
      </c>
      <c r="K59" s="79">
        <v>1497762.5660000001</v>
      </c>
      <c r="L59" s="79">
        <f t="shared" si="19"/>
        <v>838633.01733333303</v>
      </c>
      <c r="M59" s="79">
        <f t="shared" si="19"/>
        <v>374335.04917333298</v>
      </c>
      <c r="N59" s="561">
        <v>244903.746005333</v>
      </c>
      <c r="O59" s="561">
        <f t="shared" si="19"/>
        <v>129431.303168</v>
      </c>
      <c r="P59" s="562"/>
      <c r="Q59" s="572">
        <f>SUM(Q57:Q58)</f>
        <v>709201.71416533296</v>
      </c>
    </row>
    <row r="60" spans="1:17" ht="20.149999999999999" customHeight="1">
      <c r="A60" s="9"/>
      <c r="B60" s="19"/>
      <c r="C60" s="20"/>
      <c r="D60" s="20"/>
      <c r="E60" s="133"/>
      <c r="F60" s="133"/>
      <c r="G60" s="201"/>
      <c r="H60" s="201"/>
      <c r="I60" s="133"/>
      <c r="J60" s="495"/>
      <c r="K60" s="495"/>
      <c r="L60" s="495"/>
      <c r="M60" s="496"/>
      <c r="N60" s="563"/>
      <c r="O60" s="563"/>
      <c r="P60" s="564"/>
      <c r="Q60" s="573"/>
    </row>
    <row r="61" spans="1:17" ht="20.149999999999999" customHeight="1">
      <c r="A61" s="9"/>
      <c r="B61" s="19" t="s">
        <v>45</v>
      </c>
      <c r="C61" s="20"/>
      <c r="D61" s="20"/>
      <c r="E61" s="133"/>
      <c r="F61" s="133"/>
      <c r="G61" s="201"/>
      <c r="H61" s="201"/>
      <c r="I61" s="133"/>
      <c r="J61" s="495"/>
      <c r="K61" s="495"/>
      <c r="L61" s="495"/>
      <c r="M61" s="496"/>
      <c r="N61" s="563"/>
      <c r="O61" s="563"/>
      <c r="P61" s="564"/>
      <c r="Q61" s="573"/>
    </row>
    <row r="62" spans="1:17" ht="20.149999999999999" customHeight="1">
      <c r="A62" s="9">
        <v>1</v>
      </c>
      <c r="B62" s="10" t="s">
        <v>323</v>
      </c>
      <c r="C62" s="16" t="s">
        <v>324</v>
      </c>
      <c r="D62" s="9" t="s">
        <v>297</v>
      </c>
      <c r="E62" s="71">
        <v>1435720</v>
      </c>
      <c r="F62" s="71"/>
      <c r="G62" s="201">
        <f>200000</f>
        <v>200000</v>
      </c>
      <c r="H62" s="201"/>
      <c r="I62" s="71">
        <v>0</v>
      </c>
      <c r="J62" s="488">
        <f>E62+F62+G62+H62+I62</f>
        <v>1635720</v>
      </c>
      <c r="K62" s="488">
        <v>1050209.0634999999</v>
      </c>
      <c r="L62" s="488">
        <f>J62-K62</f>
        <v>585510.93649999995</v>
      </c>
      <c r="M62" s="490">
        <v>292724.90666666703</v>
      </c>
      <c r="N62" s="553">
        <v>180306.806858667</v>
      </c>
      <c r="O62" s="554">
        <f t="shared" ref="O62:O71" si="20">M62-N62</f>
        <v>112418.099808</v>
      </c>
      <c r="P62" s="555"/>
      <c r="Q62" s="568">
        <f>L62-O62</f>
        <v>473092.83669199998</v>
      </c>
    </row>
    <row r="63" spans="1:17" ht="20.149999999999999" customHeight="1">
      <c r="A63" s="9">
        <v>2</v>
      </c>
      <c r="B63" s="328" t="s">
        <v>325</v>
      </c>
      <c r="C63" s="16" t="s">
        <v>326</v>
      </c>
      <c r="D63" s="14" t="s">
        <v>327</v>
      </c>
      <c r="E63" s="71">
        <v>601396.83333333302</v>
      </c>
      <c r="F63" s="71"/>
      <c r="G63" s="201">
        <f>160000</f>
        <v>160000</v>
      </c>
      <c r="H63" s="201"/>
      <c r="I63" s="133">
        <v>0</v>
      </c>
      <c r="J63" s="488">
        <f t="shared" ref="J63:J71" si="21">E63+F63+G63+H63+I63</f>
        <v>761396.83333333302</v>
      </c>
      <c r="K63" s="488">
        <v>516137.05</v>
      </c>
      <c r="L63" s="488">
        <f t="shared" ref="L63:L71" si="22">J63-K63</f>
        <v>245259.78333333301</v>
      </c>
      <c r="M63" s="490">
        <v>115617.40330666699</v>
      </c>
      <c r="N63" s="553">
        <v>77764.980266666695</v>
      </c>
      <c r="O63" s="554">
        <f t="shared" si="20"/>
        <v>37852.423040000001</v>
      </c>
      <c r="P63" s="555"/>
      <c r="Q63" s="568">
        <f t="shared" ref="Q63:Q71" si="23">L63-O63</f>
        <v>207407.36029333301</v>
      </c>
    </row>
    <row r="64" spans="1:17" ht="20.149999999999999" customHeight="1">
      <c r="A64" s="9">
        <v>3</v>
      </c>
      <c r="B64" s="10" t="s">
        <v>328</v>
      </c>
      <c r="C64" s="3" t="s">
        <v>256</v>
      </c>
      <c r="D64" s="9" t="s">
        <v>260</v>
      </c>
      <c r="E64" s="71">
        <v>442746.5</v>
      </c>
      <c r="F64" s="71"/>
      <c r="G64" s="201">
        <v>140000</v>
      </c>
      <c r="H64" s="201"/>
      <c r="I64" s="71"/>
      <c r="J64" s="488">
        <f t="shared" si="21"/>
        <v>582746.5</v>
      </c>
      <c r="K64" s="488">
        <v>397211.36749999999</v>
      </c>
      <c r="L64" s="488">
        <f t="shared" si="22"/>
        <v>185535.13250000001</v>
      </c>
      <c r="M64" s="490">
        <v>83753.408426666603</v>
      </c>
      <c r="N64" s="553">
        <v>54931.249226666703</v>
      </c>
      <c r="O64" s="554">
        <f t="shared" si="20"/>
        <v>28822.159199999998</v>
      </c>
      <c r="P64" s="555"/>
      <c r="Q64" s="568">
        <f t="shared" si="23"/>
        <v>156712.97330000001</v>
      </c>
    </row>
    <row r="65" spans="1:17" ht="20.149999999999999" customHeight="1">
      <c r="A65" s="9">
        <v>4</v>
      </c>
      <c r="B65" s="17" t="s">
        <v>329</v>
      </c>
      <c r="C65" s="16" t="s">
        <v>47</v>
      </c>
      <c r="D65" s="14" t="s">
        <v>266</v>
      </c>
      <c r="E65" s="71">
        <v>428915.91666666698</v>
      </c>
      <c r="F65" s="71"/>
      <c r="G65" s="201">
        <f t="shared" ref="G65" si="24">120000</f>
        <v>120000</v>
      </c>
      <c r="H65" s="201"/>
      <c r="I65" s="71">
        <v>0</v>
      </c>
      <c r="J65" s="488">
        <f t="shared" si="21"/>
        <v>548915.91666666698</v>
      </c>
      <c r="K65" s="488">
        <v>369177.65375</v>
      </c>
      <c r="L65" s="488">
        <f t="shared" si="22"/>
        <v>179738.26291666701</v>
      </c>
      <c r="M65" s="490">
        <v>77470.374186666697</v>
      </c>
      <c r="N65" s="553">
        <v>49548.776186666699</v>
      </c>
      <c r="O65" s="554">
        <f t="shared" si="20"/>
        <v>27921.598000000002</v>
      </c>
      <c r="P65" s="555"/>
      <c r="Q65" s="568">
        <f t="shared" si="23"/>
        <v>151816.66491666701</v>
      </c>
    </row>
    <row r="66" spans="1:17" ht="20.149999999999999" customHeight="1">
      <c r="A66" s="9">
        <v>5</v>
      </c>
      <c r="B66" s="13" t="s">
        <v>330</v>
      </c>
      <c r="C66" s="16" t="s">
        <v>256</v>
      </c>
      <c r="D66" s="14" t="s">
        <v>254</v>
      </c>
      <c r="E66" s="71">
        <v>484373.75</v>
      </c>
      <c r="F66" s="71"/>
      <c r="G66" s="201">
        <f>140000</f>
        <v>140000</v>
      </c>
      <c r="H66" s="201"/>
      <c r="I66" s="71"/>
      <c r="J66" s="488">
        <f t="shared" si="21"/>
        <v>624373.75</v>
      </c>
      <c r="K66" s="488">
        <v>421394.00675</v>
      </c>
      <c r="L66" s="488">
        <f t="shared" si="22"/>
        <v>202979.74325</v>
      </c>
      <c r="M66" s="490">
        <v>91106.445866666705</v>
      </c>
      <c r="N66" s="553">
        <v>59574.315962666697</v>
      </c>
      <c r="O66" s="554">
        <f t="shared" si="20"/>
        <v>31532.129904000001</v>
      </c>
      <c r="P66" s="555"/>
      <c r="Q66" s="568">
        <f t="shared" si="23"/>
        <v>171447.613346</v>
      </c>
    </row>
    <row r="67" spans="1:17" ht="20.149999999999999" customHeight="1">
      <c r="A67" s="9">
        <v>7</v>
      </c>
      <c r="B67" s="10" t="s">
        <v>331</v>
      </c>
      <c r="C67" s="3" t="s">
        <v>63</v>
      </c>
      <c r="D67" s="9" t="s">
        <v>332</v>
      </c>
      <c r="E67" s="71">
        <v>365703.83333333302</v>
      </c>
      <c r="F67" s="71"/>
      <c r="G67" s="201">
        <f>110000</f>
        <v>110000</v>
      </c>
      <c r="H67" s="201"/>
      <c r="I67" s="71">
        <v>0</v>
      </c>
      <c r="J67" s="488">
        <f t="shared" si="21"/>
        <v>475703.83333333302</v>
      </c>
      <c r="K67" s="488">
        <v>322454.07400000002</v>
      </c>
      <c r="L67" s="488">
        <f t="shared" si="22"/>
        <v>153249.759333333</v>
      </c>
      <c r="M67" s="490">
        <v>64384.591786666701</v>
      </c>
      <c r="N67" s="553">
        <v>41338.951098666701</v>
      </c>
      <c r="O67" s="554">
        <f t="shared" si="20"/>
        <v>23045.640687999999</v>
      </c>
      <c r="P67" s="555"/>
      <c r="Q67" s="568">
        <f t="shared" si="23"/>
        <v>130204.118645333</v>
      </c>
    </row>
    <row r="68" spans="1:17" ht="20.149999999999999" customHeight="1">
      <c r="A68" s="9">
        <v>8</v>
      </c>
      <c r="B68" s="10" t="s">
        <v>333</v>
      </c>
      <c r="C68" s="16" t="s">
        <v>275</v>
      </c>
      <c r="D68" s="9" t="s">
        <v>332</v>
      </c>
      <c r="E68" s="71">
        <v>365703.83333333302</v>
      </c>
      <c r="F68" s="71"/>
      <c r="G68" s="201">
        <f t="shared" ref="G68:G70" si="25">110000</f>
        <v>110000</v>
      </c>
      <c r="H68" s="201"/>
      <c r="I68" s="71">
        <v>0</v>
      </c>
      <c r="J68" s="488">
        <f t="shared" si="21"/>
        <v>475703.83333333302</v>
      </c>
      <c r="K68" s="488">
        <v>322454.07400000002</v>
      </c>
      <c r="L68" s="488">
        <f t="shared" si="22"/>
        <v>153249.759333333</v>
      </c>
      <c r="M68" s="490">
        <v>64384.591786666701</v>
      </c>
      <c r="N68" s="553">
        <v>41338.951098666701</v>
      </c>
      <c r="O68" s="554">
        <f t="shared" si="20"/>
        <v>23045.640687999999</v>
      </c>
      <c r="P68" s="555"/>
      <c r="Q68" s="568">
        <f t="shared" si="23"/>
        <v>130204.118645333</v>
      </c>
    </row>
    <row r="69" spans="1:17" ht="20.149999999999999" customHeight="1">
      <c r="A69" s="9">
        <v>9</v>
      </c>
      <c r="B69" s="10" t="s">
        <v>334</v>
      </c>
      <c r="C69" s="16" t="s">
        <v>275</v>
      </c>
      <c r="D69" s="9" t="s">
        <v>332</v>
      </c>
      <c r="E69" s="71">
        <v>365703.83333333302</v>
      </c>
      <c r="F69" s="71"/>
      <c r="G69" s="201">
        <f t="shared" si="25"/>
        <v>110000</v>
      </c>
      <c r="H69" s="201"/>
      <c r="I69" s="71">
        <v>0</v>
      </c>
      <c r="J69" s="488">
        <f t="shared" si="21"/>
        <v>475703.83333333302</v>
      </c>
      <c r="K69" s="488">
        <v>322454.07400000002</v>
      </c>
      <c r="L69" s="488">
        <f t="shared" si="22"/>
        <v>153249.759333333</v>
      </c>
      <c r="M69" s="490">
        <v>64384.591786666701</v>
      </c>
      <c r="N69" s="553">
        <v>41338.951098666701</v>
      </c>
      <c r="O69" s="554">
        <f t="shared" si="20"/>
        <v>23045.640687999999</v>
      </c>
      <c r="P69" s="555"/>
      <c r="Q69" s="568">
        <f t="shared" si="23"/>
        <v>130204.118645333</v>
      </c>
    </row>
    <row r="70" spans="1:17" ht="20.149999999999999" customHeight="1">
      <c r="A70" s="9">
        <v>10</v>
      </c>
      <c r="B70" s="10" t="s">
        <v>335</v>
      </c>
      <c r="C70" s="3" t="s">
        <v>336</v>
      </c>
      <c r="D70" s="9" t="s">
        <v>271</v>
      </c>
      <c r="E70" s="439">
        <v>377895.16666666698</v>
      </c>
      <c r="F70" s="71"/>
      <c r="G70" s="201">
        <f t="shared" si="25"/>
        <v>110000</v>
      </c>
      <c r="H70" s="201"/>
      <c r="I70" s="71"/>
      <c r="J70" s="488">
        <f t="shared" si="21"/>
        <v>487895.16666666698</v>
      </c>
      <c r="K70" s="488">
        <v>334536.99849999999</v>
      </c>
      <c r="L70" s="488">
        <f t="shared" si="22"/>
        <v>153358.16816666699</v>
      </c>
      <c r="M70" s="490">
        <v>66538.068906666696</v>
      </c>
      <c r="N70" s="553">
        <v>43368.882414666703</v>
      </c>
      <c r="O70" s="554">
        <f t="shared" si="20"/>
        <v>23169.186492000001</v>
      </c>
      <c r="P70" s="555"/>
      <c r="Q70" s="568">
        <f t="shared" si="23"/>
        <v>130188.981674667</v>
      </c>
    </row>
    <row r="71" spans="1:17" ht="21.65" customHeight="1">
      <c r="A71" s="9">
        <v>11</v>
      </c>
      <c r="B71" s="10" t="s">
        <v>337</v>
      </c>
      <c r="C71" s="3" t="s">
        <v>63</v>
      </c>
      <c r="D71" s="9" t="s">
        <v>301</v>
      </c>
      <c r="E71" s="201">
        <v>300965.58333333302</v>
      </c>
      <c r="F71" s="71"/>
      <c r="G71" s="201">
        <v>100000</v>
      </c>
      <c r="H71" s="201"/>
      <c r="I71" s="71"/>
      <c r="J71" s="488">
        <f t="shared" si="21"/>
        <v>400965.58333333302</v>
      </c>
      <c r="K71" s="488">
        <v>277734.04700000002</v>
      </c>
      <c r="L71" s="488">
        <f t="shared" si="22"/>
        <v>123231.536333333</v>
      </c>
      <c r="M71" s="490">
        <v>51029.227306666697</v>
      </c>
      <c r="N71" s="553">
        <v>33825.986562666702</v>
      </c>
      <c r="O71" s="554">
        <f t="shared" si="20"/>
        <v>17203.240743999999</v>
      </c>
      <c r="P71" s="555"/>
      <c r="Q71" s="568">
        <f t="shared" si="23"/>
        <v>106028.29558933301</v>
      </c>
    </row>
    <row r="72" spans="1:17" ht="27" customHeight="1">
      <c r="A72" s="9"/>
      <c r="B72" s="19" t="s">
        <v>34</v>
      </c>
      <c r="C72" s="20">
        <v>12</v>
      </c>
      <c r="D72" s="20"/>
      <c r="E72" s="79">
        <f>SUM(E62:E71)</f>
        <v>5169125.25</v>
      </c>
      <c r="F72" s="79">
        <f t="shared" ref="F72:O72" si="26">SUM(F62:F71)</f>
        <v>0</v>
      </c>
      <c r="G72" s="79">
        <f t="shared" si="26"/>
        <v>1300000</v>
      </c>
      <c r="H72" s="79">
        <f t="shared" si="26"/>
        <v>0</v>
      </c>
      <c r="I72" s="79">
        <f t="shared" si="26"/>
        <v>0</v>
      </c>
      <c r="J72" s="79">
        <f t="shared" si="26"/>
        <v>6469125.25</v>
      </c>
      <c r="K72" s="79">
        <v>4333762.409</v>
      </c>
      <c r="L72" s="79">
        <f t="shared" si="26"/>
        <v>2135362.841</v>
      </c>
      <c r="M72" s="79">
        <f t="shared" si="26"/>
        <v>971393.61002666701</v>
      </c>
      <c r="N72" s="561">
        <v>623337.85077466699</v>
      </c>
      <c r="O72" s="561">
        <f t="shared" si="26"/>
        <v>348055.75925200002</v>
      </c>
      <c r="P72" s="562"/>
      <c r="Q72" s="572">
        <f>SUM(Q62:Q71)</f>
        <v>1787307.0817480001</v>
      </c>
    </row>
    <row r="73" spans="1:17" ht="20.149999999999999" customHeight="1">
      <c r="A73" s="9"/>
      <c r="B73" s="21"/>
      <c r="C73" s="20"/>
      <c r="D73" s="20"/>
      <c r="E73" s="133"/>
      <c r="F73" s="133"/>
      <c r="G73" s="201"/>
      <c r="H73" s="201"/>
      <c r="I73" s="133"/>
      <c r="J73" s="495"/>
      <c r="K73" s="495"/>
      <c r="L73" s="495"/>
      <c r="M73" s="496"/>
      <c r="N73" s="563"/>
      <c r="O73" s="563"/>
      <c r="P73" s="564"/>
      <c r="Q73" s="573"/>
    </row>
    <row r="74" spans="1:17" ht="20.149999999999999" customHeight="1">
      <c r="A74" s="9"/>
      <c r="B74" s="19" t="s">
        <v>51</v>
      </c>
      <c r="C74" s="20"/>
      <c r="D74" s="20"/>
      <c r="E74" s="133"/>
      <c r="F74" s="133"/>
      <c r="G74" s="201"/>
      <c r="H74" s="201"/>
      <c r="I74" s="133"/>
      <c r="J74" s="495"/>
      <c r="K74" s="495"/>
      <c r="L74" s="495"/>
      <c r="M74" s="496"/>
      <c r="N74" s="563"/>
      <c r="O74" s="563"/>
      <c r="P74" s="564"/>
      <c r="Q74" s="573"/>
    </row>
    <row r="75" spans="1:17" ht="20.149999999999999" customHeight="1">
      <c r="A75" s="9">
        <v>1</v>
      </c>
      <c r="B75" s="10" t="s">
        <v>338</v>
      </c>
      <c r="C75" s="3" t="s">
        <v>339</v>
      </c>
      <c r="D75" s="9" t="s">
        <v>297</v>
      </c>
      <c r="E75" s="71">
        <v>1435720</v>
      </c>
      <c r="F75" s="71"/>
      <c r="G75" s="201">
        <f>200000</f>
        <v>200000</v>
      </c>
      <c r="H75" s="201"/>
      <c r="I75" s="71">
        <v>0</v>
      </c>
      <c r="J75" s="488">
        <f>E75+F75+G75+H75+I75</f>
        <v>1635720</v>
      </c>
      <c r="K75" s="488">
        <v>1050209.0634999999</v>
      </c>
      <c r="L75" s="488">
        <f>J75-K75</f>
        <v>585510.93649999995</v>
      </c>
      <c r="M75" s="490">
        <v>270672.24746666697</v>
      </c>
      <c r="N75" s="553">
        <v>180306.806858667</v>
      </c>
      <c r="O75" s="554">
        <f t="shared" ref="O75:O81" si="27">M75-N75</f>
        <v>90365.440607999903</v>
      </c>
      <c r="P75" s="555"/>
      <c r="Q75" s="568">
        <f>L75-O75</f>
        <v>495145.49589199998</v>
      </c>
    </row>
    <row r="76" spans="1:17" ht="20.149999999999999" customHeight="1">
      <c r="A76" s="9">
        <v>2</v>
      </c>
      <c r="B76" s="13" t="s">
        <v>220</v>
      </c>
      <c r="C76" s="3" t="s">
        <v>221</v>
      </c>
      <c r="D76" s="14" t="s">
        <v>222</v>
      </c>
      <c r="E76" s="71">
        <v>601396.83333333302</v>
      </c>
      <c r="F76" s="71"/>
      <c r="G76" s="201">
        <f>160000</f>
        <v>160000</v>
      </c>
      <c r="H76" s="201"/>
      <c r="I76" s="133">
        <v>0</v>
      </c>
      <c r="J76" s="488">
        <f t="shared" ref="J76:J81" si="28">E76+F76+G76+H76+I76</f>
        <v>761396.83333333302</v>
      </c>
      <c r="K76" s="488">
        <v>516137.05</v>
      </c>
      <c r="L76" s="488">
        <f t="shared" ref="L76:L81" si="29">J76-K76</f>
        <v>245259.78333333301</v>
      </c>
      <c r="M76" s="490">
        <v>124854.858666667</v>
      </c>
      <c r="N76" s="553">
        <v>77764.980266666695</v>
      </c>
      <c r="O76" s="554">
        <f t="shared" si="27"/>
        <v>47089.878400000001</v>
      </c>
      <c r="P76" s="555"/>
      <c r="Q76" s="568">
        <f t="shared" ref="Q76:Q81" si="30">L76-O76</f>
        <v>198169.90493333299</v>
      </c>
    </row>
    <row r="77" spans="1:17" ht="20.149999999999999" customHeight="1">
      <c r="A77" s="9">
        <v>3</v>
      </c>
      <c r="B77" s="17" t="s">
        <v>223</v>
      </c>
      <c r="C77" s="11" t="s">
        <v>224</v>
      </c>
      <c r="D77" s="9" t="s">
        <v>225</v>
      </c>
      <c r="E77" s="71">
        <v>620675.58333333302</v>
      </c>
      <c r="F77" s="71"/>
      <c r="G77" s="201">
        <v>0</v>
      </c>
      <c r="H77" s="201">
        <v>80000</v>
      </c>
      <c r="I77" s="133">
        <v>0</v>
      </c>
      <c r="J77" s="488">
        <f t="shared" si="28"/>
        <v>700675.58333333302</v>
      </c>
      <c r="K77" s="488">
        <v>447553.5025</v>
      </c>
      <c r="L77" s="488">
        <f t="shared" si="29"/>
        <v>253122.08083333299</v>
      </c>
      <c r="M77" s="490">
        <v>113196.37866666701</v>
      </c>
      <c r="N77" s="553">
        <v>64596.9391466667</v>
      </c>
      <c r="O77" s="554">
        <f t="shared" si="27"/>
        <v>48599.43952</v>
      </c>
      <c r="P77" s="555"/>
      <c r="Q77" s="568">
        <f t="shared" si="30"/>
        <v>204522.64131333301</v>
      </c>
    </row>
    <row r="78" spans="1:17" ht="20.149999999999999" customHeight="1">
      <c r="A78" s="9">
        <v>4</v>
      </c>
      <c r="B78" s="10" t="s">
        <v>340</v>
      </c>
      <c r="C78" s="3" t="s">
        <v>341</v>
      </c>
      <c r="D78" s="14" t="s">
        <v>342</v>
      </c>
      <c r="E78" s="71">
        <v>456622.25</v>
      </c>
      <c r="F78" s="71"/>
      <c r="G78" s="201">
        <f>140000</f>
        <v>140000</v>
      </c>
      <c r="H78" s="201"/>
      <c r="I78" s="71">
        <v>0</v>
      </c>
      <c r="J78" s="488">
        <f t="shared" si="28"/>
        <v>596622.25</v>
      </c>
      <c r="K78" s="488">
        <v>405272.06374999997</v>
      </c>
      <c r="L78" s="488">
        <f t="shared" si="29"/>
        <v>191350.18625</v>
      </c>
      <c r="M78" s="490">
        <v>86076.104186666693</v>
      </c>
      <c r="N78" s="553">
        <v>56350.586186666696</v>
      </c>
      <c r="O78" s="554">
        <f t="shared" si="27"/>
        <v>29725.518</v>
      </c>
      <c r="P78" s="555"/>
      <c r="Q78" s="568">
        <f t="shared" si="30"/>
        <v>161624.66824999999</v>
      </c>
    </row>
    <row r="79" spans="1:17" ht="20.149999999999999" customHeight="1">
      <c r="A79" s="9">
        <v>5</v>
      </c>
      <c r="B79" s="10" t="s">
        <v>343</v>
      </c>
      <c r="C79" s="3" t="s">
        <v>344</v>
      </c>
      <c r="D79" s="9" t="s">
        <v>345</v>
      </c>
      <c r="E79" s="71">
        <v>308901.5</v>
      </c>
      <c r="F79" s="71"/>
      <c r="G79" s="201">
        <f>100000</f>
        <v>100000</v>
      </c>
      <c r="H79" s="201"/>
      <c r="I79" s="71"/>
      <c r="J79" s="488">
        <f t="shared" si="28"/>
        <v>408901.5</v>
      </c>
      <c r="K79" s="488">
        <v>273169.11749999999</v>
      </c>
      <c r="L79" s="488">
        <f t="shared" si="29"/>
        <v>135732.38250000001</v>
      </c>
      <c r="M79" s="490">
        <v>52431.027626666699</v>
      </c>
      <c r="N79" s="553">
        <v>33059.078406666697</v>
      </c>
      <c r="O79" s="554">
        <f t="shared" si="27"/>
        <v>19371.949219999999</v>
      </c>
      <c r="P79" s="555"/>
      <c r="Q79" s="568">
        <f t="shared" si="30"/>
        <v>116360.43328</v>
      </c>
    </row>
    <row r="80" spans="1:17" ht="20.149999999999999" customHeight="1">
      <c r="A80" s="9">
        <v>6</v>
      </c>
      <c r="B80" s="10" t="s">
        <v>346</v>
      </c>
      <c r="C80" s="3" t="s">
        <v>344</v>
      </c>
      <c r="D80" s="9" t="s">
        <v>283</v>
      </c>
      <c r="E80" s="71">
        <v>263165.33333333302</v>
      </c>
      <c r="F80" s="71"/>
      <c r="G80" s="201">
        <v>100000</v>
      </c>
      <c r="H80" s="201"/>
      <c r="I80" s="71"/>
      <c r="J80" s="488">
        <f t="shared" si="28"/>
        <v>363165.33333333302</v>
      </c>
      <c r="K80" s="488">
        <v>249356.04725</v>
      </c>
      <c r="L80" s="488">
        <f t="shared" si="29"/>
        <v>113809.28608333301</v>
      </c>
      <c r="M80" s="490">
        <v>44641.500586666698</v>
      </c>
      <c r="N80" s="553">
        <v>29058.4826046667</v>
      </c>
      <c r="O80" s="554">
        <f t="shared" si="27"/>
        <v>15583.017981999999</v>
      </c>
      <c r="P80" s="555"/>
      <c r="Q80" s="568">
        <f t="shared" si="30"/>
        <v>98226.268101333306</v>
      </c>
    </row>
    <row r="81" spans="1:17" ht="20.149999999999999" customHeight="1">
      <c r="A81" s="9">
        <v>7</v>
      </c>
      <c r="B81" s="10" t="s">
        <v>347</v>
      </c>
      <c r="C81" s="3" t="s">
        <v>348</v>
      </c>
      <c r="D81" s="9" t="s">
        <v>294</v>
      </c>
      <c r="E81" s="71">
        <v>224459.75</v>
      </c>
      <c r="F81" s="71"/>
      <c r="G81" s="201">
        <v>100000</v>
      </c>
      <c r="H81" s="201">
        <v>0</v>
      </c>
      <c r="I81" s="71"/>
      <c r="J81" s="488">
        <f t="shared" si="28"/>
        <v>324459.75</v>
      </c>
      <c r="K81" s="488">
        <v>223717.28450000001</v>
      </c>
      <c r="L81" s="488">
        <f t="shared" si="29"/>
        <v>100742.46550000001</v>
      </c>
      <c r="M81" s="490">
        <v>38659.165626666698</v>
      </c>
      <c r="N81" s="553">
        <v>24751.170462666701</v>
      </c>
      <c r="O81" s="554">
        <f t="shared" si="27"/>
        <v>13907.995164</v>
      </c>
      <c r="P81" s="555"/>
      <c r="Q81" s="568">
        <f t="shared" si="30"/>
        <v>86834.470335999998</v>
      </c>
    </row>
    <row r="82" spans="1:17" ht="20.149999999999999" customHeight="1">
      <c r="A82" s="9"/>
      <c r="B82" s="19" t="s">
        <v>34</v>
      </c>
      <c r="C82" s="20">
        <v>7</v>
      </c>
      <c r="D82" s="20"/>
      <c r="E82" s="79">
        <f>SUM(E75:E81)</f>
        <v>3910941.25</v>
      </c>
      <c r="F82" s="79">
        <f t="shared" ref="F82:O82" si="31">SUM(F75:F81)</f>
        <v>0</v>
      </c>
      <c r="G82" s="79">
        <f t="shared" si="31"/>
        <v>800000</v>
      </c>
      <c r="H82" s="79">
        <f t="shared" si="31"/>
        <v>80000</v>
      </c>
      <c r="I82" s="79">
        <f t="shared" si="31"/>
        <v>0</v>
      </c>
      <c r="J82" s="79">
        <f t="shared" si="31"/>
        <v>4790941.25</v>
      </c>
      <c r="K82" s="79">
        <v>3165414.1290000002</v>
      </c>
      <c r="L82" s="79">
        <f t="shared" si="31"/>
        <v>1625527.121</v>
      </c>
      <c r="M82" s="79">
        <f t="shared" si="31"/>
        <v>730531.28282666695</v>
      </c>
      <c r="N82" s="561">
        <v>465888.043932667</v>
      </c>
      <c r="O82" s="561">
        <f t="shared" si="31"/>
        <v>264643.23889400001</v>
      </c>
      <c r="P82" s="562"/>
      <c r="Q82" s="572">
        <f>SUM(Q75:Q81)</f>
        <v>1360883.8821060001</v>
      </c>
    </row>
    <row r="83" spans="1:17" ht="20.149999999999999" customHeight="1">
      <c r="A83" s="9"/>
      <c r="B83" s="19"/>
      <c r="C83" s="20"/>
      <c r="D83" s="20"/>
      <c r="E83" s="133"/>
      <c r="F83" s="133"/>
      <c r="G83" s="201"/>
      <c r="H83" s="201"/>
      <c r="I83" s="133"/>
      <c r="J83" s="495"/>
      <c r="K83" s="495"/>
      <c r="L83" s="495"/>
      <c r="M83" s="496"/>
      <c r="N83" s="563"/>
      <c r="O83" s="563"/>
      <c r="P83" s="564"/>
      <c r="Q83" s="573"/>
    </row>
    <row r="84" spans="1:17" ht="20.149999999999999" customHeight="1">
      <c r="A84" s="9"/>
      <c r="B84" s="19" t="s">
        <v>56</v>
      </c>
      <c r="C84" s="24"/>
      <c r="D84" s="20"/>
      <c r="E84" s="133"/>
      <c r="F84" s="133"/>
      <c r="G84" s="201"/>
      <c r="H84" s="201"/>
      <c r="I84" s="133"/>
      <c r="J84" s="495"/>
      <c r="K84" s="495"/>
      <c r="L84" s="495"/>
      <c r="M84" s="496"/>
      <c r="N84" s="563"/>
      <c r="O84" s="563"/>
      <c r="P84" s="564"/>
      <c r="Q84" s="573"/>
    </row>
    <row r="85" spans="1:17" ht="20.149999999999999" customHeight="1">
      <c r="A85" s="9">
        <v>1</v>
      </c>
      <c r="B85" s="10" t="s">
        <v>349</v>
      </c>
      <c r="C85" s="3" t="s">
        <v>310</v>
      </c>
      <c r="D85" s="9" t="s">
        <v>249</v>
      </c>
      <c r="E85" s="71">
        <v>620675.58333333302</v>
      </c>
      <c r="F85" s="71"/>
      <c r="G85" s="201">
        <f>160000</f>
        <v>160000</v>
      </c>
      <c r="H85" s="201"/>
      <c r="I85" s="71">
        <v>100000</v>
      </c>
      <c r="J85" s="488">
        <f>E85+F85+G85+H85+I85</f>
        <v>880675.58333333302</v>
      </c>
      <c r="K85" s="488">
        <v>627553.50249999994</v>
      </c>
      <c r="L85" s="488">
        <f>J85-K85</f>
        <v>253122.08083333299</v>
      </c>
      <c r="M85" s="490">
        <v>138222.801706667</v>
      </c>
      <c r="N85" s="553">
        <v>99156.9391466667</v>
      </c>
      <c r="O85" s="554">
        <f t="shared" ref="O85:O94" si="32">M85-N85</f>
        <v>39065.862560000001</v>
      </c>
      <c r="P85" s="555"/>
      <c r="Q85" s="568">
        <f>L85-O85</f>
        <v>214056.21827333301</v>
      </c>
    </row>
    <row r="86" spans="1:17" ht="20.149999999999999" customHeight="1">
      <c r="A86" s="9">
        <v>2</v>
      </c>
      <c r="B86" s="10" t="s">
        <v>350</v>
      </c>
      <c r="C86" s="3" t="s">
        <v>310</v>
      </c>
      <c r="D86" s="9" t="s">
        <v>249</v>
      </c>
      <c r="E86" s="71">
        <v>620675.58333333302</v>
      </c>
      <c r="F86" s="71"/>
      <c r="G86" s="201">
        <f>160000</f>
        <v>160000</v>
      </c>
      <c r="H86" s="201"/>
      <c r="I86" s="71"/>
      <c r="J86" s="488">
        <f t="shared" ref="J86:J94" si="33">E86+F86+G86+H86+I86</f>
        <v>780675.58333333302</v>
      </c>
      <c r="K86" s="488">
        <v>527553.50249999994</v>
      </c>
      <c r="L86" s="488">
        <f t="shared" ref="L86:L94" si="34">J86-K86</f>
        <v>253122.08083333299</v>
      </c>
      <c r="M86" s="490">
        <v>118861.965706667</v>
      </c>
      <c r="N86" s="553">
        <v>79796.103146666603</v>
      </c>
      <c r="O86" s="554">
        <f t="shared" si="32"/>
        <v>39065.862560000001</v>
      </c>
      <c r="P86" s="555"/>
      <c r="Q86" s="568">
        <f t="shared" ref="Q86:Q94" si="35">L86-O86</f>
        <v>214056.21827333301</v>
      </c>
    </row>
    <row r="87" spans="1:17" ht="20.149999999999999" customHeight="1">
      <c r="A87" s="9">
        <v>3</v>
      </c>
      <c r="B87" s="10" t="s">
        <v>351</v>
      </c>
      <c r="C87" s="3" t="s">
        <v>310</v>
      </c>
      <c r="D87" s="9" t="s">
        <v>228</v>
      </c>
      <c r="E87" s="71">
        <v>582118.08333333302</v>
      </c>
      <c r="F87" s="71"/>
      <c r="G87" s="201">
        <v>160000</v>
      </c>
      <c r="H87" s="201"/>
      <c r="I87" s="71"/>
      <c r="J87" s="488">
        <f t="shared" si="33"/>
        <v>742118.08333333302</v>
      </c>
      <c r="K87" s="488">
        <v>504729.22200000001</v>
      </c>
      <c r="L87" s="488">
        <f t="shared" si="34"/>
        <v>237388.86133333301</v>
      </c>
      <c r="M87" s="490">
        <v>112212.004906667</v>
      </c>
      <c r="N87" s="553">
        <v>75574.677290666703</v>
      </c>
      <c r="O87" s="554">
        <f t="shared" si="32"/>
        <v>36637.327616000002</v>
      </c>
      <c r="P87" s="555"/>
      <c r="Q87" s="568">
        <f t="shared" si="35"/>
        <v>200751.53371733299</v>
      </c>
    </row>
    <row r="88" spans="1:17" ht="21.65" customHeight="1">
      <c r="A88" s="9">
        <v>4</v>
      </c>
      <c r="B88" s="10" t="s">
        <v>352</v>
      </c>
      <c r="C88" s="3" t="s">
        <v>353</v>
      </c>
      <c r="D88" s="14" t="s">
        <v>263</v>
      </c>
      <c r="E88" s="71">
        <v>441804.91666666698</v>
      </c>
      <c r="F88" s="71"/>
      <c r="G88" s="201">
        <f>120000</f>
        <v>120000</v>
      </c>
      <c r="H88" s="201"/>
      <c r="I88" s="71">
        <v>0</v>
      </c>
      <c r="J88" s="488">
        <f t="shared" si="33"/>
        <v>561804.91666666698</v>
      </c>
      <c r="K88" s="488">
        <v>376663.07750000001</v>
      </c>
      <c r="L88" s="488">
        <f t="shared" si="34"/>
        <v>185141.83916666699</v>
      </c>
      <c r="M88" s="490">
        <v>79747.087146666701</v>
      </c>
      <c r="N88" s="553">
        <v>50985.977546666698</v>
      </c>
      <c r="O88" s="554">
        <f t="shared" si="32"/>
        <v>28761.1096</v>
      </c>
      <c r="P88" s="555"/>
      <c r="Q88" s="568">
        <f t="shared" si="35"/>
        <v>156380.729566667</v>
      </c>
    </row>
    <row r="89" spans="1:17" ht="21.65" customHeight="1">
      <c r="A89" s="9">
        <v>5</v>
      </c>
      <c r="B89" s="10" t="s">
        <v>354</v>
      </c>
      <c r="C89" s="11" t="s">
        <v>47</v>
      </c>
      <c r="D89" s="14" t="s">
        <v>266</v>
      </c>
      <c r="E89" s="71">
        <v>428915.91666666698</v>
      </c>
      <c r="F89" s="71"/>
      <c r="G89" s="201">
        <f t="shared" ref="G89" si="36">120000</f>
        <v>120000</v>
      </c>
      <c r="H89" s="201"/>
      <c r="I89" s="71">
        <v>0</v>
      </c>
      <c r="J89" s="488">
        <f t="shared" si="33"/>
        <v>548915.91666666698</v>
      </c>
      <c r="K89" s="488">
        <v>369177.65375</v>
      </c>
      <c r="L89" s="488">
        <f t="shared" si="34"/>
        <v>179738.26291666701</v>
      </c>
      <c r="M89" s="490">
        <v>77470.374186666697</v>
      </c>
      <c r="N89" s="553">
        <v>49548.776186666699</v>
      </c>
      <c r="O89" s="554">
        <f t="shared" si="32"/>
        <v>27921.598000000002</v>
      </c>
      <c r="P89" s="555"/>
      <c r="Q89" s="568">
        <f t="shared" si="35"/>
        <v>151816.66491666701</v>
      </c>
    </row>
    <row r="90" spans="1:17" ht="21.65" customHeight="1">
      <c r="A90" s="9">
        <v>6</v>
      </c>
      <c r="B90" s="10" t="s">
        <v>355</v>
      </c>
      <c r="C90" s="11" t="s">
        <v>256</v>
      </c>
      <c r="D90" s="14" t="s">
        <v>356</v>
      </c>
      <c r="E90" s="71">
        <v>428870.75</v>
      </c>
      <c r="F90" s="71"/>
      <c r="G90" s="201">
        <f>140000</f>
        <v>140000</v>
      </c>
      <c r="H90" s="201"/>
      <c r="I90" s="71">
        <v>0</v>
      </c>
      <c r="J90" s="488">
        <f t="shared" si="33"/>
        <v>568870.75</v>
      </c>
      <c r="K90" s="488">
        <v>389153.05674999999</v>
      </c>
      <c r="L90" s="488">
        <f t="shared" si="34"/>
        <v>179717.69325000001</v>
      </c>
      <c r="M90" s="490">
        <v>81302.3959466667</v>
      </c>
      <c r="N90" s="553">
        <v>53384.053562666697</v>
      </c>
      <c r="O90" s="554">
        <f t="shared" si="32"/>
        <v>27918.342384</v>
      </c>
      <c r="P90" s="555"/>
      <c r="Q90" s="568">
        <f t="shared" si="35"/>
        <v>151799.35086599999</v>
      </c>
    </row>
    <row r="91" spans="1:17" ht="21.65" customHeight="1">
      <c r="A91" s="9">
        <v>7</v>
      </c>
      <c r="B91" s="10" t="s">
        <v>357</v>
      </c>
      <c r="C91" s="16" t="s">
        <v>275</v>
      </c>
      <c r="D91" s="14" t="s">
        <v>332</v>
      </c>
      <c r="E91" s="71">
        <v>365703.83333333302</v>
      </c>
      <c r="F91" s="71"/>
      <c r="G91" s="201">
        <f t="shared" ref="G91" si="37">110000</f>
        <v>110000</v>
      </c>
      <c r="H91" s="201"/>
      <c r="I91" s="71">
        <v>0</v>
      </c>
      <c r="J91" s="488">
        <f t="shared" si="33"/>
        <v>475703.83333333302</v>
      </c>
      <c r="K91" s="488">
        <v>322454.07400000002</v>
      </c>
      <c r="L91" s="488">
        <f t="shared" si="34"/>
        <v>153249.759333333</v>
      </c>
      <c r="M91" s="490">
        <v>64384.591786666701</v>
      </c>
      <c r="N91" s="553">
        <v>41338.951098666701</v>
      </c>
      <c r="O91" s="554">
        <f t="shared" si="32"/>
        <v>23045.640687999999</v>
      </c>
      <c r="P91" s="555"/>
      <c r="Q91" s="568">
        <f t="shared" si="35"/>
        <v>130204.118645333</v>
      </c>
    </row>
    <row r="92" spans="1:17" ht="21.65" customHeight="1">
      <c r="A92" s="9">
        <v>8</v>
      </c>
      <c r="B92" s="10" t="s">
        <v>358</v>
      </c>
      <c r="C92" s="16" t="s">
        <v>47</v>
      </c>
      <c r="D92" s="14" t="s">
        <v>48</v>
      </c>
      <c r="E92" s="71">
        <v>390248.91666666698</v>
      </c>
      <c r="F92" s="71"/>
      <c r="G92" s="201">
        <v>120000</v>
      </c>
      <c r="H92" s="201"/>
      <c r="I92" s="71">
        <v>0</v>
      </c>
      <c r="J92" s="488">
        <f t="shared" si="33"/>
        <v>510248.91666666698</v>
      </c>
      <c r="K92" s="488">
        <v>346713.03324999998</v>
      </c>
      <c r="L92" s="488">
        <f t="shared" si="34"/>
        <v>163535.883416667</v>
      </c>
      <c r="M92" s="490">
        <v>70529.475354666705</v>
      </c>
      <c r="N92" s="553">
        <v>45317.541294666698</v>
      </c>
      <c r="O92" s="554">
        <f t="shared" si="32"/>
        <v>25211.93406</v>
      </c>
      <c r="P92" s="555"/>
      <c r="Q92" s="568">
        <f t="shared" si="35"/>
        <v>138323.949356667</v>
      </c>
    </row>
    <row r="93" spans="1:17" ht="21.65" customHeight="1">
      <c r="A93" s="9">
        <v>9</v>
      </c>
      <c r="B93" s="10" t="s">
        <v>359</v>
      </c>
      <c r="C93" s="3" t="s">
        <v>360</v>
      </c>
      <c r="D93" s="9" t="s">
        <v>301</v>
      </c>
      <c r="E93" s="201">
        <v>300965.58333333302</v>
      </c>
      <c r="F93" s="71"/>
      <c r="G93" s="201">
        <v>100000</v>
      </c>
      <c r="H93" s="201"/>
      <c r="I93" s="71"/>
      <c r="J93" s="488">
        <f t="shared" si="33"/>
        <v>400965.58333333302</v>
      </c>
      <c r="K93" s="488">
        <v>277734.04700000002</v>
      </c>
      <c r="L93" s="488">
        <f t="shared" si="34"/>
        <v>123231.536333333</v>
      </c>
      <c r="M93" s="490">
        <v>51029.227306666697</v>
      </c>
      <c r="N93" s="553">
        <v>33825.986562666702</v>
      </c>
      <c r="O93" s="554">
        <f t="shared" si="32"/>
        <v>17203.240743999999</v>
      </c>
      <c r="P93" s="555"/>
      <c r="Q93" s="568">
        <f t="shared" si="35"/>
        <v>106028.29558933301</v>
      </c>
    </row>
    <row r="94" spans="1:17" ht="21.65" customHeight="1">
      <c r="A94" s="9">
        <v>10</v>
      </c>
      <c r="B94" s="10" t="s">
        <v>361</v>
      </c>
      <c r="C94" s="16" t="s">
        <v>362</v>
      </c>
      <c r="D94" s="14" t="s">
        <v>291</v>
      </c>
      <c r="E94" s="201">
        <v>230631.91666666701</v>
      </c>
      <c r="F94" s="71"/>
      <c r="G94" s="201">
        <f t="shared" ref="G94" si="38">100000</f>
        <v>100000</v>
      </c>
      <c r="H94" s="201"/>
      <c r="I94" s="71"/>
      <c r="J94" s="488">
        <f t="shared" si="33"/>
        <v>330631.91666666698</v>
      </c>
      <c r="K94" s="488">
        <v>254870.26344499999</v>
      </c>
      <c r="L94" s="488">
        <f t="shared" si="34"/>
        <v>75761.653221666595</v>
      </c>
      <c r="M94" s="490">
        <v>39613.135706666697</v>
      </c>
      <c r="N94" s="553">
        <v>29984.870925426701</v>
      </c>
      <c r="O94" s="554">
        <f t="shared" si="32"/>
        <v>9628.26478123999</v>
      </c>
      <c r="P94" s="555"/>
      <c r="Q94" s="581">
        <f t="shared" si="35"/>
        <v>66133.388440426599</v>
      </c>
    </row>
    <row r="95" spans="1:17" ht="20.149999999999999" customHeight="1">
      <c r="A95" s="9"/>
      <c r="B95" s="19" t="s">
        <v>34</v>
      </c>
      <c r="C95" s="20">
        <v>11</v>
      </c>
      <c r="D95" s="20"/>
      <c r="E95" s="79">
        <f>SUM(E85:E94)</f>
        <v>4410611.0833333302</v>
      </c>
      <c r="F95" s="79">
        <f t="shared" ref="F95:O95" si="39">SUM(F85:F94)</f>
        <v>0</v>
      </c>
      <c r="G95" s="79">
        <f t="shared" si="39"/>
        <v>1290000</v>
      </c>
      <c r="H95" s="79">
        <f t="shared" si="39"/>
        <v>0</v>
      </c>
      <c r="I95" s="79">
        <f t="shared" si="39"/>
        <v>100000</v>
      </c>
      <c r="J95" s="79">
        <f t="shared" si="39"/>
        <v>5800611.0833333302</v>
      </c>
      <c r="K95" s="79">
        <v>3996601.432695</v>
      </c>
      <c r="L95" s="79">
        <f t="shared" si="39"/>
        <v>1804009.65063833</v>
      </c>
      <c r="M95" s="79">
        <f t="shared" si="39"/>
        <v>833373.05975466699</v>
      </c>
      <c r="N95" s="561">
        <v>558913.87676142703</v>
      </c>
      <c r="O95" s="561">
        <f t="shared" si="39"/>
        <v>274459.18299324001</v>
      </c>
      <c r="P95" s="562"/>
      <c r="Q95" s="572">
        <f>SUM(Q85:Q94)</f>
        <v>1529550.4676450901</v>
      </c>
    </row>
    <row r="96" spans="1:17" ht="20.149999999999999" customHeight="1">
      <c r="A96" s="9"/>
      <c r="B96" s="21"/>
      <c r="C96" s="20"/>
      <c r="D96" s="20"/>
      <c r="E96" s="133"/>
      <c r="F96" s="133"/>
      <c r="G96" s="201"/>
      <c r="H96" s="201"/>
      <c r="I96" s="133"/>
      <c r="J96" s="495"/>
      <c r="K96" s="495"/>
      <c r="L96" s="495"/>
      <c r="M96" s="496"/>
      <c r="N96" s="563"/>
      <c r="O96" s="563"/>
      <c r="P96" s="564"/>
      <c r="Q96" s="573"/>
    </row>
    <row r="97" spans="1:17" ht="20.149999999999999" customHeight="1">
      <c r="A97" s="9"/>
      <c r="B97" s="19" t="s">
        <v>58</v>
      </c>
      <c r="C97" s="20"/>
      <c r="D97" s="20"/>
      <c r="E97" s="133"/>
      <c r="F97" s="133"/>
      <c r="G97" s="201"/>
      <c r="H97" s="201"/>
      <c r="I97" s="133"/>
      <c r="J97" s="495"/>
      <c r="K97" s="495"/>
      <c r="L97" s="495"/>
      <c r="M97" s="496"/>
      <c r="N97" s="563"/>
      <c r="O97" s="563"/>
      <c r="P97" s="564"/>
      <c r="Q97" s="573"/>
    </row>
    <row r="98" spans="1:17" ht="20.149999999999999" customHeight="1">
      <c r="A98" s="9">
        <v>1</v>
      </c>
      <c r="B98" s="13" t="s">
        <v>363</v>
      </c>
      <c r="C98" s="3" t="s">
        <v>364</v>
      </c>
      <c r="D98" s="15" t="s">
        <v>231</v>
      </c>
      <c r="E98" s="71">
        <v>762373.16666666698</v>
      </c>
      <c r="F98" s="71"/>
      <c r="G98" s="201"/>
      <c r="H98" s="201">
        <f>80000+10000</f>
        <v>90000</v>
      </c>
      <c r="I98" s="71"/>
      <c r="J98" s="488">
        <f>E98+F98+G98+H98+I98</f>
        <v>852373.16666666698</v>
      </c>
      <c r="K98" s="488">
        <v>541465.02474999998</v>
      </c>
      <c r="L98" s="488">
        <f>J98-K98</f>
        <v>310908.14191666699</v>
      </c>
      <c r="M98" s="490">
        <v>130407.52761066701</v>
      </c>
      <c r="N98" s="553">
        <v>82423.216202666707</v>
      </c>
      <c r="O98" s="554">
        <f>M98-N98</f>
        <v>47984.311408000001</v>
      </c>
      <c r="P98" s="555"/>
      <c r="Q98" s="568">
        <f>L98-O98</f>
        <v>262923.83050866699</v>
      </c>
    </row>
    <row r="99" spans="1:17" ht="20.149999999999999" customHeight="1">
      <c r="A99" s="9">
        <v>2</v>
      </c>
      <c r="B99" s="10" t="s">
        <v>366</v>
      </c>
      <c r="C99" s="3" t="s">
        <v>367</v>
      </c>
      <c r="D99" s="14" t="s">
        <v>342</v>
      </c>
      <c r="E99" s="71">
        <v>456622.25</v>
      </c>
      <c r="F99" s="71"/>
      <c r="G99" s="201"/>
      <c r="H99" s="201">
        <v>70000</v>
      </c>
      <c r="I99" s="71">
        <v>0</v>
      </c>
      <c r="J99" s="488">
        <f t="shared" ref="J99:J101" si="40">E99+F99+G99+H99+I99</f>
        <v>526622.25</v>
      </c>
      <c r="K99" s="488">
        <v>335272.06374999997</v>
      </c>
      <c r="L99" s="488">
        <f t="shared" ref="L99:L101" si="41">J99-K99</f>
        <v>191350.18625</v>
      </c>
      <c r="M99" s="490">
        <v>72764.420906666695</v>
      </c>
      <c r="N99" s="553">
        <v>43492.373376666699</v>
      </c>
      <c r="O99" s="554">
        <f>M99-N99</f>
        <v>29272.04753</v>
      </c>
      <c r="P99" s="555"/>
      <c r="Q99" s="568">
        <f t="shared" ref="Q99:Q101" si="42">L99-O99</f>
        <v>162078.13871999999</v>
      </c>
    </row>
    <row r="100" spans="1:17" ht="20.149999999999999" customHeight="1">
      <c r="A100" s="9">
        <v>3</v>
      </c>
      <c r="B100" s="10" t="s">
        <v>368</v>
      </c>
      <c r="C100" s="3" t="s">
        <v>369</v>
      </c>
      <c r="D100" s="14" t="s">
        <v>271</v>
      </c>
      <c r="E100" s="71">
        <v>377895.16666666698</v>
      </c>
      <c r="F100" s="71"/>
      <c r="G100" s="201"/>
      <c r="H100" s="201">
        <f>60000</f>
        <v>60000</v>
      </c>
      <c r="I100" s="71"/>
      <c r="J100" s="488">
        <f t="shared" si="40"/>
        <v>437895.16666666698</v>
      </c>
      <c r="K100" s="488">
        <v>284536.99849999999</v>
      </c>
      <c r="L100" s="488">
        <f t="shared" si="41"/>
        <v>153358.16816666699</v>
      </c>
      <c r="M100" s="490">
        <v>56938.068906666696</v>
      </c>
      <c r="N100" s="553">
        <v>34968.882414666703</v>
      </c>
      <c r="O100" s="554">
        <f>M100-N100</f>
        <v>21969.186492000001</v>
      </c>
      <c r="P100" s="555"/>
      <c r="Q100" s="568">
        <f t="shared" si="42"/>
        <v>131388.98167466701</v>
      </c>
    </row>
    <row r="101" spans="1:17" ht="20.149999999999999" customHeight="1">
      <c r="A101" s="9">
        <v>4</v>
      </c>
      <c r="B101" s="10" t="s">
        <v>370</v>
      </c>
      <c r="C101" s="3" t="s">
        <v>371</v>
      </c>
      <c r="D101" s="14" t="s">
        <v>301</v>
      </c>
      <c r="E101" s="201">
        <v>300965.58333333302</v>
      </c>
      <c r="F101" s="71"/>
      <c r="G101" s="201"/>
      <c r="H101" s="201">
        <f>60000</f>
        <v>60000</v>
      </c>
      <c r="I101" s="71"/>
      <c r="J101" s="488">
        <f t="shared" si="40"/>
        <v>360965.58333333302</v>
      </c>
      <c r="K101" s="488">
        <v>237734.04699999999</v>
      </c>
      <c r="L101" s="488">
        <f t="shared" si="41"/>
        <v>123231.536333333</v>
      </c>
      <c r="M101" s="490">
        <v>43763.907226666699</v>
      </c>
      <c r="N101" s="553">
        <v>27105.986562666702</v>
      </c>
      <c r="O101" s="554">
        <f>M101-N101</f>
        <v>16657.920664000001</v>
      </c>
      <c r="P101" s="555"/>
      <c r="Q101" s="568">
        <f t="shared" si="42"/>
        <v>106573.615669333</v>
      </c>
    </row>
    <row r="102" spans="1:17" ht="20.149999999999999" customHeight="1">
      <c r="A102" s="3"/>
      <c r="B102" s="19" t="s">
        <v>34</v>
      </c>
      <c r="C102" s="20">
        <v>4</v>
      </c>
      <c r="D102" s="25"/>
      <c r="E102" s="79">
        <f>SUM(E98:E101)</f>
        <v>1897856.16666667</v>
      </c>
      <c r="F102" s="79">
        <f t="shared" ref="F102:O102" si="43">SUM(F98:F101)</f>
        <v>0</v>
      </c>
      <c r="G102" s="79">
        <f t="shared" si="43"/>
        <v>0</v>
      </c>
      <c r="H102" s="79">
        <f t="shared" si="43"/>
        <v>280000</v>
      </c>
      <c r="I102" s="79">
        <f t="shared" si="43"/>
        <v>0</v>
      </c>
      <c r="J102" s="79">
        <f t="shared" si="43"/>
        <v>2177856.1666666698</v>
      </c>
      <c r="K102" s="79">
        <v>1399008.1340000001</v>
      </c>
      <c r="L102" s="79">
        <f t="shared" si="43"/>
        <v>778848.03266666702</v>
      </c>
      <c r="M102" s="79">
        <f t="shared" si="43"/>
        <v>303873.924650667</v>
      </c>
      <c r="N102" s="561">
        <v>187990.458556667</v>
      </c>
      <c r="O102" s="561">
        <f t="shared" si="43"/>
        <v>115883.466094</v>
      </c>
      <c r="P102" s="562"/>
      <c r="Q102" s="572">
        <f>SUM(Q98:Q101)</f>
        <v>662964.56657266698</v>
      </c>
    </row>
    <row r="103" spans="1:17" ht="20.149999999999999" customHeight="1">
      <c r="A103" s="3"/>
      <c r="B103" s="21"/>
      <c r="C103" s="20"/>
      <c r="D103" s="25"/>
      <c r="E103" s="133"/>
      <c r="F103" s="133"/>
      <c r="G103" s="201"/>
      <c r="H103" s="201"/>
      <c r="I103" s="133"/>
      <c r="J103" s="495"/>
      <c r="K103" s="495"/>
      <c r="L103" s="495"/>
      <c r="M103" s="496"/>
      <c r="N103" s="563"/>
      <c r="O103" s="563"/>
      <c r="P103" s="564"/>
      <c r="Q103" s="573"/>
    </row>
    <row r="104" spans="1:17" ht="20.149999999999999" customHeight="1">
      <c r="A104" s="3"/>
      <c r="B104" s="19" t="s">
        <v>372</v>
      </c>
      <c r="C104" s="3"/>
      <c r="D104" s="3"/>
      <c r="E104" s="3"/>
      <c r="F104" s="3"/>
      <c r="G104" s="201"/>
      <c r="H104" s="201"/>
      <c r="I104" s="3"/>
      <c r="J104" s="499"/>
      <c r="K104" s="499"/>
      <c r="L104" s="499"/>
      <c r="M104" s="500"/>
      <c r="N104" s="574"/>
      <c r="O104" s="574"/>
      <c r="P104" s="575"/>
      <c r="Q104" s="582"/>
    </row>
    <row r="105" spans="1:17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71">
        <v>1435720</v>
      </c>
      <c r="F105" s="71"/>
      <c r="G105" s="201">
        <f>200000</f>
        <v>200000</v>
      </c>
      <c r="H105" s="201"/>
      <c r="I105" s="71">
        <v>0</v>
      </c>
      <c r="J105" s="488">
        <f>E105+F105+G105+H105+I105</f>
        <v>1635720</v>
      </c>
      <c r="K105" s="488">
        <v>1050209.0634999999</v>
      </c>
      <c r="L105" s="488">
        <f>J105-K105</f>
        <v>585510.93649999995</v>
      </c>
      <c r="M105" s="490">
        <v>270672.24746666697</v>
      </c>
      <c r="N105" s="553">
        <v>180306.806858667</v>
      </c>
      <c r="O105" s="554">
        <f t="shared" ref="O105:O111" si="44">M105-N105</f>
        <v>90365.440607999903</v>
      </c>
      <c r="P105" s="555"/>
      <c r="Q105" s="568">
        <f>L105-O105</f>
        <v>495145.49589199998</v>
      </c>
    </row>
    <row r="106" spans="1:17" ht="20.149999999999999" customHeight="1">
      <c r="A106" s="3">
        <v>2</v>
      </c>
      <c r="B106" s="10" t="s">
        <v>375</v>
      </c>
      <c r="C106" s="3" t="s">
        <v>376</v>
      </c>
      <c r="D106" s="15" t="s">
        <v>231</v>
      </c>
      <c r="E106" s="71">
        <v>762373.16666666698</v>
      </c>
      <c r="F106" s="71"/>
      <c r="G106" s="201">
        <f>160000+20000</f>
        <v>180000</v>
      </c>
      <c r="H106" s="201"/>
      <c r="I106" s="71">
        <v>0</v>
      </c>
      <c r="J106" s="488">
        <f t="shared" ref="J106:J111" si="45">E106+F106+G106+H106+I106</f>
        <v>942373.16666666698</v>
      </c>
      <c r="K106" s="488">
        <v>631465.02474999998</v>
      </c>
      <c r="L106" s="488">
        <f t="shared" ref="L106:L111" si="46">J106-K106</f>
        <v>310908.14191666699</v>
      </c>
      <c r="M106" s="490">
        <v>147687.52761066699</v>
      </c>
      <c r="N106" s="553">
        <v>99703.216202666707</v>
      </c>
      <c r="O106" s="554">
        <f t="shared" si="44"/>
        <v>47984.311408000001</v>
      </c>
      <c r="P106" s="555"/>
      <c r="Q106" s="568">
        <f t="shared" ref="Q106:Q111" si="47">L106-O106</f>
        <v>262923.83050866699</v>
      </c>
    </row>
    <row r="107" spans="1:17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71">
        <v>441804.91666666698</v>
      </c>
      <c r="F107" s="71"/>
      <c r="G107" s="201">
        <f>120000</f>
        <v>120000</v>
      </c>
      <c r="H107" s="201"/>
      <c r="I107" s="71">
        <v>41432.938524999998</v>
      </c>
      <c r="J107" s="488">
        <f t="shared" si="45"/>
        <v>603237.85519166698</v>
      </c>
      <c r="K107" s="488">
        <v>418096.01602500002</v>
      </c>
      <c r="L107" s="488">
        <f t="shared" si="46"/>
        <v>185141.83916666699</v>
      </c>
      <c r="M107" s="490">
        <v>87575.782703466699</v>
      </c>
      <c r="N107" s="553">
        <v>58814.673103466703</v>
      </c>
      <c r="O107" s="554">
        <f t="shared" si="44"/>
        <v>28761.1096</v>
      </c>
      <c r="P107" s="555"/>
      <c r="Q107" s="568">
        <f t="shared" si="47"/>
        <v>156380.729566667</v>
      </c>
    </row>
    <row r="108" spans="1:17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71">
        <v>441804.91666666698</v>
      </c>
      <c r="F108" s="71"/>
      <c r="G108" s="201">
        <f>120000</f>
        <v>120000</v>
      </c>
      <c r="H108" s="201"/>
      <c r="I108" s="71">
        <v>39820.116654999998</v>
      </c>
      <c r="J108" s="488">
        <f t="shared" si="45"/>
        <v>601625.033321667</v>
      </c>
      <c r="K108" s="488">
        <v>416483.19415499998</v>
      </c>
      <c r="L108" s="488">
        <f t="shared" si="46"/>
        <v>185141.83916666699</v>
      </c>
      <c r="M108" s="490">
        <v>87392.5495444267</v>
      </c>
      <c r="N108" s="553">
        <v>58631.439944426696</v>
      </c>
      <c r="O108" s="554">
        <f t="shared" si="44"/>
        <v>28761.1096</v>
      </c>
      <c r="P108" s="555"/>
      <c r="Q108" s="568">
        <f t="shared" si="47"/>
        <v>156380.729566667</v>
      </c>
    </row>
    <row r="109" spans="1:17" ht="20.149999999999999" customHeight="1">
      <c r="A109" s="3">
        <v>5</v>
      </c>
      <c r="B109" s="10" t="s">
        <v>380</v>
      </c>
      <c r="C109" s="3" t="s">
        <v>381</v>
      </c>
      <c r="D109" s="14" t="s">
        <v>382</v>
      </c>
      <c r="E109" s="201">
        <v>249148.41666666701</v>
      </c>
      <c r="F109" s="71"/>
      <c r="G109" s="201">
        <f>100000</f>
        <v>100000</v>
      </c>
      <c r="H109" s="201"/>
      <c r="I109" s="71">
        <v>25333.447479999999</v>
      </c>
      <c r="J109" s="488">
        <f t="shared" si="45"/>
        <v>374481.86414666701</v>
      </c>
      <c r="K109" s="488">
        <v>266099.21747999999</v>
      </c>
      <c r="L109" s="488">
        <f t="shared" si="46"/>
        <v>108382.646666667</v>
      </c>
      <c r="M109" s="490">
        <v>46740.264902826697</v>
      </c>
      <c r="N109" s="553">
        <v>31871.335203306699</v>
      </c>
      <c r="O109" s="554">
        <f t="shared" si="44"/>
        <v>14868.92969952</v>
      </c>
      <c r="P109" s="555"/>
      <c r="Q109" s="568">
        <f t="shared" si="47"/>
        <v>93513.716967146596</v>
      </c>
    </row>
    <row r="110" spans="1:17" ht="20.149999999999999" customHeight="1">
      <c r="A110" s="3">
        <v>6</v>
      </c>
      <c r="B110" s="17" t="s">
        <v>383</v>
      </c>
      <c r="C110" s="3" t="s">
        <v>381</v>
      </c>
      <c r="D110" s="9" t="s">
        <v>384</v>
      </c>
      <c r="E110" s="201">
        <v>242976.25</v>
      </c>
      <c r="F110" s="71"/>
      <c r="G110" s="201">
        <f>100000</f>
        <v>100000</v>
      </c>
      <c r="H110" s="201"/>
      <c r="I110" s="71">
        <v>24949.771000000001</v>
      </c>
      <c r="J110" s="488">
        <f t="shared" si="45"/>
        <v>367926.02100000001</v>
      </c>
      <c r="K110" s="488">
        <v>262229.04100000003</v>
      </c>
      <c r="L110" s="488">
        <f t="shared" si="46"/>
        <v>105696.98</v>
      </c>
      <c r="M110" s="490">
        <v>45712.637394666701</v>
      </c>
      <c r="N110" s="553">
        <v>31221.145554666698</v>
      </c>
      <c r="O110" s="554">
        <f t="shared" si="44"/>
        <v>14491.491840000001</v>
      </c>
      <c r="P110" s="555"/>
      <c r="Q110" s="568">
        <f t="shared" si="47"/>
        <v>91205.488159999994</v>
      </c>
    </row>
    <row r="111" spans="1:17" ht="20.149999999999999" customHeight="1">
      <c r="A111" s="3">
        <v>7</v>
      </c>
      <c r="B111" s="17" t="s">
        <v>385</v>
      </c>
      <c r="C111" s="3" t="s">
        <v>381</v>
      </c>
      <c r="D111" s="14" t="s">
        <v>291</v>
      </c>
      <c r="E111" s="201">
        <v>230631.91666666701</v>
      </c>
      <c r="F111" s="71"/>
      <c r="G111" s="201">
        <f t="shared" ref="G111" si="48">100000</f>
        <v>100000</v>
      </c>
      <c r="H111" s="201"/>
      <c r="I111" s="71">
        <v>24566.195445000001</v>
      </c>
      <c r="J111" s="488">
        <f t="shared" si="45"/>
        <v>355198.112111667</v>
      </c>
      <c r="K111" s="488">
        <v>254870.26344499999</v>
      </c>
      <c r="L111" s="488">
        <f t="shared" si="46"/>
        <v>100327.84866666701</v>
      </c>
      <c r="M111" s="490">
        <v>43740.256541426701</v>
      </c>
      <c r="N111" s="553">
        <v>29984.870925426701</v>
      </c>
      <c r="O111" s="554">
        <f t="shared" si="44"/>
        <v>13755.385616</v>
      </c>
      <c r="P111" s="555"/>
      <c r="Q111" s="568">
        <f t="shared" si="47"/>
        <v>86572.463050666702</v>
      </c>
    </row>
    <row r="112" spans="1:17" ht="25.5" customHeight="1">
      <c r="A112" s="3"/>
      <c r="B112" s="19" t="s">
        <v>34</v>
      </c>
      <c r="C112" s="20">
        <v>7</v>
      </c>
      <c r="D112" s="3"/>
      <c r="E112" s="204">
        <f>SUM(E105:E111)</f>
        <v>3804459.5833333302</v>
      </c>
      <c r="F112" s="204">
        <f t="shared" ref="F112:O112" si="49">SUM(F105:F111)</f>
        <v>0</v>
      </c>
      <c r="G112" s="204">
        <f t="shared" si="49"/>
        <v>920000</v>
      </c>
      <c r="H112" s="204">
        <f t="shared" si="49"/>
        <v>0</v>
      </c>
      <c r="I112" s="204">
        <f t="shared" si="49"/>
        <v>156102.469105</v>
      </c>
      <c r="J112" s="204">
        <f t="shared" si="49"/>
        <v>4880562.0524383299</v>
      </c>
      <c r="K112" s="204">
        <v>3299451.820355</v>
      </c>
      <c r="L112" s="204">
        <f t="shared" si="49"/>
        <v>1581110.2320833299</v>
      </c>
      <c r="M112" s="204">
        <f t="shared" si="49"/>
        <v>729521.26616414695</v>
      </c>
      <c r="N112" s="576">
        <v>490533.48779262701</v>
      </c>
      <c r="O112" s="576">
        <f t="shared" si="49"/>
        <v>238987.77837151999</v>
      </c>
      <c r="P112" s="577"/>
      <c r="Q112" s="583">
        <f>SUM(Q105:Q111)</f>
        <v>1342122.4537118101</v>
      </c>
    </row>
    <row r="113" spans="1:17" ht="20.149999999999999" customHeight="1">
      <c r="A113" s="3"/>
      <c r="B113" s="19"/>
      <c r="C113" s="20"/>
      <c r="D113" s="3"/>
      <c r="E113" s="204"/>
      <c r="F113" s="204"/>
      <c r="G113" s="497"/>
      <c r="H113" s="497"/>
      <c r="I113" s="204"/>
      <c r="J113" s="501"/>
      <c r="K113" s="501"/>
      <c r="L113" s="501"/>
      <c r="M113" s="502"/>
      <c r="N113" s="578"/>
      <c r="O113" s="578"/>
      <c r="P113" s="577"/>
      <c r="Q113" s="584"/>
    </row>
    <row r="114" spans="1:17" ht="20.149999999999999" customHeight="1">
      <c r="A114" s="9"/>
      <c r="B114" s="19" t="s">
        <v>61</v>
      </c>
      <c r="C114" s="20"/>
      <c r="D114" s="20"/>
      <c r="E114" s="133"/>
      <c r="F114" s="133"/>
      <c r="G114" s="201"/>
      <c r="H114" s="201"/>
      <c r="I114" s="133"/>
      <c r="J114" s="495"/>
      <c r="K114" s="495"/>
      <c r="L114" s="495"/>
      <c r="M114" s="496"/>
      <c r="N114" s="563"/>
      <c r="O114" s="563"/>
      <c r="P114" s="564"/>
      <c r="Q114" s="573"/>
    </row>
    <row r="115" spans="1:17" ht="20.149999999999999" customHeight="1">
      <c r="A115" s="9">
        <v>1</v>
      </c>
      <c r="B115" s="13" t="s">
        <v>386</v>
      </c>
      <c r="C115" s="3" t="s">
        <v>310</v>
      </c>
      <c r="D115" s="9" t="s">
        <v>327</v>
      </c>
      <c r="E115" s="71">
        <v>601396.83333333302</v>
      </c>
      <c r="F115" s="71"/>
      <c r="G115" s="201">
        <v>160000</v>
      </c>
      <c r="H115" s="201"/>
      <c r="I115" s="71">
        <v>0</v>
      </c>
      <c r="J115" s="488">
        <f>E115+F115+G115+H115+I115</f>
        <v>761396.83333333302</v>
      </c>
      <c r="K115" s="488">
        <v>516137.05</v>
      </c>
      <c r="L115" s="488">
        <f>J115-K115</f>
        <v>245259.78333333301</v>
      </c>
      <c r="M115" s="490">
        <v>115462.53994666701</v>
      </c>
      <c r="N115" s="553">
        <v>77610.116906666706</v>
      </c>
      <c r="O115" s="554">
        <f>M115-N115</f>
        <v>37852.423040000001</v>
      </c>
      <c r="P115" s="555"/>
      <c r="Q115" s="568">
        <f>L115-O115</f>
        <v>207407.36029333301</v>
      </c>
    </row>
    <row r="116" spans="1:17" ht="18.75" customHeight="1">
      <c r="A116" s="9">
        <v>2</v>
      </c>
      <c r="B116" s="10" t="s">
        <v>387</v>
      </c>
      <c r="C116" s="3" t="s">
        <v>388</v>
      </c>
      <c r="D116" s="14" t="s">
        <v>271</v>
      </c>
      <c r="E116" s="71">
        <v>377895.16666666698</v>
      </c>
      <c r="F116" s="71"/>
      <c r="G116" s="201">
        <v>110000</v>
      </c>
      <c r="H116" s="201">
        <v>0</v>
      </c>
      <c r="I116" s="71"/>
      <c r="J116" s="488">
        <f t="shared" ref="J116:J117" si="50">E116+F116+G116+H116+I116</f>
        <v>487895.16666666698</v>
      </c>
      <c r="K116" s="488">
        <v>334536.99849999999</v>
      </c>
      <c r="L116" s="488">
        <f t="shared" ref="L116:L117" si="51">J116-K116</f>
        <v>153358.16816666699</v>
      </c>
      <c r="M116" s="490">
        <v>66538.068906666696</v>
      </c>
      <c r="N116" s="553">
        <v>43368.882414666703</v>
      </c>
      <c r="O116" s="554">
        <f>M116-N116</f>
        <v>23169.186492000001</v>
      </c>
      <c r="P116" s="555"/>
      <c r="Q116" s="568">
        <f t="shared" ref="Q116:Q117" si="52">L116-O116</f>
        <v>130188.981674667</v>
      </c>
    </row>
    <row r="117" spans="1:17" ht="20.149999999999999" customHeight="1">
      <c r="A117" s="9">
        <v>3</v>
      </c>
      <c r="B117" s="10" t="s">
        <v>389</v>
      </c>
      <c r="C117" s="11" t="s">
        <v>390</v>
      </c>
      <c r="D117" s="14" t="s">
        <v>391</v>
      </c>
      <c r="E117" s="71">
        <v>390086.5</v>
      </c>
      <c r="F117" s="71"/>
      <c r="G117" s="201"/>
      <c r="H117" s="201">
        <f>60000</f>
        <v>60000</v>
      </c>
      <c r="I117" s="71"/>
      <c r="J117" s="488">
        <f t="shared" si="50"/>
        <v>450086.5</v>
      </c>
      <c r="K117" s="488">
        <v>286619.99875000003</v>
      </c>
      <c r="L117" s="488">
        <f t="shared" si="51"/>
        <v>163466.50125</v>
      </c>
      <c r="M117" s="490">
        <v>58980.834746666696</v>
      </c>
      <c r="N117" s="553">
        <v>35221.954086666701</v>
      </c>
      <c r="O117" s="554">
        <f>M117-N117</f>
        <v>23758.880659999999</v>
      </c>
      <c r="P117" s="555"/>
      <c r="Q117" s="568">
        <f t="shared" si="52"/>
        <v>139707.62059000001</v>
      </c>
    </row>
    <row r="118" spans="1:17" ht="24.75" customHeight="1">
      <c r="A118" s="3"/>
      <c r="B118" s="19" t="s">
        <v>34</v>
      </c>
      <c r="C118" s="20">
        <v>2</v>
      </c>
      <c r="D118" s="25"/>
      <c r="E118" s="79">
        <f>SUM(E115:E117)</f>
        <v>1369378.5</v>
      </c>
      <c r="F118" s="79">
        <f t="shared" ref="F118:O118" si="53">SUM(F115:F117)</f>
        <v>0</v>
      </c>
      <c r="G118" s="79">
        <f t="shared" si="53"/>
        <v>270000</v>
      </c>
      <c r="H118" s="79">
        <f t="shared" si="53"/>
        <v>60000</v>
      </c>
      <c r="I118" s="79">
        <f t="shared" si="53"/>
        <v>0</v>
      </c>
      <c r="J118" s="79">
        <f t="shared" si="53"/>
        <v>1699378.5</v>
      </c>
      <c r="K118" s="79">
        <v>1137294.0472500001</v>
      </c>
      <c r="L118" s="79">
        <f t="shared" si="53"/>
        <v>562084.45275000005</v>
      </c>
      <c r="M118" s="79">
        <f t="shared" si="53"/>
        <v>240981.4436</v>
      </c>
      <c r="N118" s="561">
        <v>156200.953408</v>
      </c>
      <c r="O118" s="561">
        <f t="shared" si="53"/>
        <v>84780.490191999997</v>
      </c>
      <c r="P118" s="562"/>
      <c r="Q118" s="572">
        <f>SUM(Q115:Q117)</f>
        <v>477303.962558</v>
      </c>
    </row>
    <row r="119" spans="1:17" ht="20.149999999999999" customHeight="1">
      <c r="A119" s="3"/>
      <c r="B119" s="21"/>
      <c r="C119" s="9"/>
      <c r="D119" s="3"/>
      <c r="E119" s="205"/>
      <c r="F119" s="8"/>
      <c r="G119" s="201"/>
      <c r="H119" s="201"/>
      <c r="I119" s="205"/>
      <c r="J119" s="503"/>
      <c r="K119" s="503"/>
      <c r="L119" s="503"/>
      <c r="M119" s="504"/>
      <c r="N119" s="579"/>
      <c r="O119" s="579"/>
      <c r="P119" s="580"/>
      <c r="Q119" s="585"/>
    </row>
    <row r="120" spans="1:17" ht="20.149999999999999" customHeight="1">
      <c r="A120" s="3"/>
      <c r="B120" s="19" t="s">
        <v>67</v>
      </c>
      <c r="C120" s="20"/>
      <c r="D120" s="20"/>
      <c r="E120" s="133"/>
      <c r="F120" s="133"/>
      <c r="G120" s="201"/>
      <c r="H120" s="201"/>
      <c r="I120" s="133"/>
      <c r="J120" s="495"/>
      <c r="K120" s="495"/>
      <c r="L120" s="495"/>
      <c r="M120" s="496"/>
      <c r="N120" s="563"/>
      <c r="O120" s="563"/>
      <c r="P120" s="564"/>
      <c r="Q120" s="573"/>
    </row>
    <row r="121" spans="1:17" ht="20.149999999999999" customHeight="1">
      <c r="A121" s="3">
        <v>1</v>
      </c>
      <c r="B121" s="10" t="s">
        <v>392</v>
      </c>
      <c r="C121" s="11" t="s">
        <v>393</v>
      </c>
      <c r="D121" s="14" t="s">
        <v>297</v>
      </c>
      <c r="E121" s="71">
        <v>1435720</v>
      </c>
      <c r="F121" s="71"/>
      <c r="G121" s="201"/>
      <c r="H121" s="201">
        <f>100000</f>
        <v>100000</v>
      </c>
      <c r="I121" s="71">
        <v>100000</v>
      </c>
      <c r="J121" s="488">
        <f>E121+F121+G121+H121+I121</f>
        <v>1635720</v>
      </c>
      <c r="K121" s="488">
        <v>1050209.0634999999</v>
      </c>
      <c r="L121" s="488">
        <f>J121-K121</f>
        <v>585510.93649999995</v>
      </c>
      <c r="M121" s="490">
        <v>270279.89537066699</v>
      </c>
      <c r="N121" s="553">
        <v>179914.45476266701</v>
      </c>
      <c r="O121" s="554">
        <f t="shared" ref="O121:O130" si="54">M121-N121</f>
        <v>90365.440608000004</v>
      </c>
      <c r="P121" s="555"/>
      <c r="Q121" s="568">
        <f>L121-O121</f>
        <v>495145.49589199998</v>
      </c>
    </row>
    <row r="122" spans="1:17" ht="20.149999999999999" customHeight="1">
      <c r="A122" s="3">
        <v>2</v>
      </c>
      <c r="B122" s="10" t="s">
        <v>130</v>
      </c>
      <c r="C122" s="11" t="s">
        <v>394</v>
      </c>
      <c r="D122" s="14" t="s">
        <v>308</v>
      </c>
      <c r="E122" s="71">
        <v>739203.58333333302</v>
      </c>
      <c r="F122" s="71"/>
      <c r="G122" s="201"/>
      <c r="H122" s="201">
        <f>90000</f>
        <v>90000</v>
      </c>
      <c r="I122" s="71">
        <v>100000</v>
      </c>
      <c r="J122" s="488">
        <f t="shared" ref="J122:J130" si="55">E122+F122+G122+H122+I122</f>
        <v>929203.58333333302</v>
      </c>
      <c r="K122" s="488">
        <v>627743.99575</v>
      </c>
      <c r="L122" s="488">
        <f t="shared" ref="L122:L130" si="56">J122-K122</f>
        <v>301459.58758333302</v>
      </c>
      <c r="M122" s="490">
        <v>145522.03071466699</v>
      </c>
      <c r="N122" s="553">
        <v>98995.956938666699</v>
      </c>
      <c r="O122" s="554">
        <f t="shared" si="54"/>
        <v>46526.073775999997</v>
      </c>
      <c r="P122" s="555"/>
      <c r="Q122" s="568">
        <f t="shared" ref="Q122:Q130" si="57">L122-O122</f>
        <v>254933.51380733299</v>
      </c>
    </row>
    <row r="123" spans="1:17" ht="20.149999999999999" customHeight="1">
      <c r="A123" s="3">
        <v>3</v>
      </c>
      <c r="B123" s="13" t="s">
        <v>395</v>
      </c>
      <c r="C123" s="11" t="s">
        <v>227</v>
      </c>
      <c r="D123" s="14" t="s">
        <v>249</v>
      </c>
      <c r="E123" s="71">
        <v>620675.58333333302</v>
      </c>
      <c r="F123" s="71"/>
      <c r="G123" s="201"/>
      <c r="H123" s="201">
        <f t="shared" si="4"/>
        <v>80000</v>
      </c>
      <c r="I123" s="71">
        <f>100000+30000</f>
        <v>130000</v>
      </c>
      <c r="J123" s="488">
        <f t="shared" si="55"/>
        <v>830675.58333333302</v>
      </c>
      <c r="K123" s="488">
        <v>577553.50249999994</v>
      </c>
      <c r="L123" s="488">
        <f t="shared" si="56"/>
        <v>253122.08083333299</v>
      </c>
      <c r="M123" s="490">
        <v>128461.965706667</v>
      </c>
      <c r="N123" s="553">
        <v>89396.103146666603</v>
      </c>
      <c r="O123" s="554">
        <f t="shared" si="54"/>
        <v>39065.862560000001</v>
      </c>
      <c r="P123" s="555"/>
      <c r="Q123" s="568">
        <f t="shared" si="57"/>
        <v>214056.21827333301</v>
      </c>
    </row>
    <row r="124" spans="1:17" ht="20.149999999999999" customHeight="1">
      <c r="A124" s="3">
        <v>4</v>
      </c>
      <c r="B124" s="13" t="s">
        <v>226</v>
      </c>
      <c r="C124" s="11" t="s">
        <v>227</v>
      </c>
      <c r="D124" s="14" t="s">
        <v>228</v>
      </c>
      <c r="E124" s="71">
        <v>582118.08333333302</v>
      </c>
      <c r="F124" s="71"/>
      <c r="G124" s="201"/>
      <c r="H124" s="201">
        <f t="shared" si="4"/>
        <v>80000</v>
      </c>
      <c r="I124" s="71">
        <v>0</v>
      </c>
      <c r="J124" s="488">
        <f t="shared" si="55"/>
        <v>662118.08333333302</v>
      </c>
      <c r="K124" s="488">
        <v>424729.22200000001</v>
      </c>
      <c r="L124" s="488">
        <f t="shared" si="56"/>
        <v>237388.86133333301</v>
      </c>
      <c r="M124" s="490">
        <v>105793.338666667</v>
      </c>
      <c r="N124" s="553">
        <v>60214.677290666703</v>
      </c>
      <c r="O124" s="554">
        <f t="shared" si="54"/>
        <v>45578.661375999996</v>
      </c>
      <c r="P124" s="555"/>
      <c r="Q124" s="568">
        <f t="shared" si="57"/>
        <v>191810.19995733301</v>
      </c>
    </row>
    <row r="125" spans="1:17" ht="20.149999999999999" customHeight="1">
      <c r="A125" s="3">
        <v>5</v>
      </c>
      <c r="B125" s="10" t="s">
        <v>396</v>
      </c>
      <c r="C125" s="11" t="s">
        <v>397</v>
      </c>
      <c r="D125" s="14" t="s">
        <v>257</v>
      </c>
      <c r="E125" s="71">
        <v>470498</v>
      </c>
      <c r="F125" s="71"/>
      <c r="G125" s="201"/>
      <c r="H125" s="201">
        <f>70000</f>
        <v>70000</v>
      </c>
      <c r="I125" s="71">
        <v>0</v>
      </c>
      <c r="J125" s="488">
        <f t="shared" si="55"/>
        <v>540498</v>
      </c>
      <c r="K125" s="488">
        <v>343333.03525000002</v>
      </c>
      <c r="L125" s="488">
        <f t="shared" si="56"/>
        <v>197164.96475000001</v>
      </c>
      <c r="M125" s="490">
        <v>75215.4333866667</v>
      </c>
      <c r="N125" s="553">
        <v>44846.6165886667</v>
      </c>
      <c r="O125" s="554">
        <f t="shared" si="54"/>
        <v>30368.816798</v>
      </c>
      <c r="P125" s="555"/>
      <c r="Q125" s="568">
        <f t="shared" si="57"/>
        <v>166796.147952</v>
      </c>
    </row>
    <row r="126" spans="1:17" ht="20.149999999999999" customHeight="1">
      <c r="A126" s="3">
        <v>6</v>
      </c>
      <c r="B126" s="10" t="s">
        <v>398</v>
      </c>
      <c r="C126" s="11" t="s">
        <v>399</v>
      </c>
      <c r="D126" s="14" t="s">
        <v>260</v>
      </c>
      <c r="E126" s="71">
        <v>442746.5</v>
      </c>
      <c r="F126" s="71"/>
      <c r="G126" s="201"/>
      <c r="H126" s="201">
        <f t="shared" ref="H126:H127" si="58">70000</f>
        <v>70000</v>
      </c>
      <c r="I126" s="71">
        <v>0</v>
      </c>
      <c r="J126" s="488">
        <f t="shared" si="55"/>
        <v>512746.5</v>
      </c>
      <c r="K126" s="488">
        <v>327211.36749999999</v>
      </c>
      <c r="L126" s="488">
        <f t="shared" si="56"/>
        <v>185535.13250000001</v>
      </c>
      <c r="M126" s="490">
        <v>70189.308746666706</v>
      </c>
      <c r="N126" s="553">
        <v>42029.589186666701</v>
      </c>
      <c r="O126" s="554">
        <f t="shared" si="54"/>
        <v>28159.719560000001</v>
      </c>
      <c r="P126" s="555"/>
      <c r="Q126" s="568">
        <f t="shared" si="57"/>
        <v>157375.41294000001</v>
      </c>
    </row>
    <row r="127" spans="1:17" ht="20.149999999999999" customHeight="1">
      <c r="A127" s="3">
        <v>7</v>
      </c>
      <c r="B127" s="10" t="s">
        <v>400</v>
      </c>
      <c r="C127" s="11" t="s">
        <v>397</v>
      </c>
      <c r="D127" s="14" t="s">
        <v>342</v>
      </c>
      <c r="E127" s="71">
        <v>456622.25</v>
      </c>
      <c r="F127" s="71"/>
      <c r="G127" s="201"/>
      <c r="H127" s="201">
        <f t="shared" si="58"/>
        <v>70000</v>
      </c>
      <c r="I127" s="71"/>
      <c r="J127" s="488">
        <f t="shared" si="55"/>
        <v>526622.25</v>
      </c>
      <c r="K127" s="488">
        <v>335272.06374999997</v>
      </c>
      <c r="L127" s="488">
        <f t="shared" si="56"/>
        <v>191350.18625</v>
      </c>
      <c r="M127" s="490">
        <v>72636.104186666693</v>
      </c>
      <c r="N127" s="553">
        <v>43380.096246666697</v>
      </c>
      <c r="O127" s="554">
        <f t="shared" si="54"/>
        <v>29256.00794</v>
      </c>
      <c r="P127" s="555"/>
      <c r="Q127" s="568">
        <f t="shared" si="57"/>
        <v>162094.17830999999</v>
      </c>
    </row>
    <row r="128" spans="1:17" ht="20.149999999999999" customHeight="1">
      <c r="A128" s="3">
        <v>8</v>
      </c>
      <c r="B128" s="10" t="s">
        <v>401</v>
      </c>
      <c r="C128" s="11" t="s">
        <v>402</v>
      </c>
      <c r="D128" s="9" t="s">
        <v>279</v>
      </c>
      <c r="E128" s="71">
        <v>270481.66666666698</v>
      </c>
      <c r="F128" s="71"/>
      <c r="G128" s="201"/>
      <c r="H128" s="201">
        <f>60000</f>
        <v>60000</v>
      </c>
      <c r="I128" s="71"/>
      <c r="J128" s="488">
        <f t="shared" si="55"/>
        <v>330481.66666666698</v>
      </c>
      <c r="K128" s="488">
        <v>213508.01</v>
      </c>
      <c r="L128" s="488">
        <f t="shared" si="56"/>
        <v>116973.656666667</v>
      </c>
      <c r="M128" s="490">
        <v>39052.313066666698</v>
      </c>
      <c r="N128" s="553">
        <v>23036.012346666699</v>
      </c>
      <c r="O128" s="554">
        <f t="shared" si="54"/>
        <v>16016.300719999999</v>
      </c>
      <c r="P128" s="555"/>
      <c r="Q128" s="568">
        <f t="shared" si="57"/>
        <v>100957.355946667</v>
      </c>
    </row>
    <row r="129" spans="1:17" ht="20.149999999999999" customHeight="1">
      <c r="A129" s="3">
        <v>9</v>
      </c>
      <c r="B129" s="17" t="s">
        <v>403</v>
      </c>
      <c r="C129" s="11" t="s">
        <v>404</v>
      </c>
      <c r="D129" s="14" t="s">
        <v>294</v>
      </c>
      <c r="E129" s="71">
        <v>224459.75</v>
      </c>
      <c r="F129" s="71"/>
      <c r="G129" s="201"/>
      <c r="H129" s="201">
        <f>50000</f>
        <v>50000</v>
      </c>
      <c r="I129" s="71"/>
      <c r="J129" s="488">
        <f t="shared" si="55"/>
        <v>274459.75</v>
      </c>
      <c r="K129" s="488">
        <v>176816.1</v>
      </c>
      <c r="L129" s="488">
        <f t="shared" si="56"/>
        <v>97643.65</v>
      </c>
      <c r="M129" s="490">
        <v>30259.165626666701</v>
      </c>
      <c r="N129" s="553">
        <v>17042.713866666702</v>
      </c>
      <c r="O129" s="554">
        <f t="shared" si="54"/>
        <v>13216.45176</v>
      </c>
      <c r="P129" s="555"/>
      <c r="Q129" s="568">
        <f t="shared" si="57"/>
        <v>84427.198239999998</v>
      </c>
    </row>
    <row r="130" spans="1:17" ht="20.149999999999999" customHeight="1">
      <c r="A130" s="3">
        <v>10</v>
      </c>
      <c r="B130" s="17" t="s">
        <v>405</v>
      </c>
      <c r="C130" s="11" t="s">
        <v>69</v>
      </c>
      <c r="D130" s="14" t="s">
        <v>294</v>
      </c>
      <c r="E130" s="71">
        <v>224459.75</v>
      </c>
      <c r="F130" s="71"/>
      <c r="G130" s="201"/>
      <c r="H130" s="201">
        <v>50000</v>
      </c>
      <c r="I130" s="71"/>
      <c r="J130" s="488">
        <f t="shared" si="55"/>
        <v>274459.75</v>
      </c>
      <c r="K130" s="488">
        <v>176816.1</v>
      </c>
      <c r="L130" s="488">
        <f t="shared" si="56"/>
        <v>97643.65</v>
      </c>
      <c r="M130" s="490">
        <v>30259.165626666701</v>
      </c>
      <c r="N130" s="553">
        <v>17042.713866666702</v>
      </c>
      <c r="O130" s="554">
        <f t="shared" si="54"/>
        <v>13216.45176</v>
      </c>
      <c r="P130" s="555"/>
      <c r="Q130" s="568">
        <f t="shared" si="57"/>
        <v>84427.198239999998</v>
      </c>
    </row>
    <row r="131" spans="1:17" ht="28.5" customHeight="1">
      <c r="A131" s="3"/>
      <c r="B131" s="19" t="s">
        <v>34</v>
      </c>
      <c r="C131" s="25" t="s">
        <v>406</v>
      </c>
      <c r="D131" s="14"/>
      <c r="E131" s="133">
        <f>SUM(E121:E130)</f>
        <v>5466985.1666666698</v>
      </c>
      <c r="F131" s="133">
        <f t="shared" ref="F131:O131" si="59">SUM(F121:F130)</f>
        <v>0</v>
      </c>
      <c r="G131" s="133">
        <f t="shared" si="59"/>
        <v>0</v>
      </c>
      <c r="H131" s="133">
        <f t="shared" si="59"/>
        <v>720000</v>
      </c>
      <c r="I131" s="133">
        <f t="shared" si="59"/>
        <v>330000</v>
      </c>
      <c r="J131" s="133">
        <f t="shared" si="59"/>
        <v>6516985.1666666698</v>
      </c>
      <c r="K131" s="133">
        <v>4253192.4602499995</v>
      </c>
      <c r="L131" s="133">
        <f t="shared" si="59"/>
        <v>2263792.7064166698</v>
      </c>
      <c r="M131" s="133">
        <f t="shared" si="59"/>
        <v>967668.72109866701</v>
      </c>
      <c r="N131" s="586">
        <v>615898.93424066703</v>
      </c>
      <c r="O131" s="586">
        <f t="shared" si="59"/>
        <v>351769.78685799998</v>
      </c>
      <c r="P131" s="564"/>
      <c r="Q131" s="587">
        <f>SUM(Q121:Q130)</f>
        <v>1912022.9195586699</v>
      </c>
    </row>
    <row r="132" spans="1:17" ht="20.149999999999999" customHeight="1">
      <c r="A132" s="3"/>
      <c r="B132" s="21"/>
      <c r="C132" s="25"/>
      <c r="D132" s="14"/>
      <c r="E132" s="133"/>
      <c r="F132" s="133"/>
      <c r="G132" s="201"/>
      <c r="H132" s="201"/>
      <c r="I132" s="133"/>
      <c r="J132" s="495"/>
      <c r="K132" s="495"/>
      <c r="L132" s="495"/>
      <c r="M132" s="496"/>
      <c r="N132" s="563"/>
      <c r="O132" s="563"/>
      <c r="P132" s="564"/>
      <c r="Q132" s="573"/>
    </row>
    <row r="133" spans="1:17" ht="20.149999999999999" customHeight="1">
      <c r="A133" s="3"/>
      <c r="B133" s="19" t="s">
        <v>71</v>
      </c>
      <c r="C133" s="11"/>
      <c r="D133" s="14"/>
      <c r="E133" s="71"/>
      <c r="F133" s="71"/>
      <c r="G133" s="201"/>
      <c r="H133" s="201"/>
      <c r="I133" s="71"/>
      <c r="J133" s="488"/>
      <c r="K133" s="488"/>
      <c r="L133" s="488"/>
      <c r="M133" s="489"/>
      <c r="N133" s="553"/>
      <c r="O133" s="553"/>
      <c r="P133" s="559"/>
      <c r="Q133" s="571"/>
    </row>
    <row r="134" spans="1:17" ht="20.149999999999999" customHeight="1">
      <c r="A134" s="26">
        <v>1</v>
      </c>
      <c r="B134" s="10" t="s">
        <v>407</v>
      </c>
      <c r="C134" s="11" t="s">
        <v>408</v>
      </c>
      <c r="D134" s="14" t="s">
        <v>297</v>
      </c>
      <c r="E134" s="71">
        <v>1435720</v>
      </c>
      <c r="F134" s="71"/>
      <c r="G134" s="201"/>
      <c r="H134" s="201">
        <f>100000</f>
        <v>100000</v>
      </c>
      <c r="I134" s="71">
        <v>0</v>
      </c>
      <c r="J134" s="488">
        <f>E134+F134+G134+H134+I134</f>
        <v>1535720</v>
      </c>
      <c r="K134" s="488">
        <v>950209.06350000005</v>
      </c>
      <c r="L134" s="488">
        <f>J134-K134</f>
        <v>585510.93649999995</v>
      </c>
      <c r="M134" s="490">
        <v>251472.247466667</v>
      </c>
      <c r="N134" s="553">
        <v>161106.806858667</v>
      </c>
      <c r="O134" s="554">
        <f t="shared" ref="O134:O192" si="60">M134-N134</f>
        <v>90365.440607999903</v>
      </c>
      <c r="P134" s="555"/>
      <c r="Q134" s="568">
        <f>L134-O134</f>
        <v>495145.49589199998</v>
      </c>
    </row>
    <row r="135" spans="1:17" ht="20.149999999999999" customHeight="1">
      <c r="A135" s="26">
        <v>2</v>
      </c>
      <c r="B135" s="10" t="s">
        <v>229</v>
      </c>
      <c r="C135" s="11" t="s">
        <v>230</v>
      </c>
      <c r="D135" s="14" t="s">
        <v>231</v>
      </c>
      <c r="E135" s="71">
        <v>762373.16666666698</v>
      </c>
      <c r="F135" s="71"/>
      <c r="G135" s="201"/>
      <c r="H135" s="201">
        <v>90000</v>
      </c>
      <c r="I135" s="71"/>
      <c r="J135" s="488">
        <f t="shared" ref="J135:J192" si="61">E135+F135+G135+H135+I135</f>
        <v>852373.16666666698</v>
      </c>
      <c r="K135" s="488">
        <v>541465.02474999998</v>
      </c>
      <c r="L135" s="488">
        <f t="shared" ref="L135:L192" si="62">J135-K135</f>
        <v>310908.14191666699</v>
      </c>
      <c r="M135" s="490">
        <v>142322.31466666699</v>
      </c>
      <c r="N135" s="553">
        <v>82627.951418666693</v>
      </c>
      <c r="O135" s="554">
        <f t="shared" si="60"/>
        <v>59694.363248000001</v>
      </c>
      <c r="P135" s="555"/>
      <c r="Q135" s="568">
        <f t="shared" ref="Q135:Q192" si="63">L135-O135</f>
        <v>251213.77866866699</v>
      </c>
    </row>
    <row r="136" spans="1:17" ht="20.149999999999999" customHeight="1">
      <c r="A136" s="26">
        <v>3</v>
      </c>
      <c r="B136" s="13" t="s">
        <v>409</v>
      </c>
      <c r="C136" s="3" t="s">
        <v>410</v>
      </c>
      <c r="D136" s="15" t="s">
        <v>231</v>
      </c>
      <c r="E136" s="71">
        <v>762373.16666666698</v>
      </c>
      <c r="F136" s="71"/>
      <c r="G136" s="201"/>
      <c r="H136" s="201">
        <f>80000+10000</f>
        <v>90000</v>
      </c>
      <c r="I136" s="71">
        <v>50000</v>
      </c>
      <c r="J136" s="488">
        <f t="shared" si="61"/>
        <v>902373.16666666698</v>
      </c>
      <c r="K136" s="488">
        <v>591465.02474999998</v>
      </c>
      <c r="L136" s="488">
        <f t="shared" si="62"/>
        <v>310908.14191666699</v>
      </c>
      <c r="M136" s="490">
        <v>140007.52761066699</v>
      </c>
      <c r="N136" s="553">
        <v>92023.216202666707</v>
      </c>
      <c r="O136" s="554">
        <f t="shared" si="60"/>
        <v>47984.311408000001</v>
      </c>
      <c r="P136" s="555"/>
      <c r="Q136" s="568">
        <f t="shared" si="63"/>
        <v>262923.83050866699</v>
      </c>
    </row>
    <row r="137" spans="1:17" ht="20.149999999999999" customHeight="1">
      <c r="A137" s="26">
        <v>4</v>
      </c>
      <c r="B137" s="10" t="s">
        <v>411</v>
      </c>
      <c r="C137" s="11" t="s">
        <v>412</v>
      </c>
      <c r="D137" s="14" t="s">
        <v>254</v>
      </c>
      <c r="E137" s="71">
        <v>484373.75</v>
      </c>
      <c r="F137" s="71"/>
      <c r="G137" s="201"/>
      <c r="H137" s="201">
        <v>70000</v>
      </c>
      <c r="I137" s="71"/>
      <c r="J137" s="488">
        <f t="shared" si="61"/>
        <v>554373.75</v>
      </c>
      <c r="K137" s="488">
        <v>351394.00675</v>
      </c>
      <c r="L137" s="488">
        <f t="shared" si="62"/>
        <v>202979.74325</v>
      </c>
      <c r="M137" s="490">
        <v>77529.694778666701</v>
      </c>
      <c r="N137" s="553">
        <v>46081.202598666699</v>
      </c>
      <c r="O137" s="554">
        <f t="shared" si="60"/>
        <v>31448.492180000001</v>
      </c>
      <c r="P137" s="555"/>
      <c r="Q137" s="568">
        <f t="shared" si="63"/>
        <v>171531.25107</v>
      </c>
    </row>
    <row r="138" spans="1:17" ht="20.149999999999999" customHeight="1">
      <c r="A138" s="26">
        <v>5</v>
      </c>
      <c r="B138" s="10" t="s">
        <v>413</v>
      </c>
      <c r="C138" s="3" t="s">
        <v>414</v>
      </c>
      <c r="D138" s="14" t="s">
        <v>254</v>
      </c>
      <c r="E138" s="71">
        <v>484373.75</v>
      </c>
      <c r="F138" s="71"/>
      <c r="G138" s="201"/>
      <c r="H138" s="201">
        <v>70000</v>
      </c>
      <c r="I138" s="71">
        <v>0</v>
      </c>
      <c r="J138" s="488">
        <f t="shared" si="61"/>
        <v>554373.75</v>
      </c>
      <c r="K138" s="488">
        <v>351394.00675</v>
      </c>
      <c r="L138" s="488">
        <f t="shared" si="62"/>
        <v>202979.74325</v>
      </c>
      <c r="M138" s="490">
        <v>77529.694778666701</v>
      </c>
      <c r="N138" s="553">
        <v>46081.202598666699</v>
      </c>
      <c r="O138" s="554">
        <f t="shared" si="60"/>
        <v>31448.492180000001</v>
      </c>
      <c r="P138" s="555"/>
      <c r="Q138" s="568">
        <f t="shared" si="63"/>
        <v>171531.25107</v>
      </c>
    </row>
    <row r="139" spans="1:17" ht="20.149999999999999" customHeight="1">
      <c r="A139" s="26">
        <v>6</v>
      </c>
      <c r="B139" s="10" t="s">
        <v>415</v>
      </c>
      <c r="C139" s="3" t="s">
        <v>414</v>
      </c>
      <c r="D139" s="14" t="s">
        <v>254</v>
      </c>
      <c r="E139" s="71">
        <v>484373.75</v>
      </c>
      <c r="F139" s="71"/>
      <c r="G139" s="201"/>
      <c r="H139" s="201">
        <v>70000</v>
      </c>
      <c r="I139" s="71">
        <v>0</v>
      </c>
      <c r="J139" s="488">
        <f t="shared" si="61"/>
        <v>554373.75</v>
      </c>
      <c r="K139" s="488">
        <v>351394.00675</v>
      </c>
      <c r="L139" s="488">
        <f t="shared" si="62"/>
        <v>202979.74325</v>
      </c>
      <c r="M139" s="490">
        <v>77529.694778666701</v>
      </c>
      <c r="N139" s="553">
        <v>46081.202598666699</v>
      </c>
      <c r="O139" s="554">
        <f t="shared" si="60"/>
        <v>31448.492180000001</v>
      </c>
      <c r="P139" s="555"/>
      <c r="Q139" s="568">
        <f t="shared" si="63"/>
        <v>171531.25107</v>
      </c>
    </row>
    <row r="140" spans="1:17" ht="20.149999999999999" customHeight="1">
      <c r="A140" s="26">
        <v>7</v>
      </c>
      <c r="B140" s="10" t="s">
        <v>416</v>
      </c>
      <c r="C140" s="11" t="s">
        <v>417</v>
      </c>
      <c r="D140" s="14" t="s">
        <v>391</v>
      </c>
      <c r="E140" s="71">
        <v>390086.5</v>
      </c>
      <c r="F140" s="71"/>
      <c r="G140" s="201"/>
      <c r="H140" s="201">
        <f t="shared" ref="H140:H145" si="64">60000</f>
        <v>60000</v>
      </c>
      <c r="I140" s="71">
        <v>0</v>
      </c>
      <c r="J140" s="488">
        <f t="shared" si="61"/>
        <v>450086.5</v>
      </c>
      <c r="K140" s="488">
        <v>286619.99875000003</v>
      </c>
      <c r="L140" s="488">
        <f t="shared" si="62"/>
        <v>163466.50125</v>
      </c>
      <c r="M140" s="490">
        <v>58980.834746666696</v>
      </c>
      <c r="N140" s="553">
        <v>35221.954086666701</v>
      </c>
      <c r="O140" s="554">
        <f t="shared" si="60"/>
        <v>23758.880659999999</v>
      </c>
      <c r="P140" s="555"/>
      <c r="Q140" s="568">
        <f t="shared" si="63"/>
        <v>139707.62059000001</v>
      </c>
    </row>
    <row r="141" spans="1:17" ht="20.149999999999999" customHeight="1">
      <c r="A141" s="26">
        <v>8</v>
      </c>
      <c r="B141" s="10" t="s">
        <v>418</v>
      </c>
      <c r="C141" s="11" t="s">
        <v>417</v>
      </c>
      <c r="D141" s="14" t="s">
        <v>391</v>
      </c>
      <c r="E141" s="71">
        <v>390086.5</v>
      </c>
      <c r="F141" s="71"/>
      <c r="G141" s="201"/>
      <c r="H141" s="201">
        <f t="shared" si="64"/>
        <v>60000</v>
      </c>
      <c r="I141" s="71">
        <v>0</v>
      </c>
      <c r="J141" s="488">
        <f t="shared" si="61"/>
        <v>450086.5</v>
      </c>
      <c r="K141" s="488">
        <v>286619.99875000003</v>
      </c>
      <c r="L141" s="488">
        <f t="shared" si="62"/>
        <v>163466.50125</v>
      </c>
      <c r="M141" s="490">
        <v>59091.5460266667</v>
      </c>
      <c r="N141" s="553">
        <v>35318.826456666699</v>
      </c>
      <c r="O141" s="554">
        <f t="shared" si="60"/>
        <v>23772.719570000001</v>
      </c>
      <c r="P141" s="555"/>
      <c r="Q141" s="568">
        <f t="shared" si="63"/>
        <v>139693.78167999999</v>
      </c>
    </row>
    <row r="142" spans="1:17" ht="20.149999999999999" customHeight="1">
      <c r="A142" s="26">
        <v>9</v>
      </c>
      <c r="B142" s="10" t="s">
        <v>419</v>
      </c>
      <c r="C142" s="3" t="s">
        <v>420</v>
      </c>
      <c r="D142" s="14" t="s">
        <v>391</v>
      </c>
      <c r="E142" s="71">
        <v>390086.5</v>
      </c>
      <c r="F142" s="71"/>
      <c r="G142" s="201"/>
      <c r="H142" s="201">
        <f t="shared" si="64"/>
        <v>60000</v>
      </c>
      <c r="I142" s="71"/>
      <c r="J142" s="488">
        <f t="shared" si="61"/>
        <v>450086.5</v>
      </c>
      <c r="K142" s="488">
        <v>286619.99875000003</v>
      </c>
      <c r="L142" s="488">
        <f t="shared" si="62"/>
        <v>163466.50125</v>
      </c>
      <c r="M142" s="490">
        <v>59091.5460266667</v>
      </c>
      <c r="N142" s="553">
        <v>35318.826456666699</v>
      </c>
      <c r="O142" s="554">
        <f t="shared" si="60"/>
        <v>23772.719570000001</v>
      </c>
      <c r="P142" s="555"/>
      <c r="Q142" s="568">
        <f t="shared" si="63"/>
        <v>139693.78167999999</v>
      </c>
    </row>
    <row r="143" spans="1:17" ht="20.149999999999999" customHeight="1">
      <c r="A143" s="26">
        <v>10</v>
      </c>
      <c r="B143" s="10" t="s">
        <v>421</v>
      </c>
      <c r="C143" s="11" t="s">
        <v>422</v>
      </c>
      <c r="D143" s="14" t="s">
        <v>271</v>
      </c>
      <c r="E143" s="71">
        <v>377895.16666666698</v>
      </c>
      <c r="F143" s="71"/>
      <c r="G143" s="201"/>
      <c r="H143" s="201">
        <f t="shared" si="64"/>
        <v>60000</v>
      </c>
      <c r="I143" s="71"/>
      <c r="J143" s="488">
        <f t="shared" si="61"/>
        <v>437895.16666666698</v>
      </c>
      <c r="K143" s="488">
        <v>284536.99849999999</v>
      </c>
      <c r="L143" s="488">
        <f t="shared" si="62"/>
        <v>153358.16816666699</v>
      </c>
      <c r="M143" s="490">
        <v>56938.068906666696</v>
      </c>
      <c r="N143" s="553">
        <v>34968.882414666703</v>
      </c>
      <c r="O143" s="554">
        <f t="shared" si="60"/>
        <v>21969.186492000001</v>
      </c>
      <c r="P143" s="555"/>
      <c r="Q143" s="568">
        <f t="shared" si="63"/>
        <v>131388.98167466701</v>
      </c>
    </row>
    <row r="144" spans="1:17" ht="20.149999999999999" customHeight="1">
      <c r="A144" s="26">
        <v>11</v>
      </c>
      <c r="B144" s="10" t="s">
        <v>423</v>
      </c>
      <c r="C144" s="11" t="s">
        <v>424</v>
      </c>
      <c r="D144" s="14" t="s">
        <v>332</v>
      </c>
      <c r="E144" s="71">
        <v>365703.83333333302</v>
      </c>
      <c r="F144" s="71"/>
      <c r="G144" s="201"/>
      <c r="H144" s="201">
        <f t="shared" si="64"/>
        <v>60000</v>
      </c>
      <c r="I144" s="71"/>
      <c r="J144" s="488">
        <f t="shared" si="61"/>
        <v>425703.83333333302</v>
      </c>
      <c r="K144" s="488">
        <v>272454.07400000002</v>
      </c>
      <c r="L144" s="488">
        <f t="shared" si="62"/>
        <v>153249.759333333</v>
      </c>
      <c r="M144" s="490">
        <v>54681.291562666702</v>
      </c>
      <c r="N144" s="553">
        <v>32848.563402666703</v>
      </c>
      <c r="O144" s="554">
        <f t="shared" si="60"/>
        <v>21832.728159999999</v>
      </c>
      <c r="P144" s="555"/>
      <c r="Q144" s="568">
        <f t="shared" si="63"/>
        <v>131417.031173333</v>
      </c>
    </row>
    <row r="145" spans="1:17" ht="20.149999999999999" customHeight="1">
      <c r="A145" s="26">
        <v>12</v>
      </c>
      <c r="B145" s="10" t="s">
        <v>425</v>
      </c>
      <c r="C145" s="11" t="s">
        <v>426</v>
      </c>
      <c r="D145" s="14" t="s">
        <v>391</v>
      </c>
      <c r="E145" s="71">
        <v>390086.5</v>
      </c>
      <c r="F145" s="71"/>
      <c r="G145" s="201"/>
      <c r="H145" s="201">
        <f t="shared" si="64"/>
        <v>60000</v>
      </c>
      <c r="I145" s="71"/>
      <c r="J145" s="488">
        <f t="shared" si="61"/>
        <v>450086.5</v>
      </c>
      <c r="K145" s="488">
        <v>286619.99875000003</v>
      </c>
      <c r="L145" s="488">
        <f t="shared" si="62"/>
        <v>163466.50125</v>
      </c>
      <c r="M145" s="490">
        <v>58980.834746666696</v>
      </c>
      <c r="N145" s="553">
        <v>35221.954086666701</v>
      </c>
      <c r="O145" s="554">
        <f t="shared" si="60"/>
        <v>23758.880659999999</v>
      </c>
      <c r="P145" s="555"/>
      <c r="Q145" s="568">
        <f t="shared" si="63"/>
        <v>139707.62059000001</v>
      </c>
    </row>
    <row r="146" spans="1:17" ht="20.149999999999999" customHeight="1">
      <c r="A146" s="26">
        <v>13</v>
      </c>
      <c r="B146" s="17" t="s">
        <v>427</v>
      </c>
      <c r="C146" s="3" t="s">
        <v>428</v>
      </c>
      <c r="D146" s="14" t="s">
        <v>42</v>
      </c>
      <c r="E146" s="201">
        <v>353512.5</v>
      </c>
      <c r="F146" s="71"/>
      <c r="G146" s="201"/>
      <c r="H146" s="201">
        <v>60000</v>
      </c>
      <c r="I146" s="71"/>
      <c r="J146" s="488">
        <f t="shared" si="61"/>
        <v>413512.5</v>
      </c>
      <c r="K146" s="488">
        <v>265372.07500000001</v>
      </c>
      <c r="L146" s="488">
        <f t="shared" si="62"/>
        <v>148140.42499999999</v>
      </c>
      <c r="M146" s="490">
        <v>52631.114666666697</v>
      </c>
      <c r="N146" s="553">
        <v>31749.175266666702</v>
      </c>
      <c r="O146" s="554">
        <f t="shared" si="60"/>
        <v>20881.939399999999</v>
      </c>
      <c r="P146" s="555"/>
      <c r="Q146" s="568">
        <f t="shared" si="63"/>
        <v>127258.4856</v>
      </c>
    </row>
    <row r="147" spans="1:17" ht="20.149999999999999" customHeight="1">
      <c r="A147" s="26">
        <v>14</v>
      </c>
      <c r="B147" s="10" t="s">
        <v>429</v>
      </c>
      <c r="C147" s="3" t="s">
        <v>430</v>
      </c>
      <c r="D147" s="14" t="s">
        <v>345</v>
      </c>
      <c r="E147" s="201">
        <v>308901.5</v>
      </c>
      <c r="F147" s="71"/>
      <c r="G147" s="201"/>
      <c r="H147" s="201">
        <f>60000</f>
        <v>60000</v>
      </c>
      <c r="I147" s="71"/>
      <c r="J147" s="488">
        <f t="shared" si="61"/>
        <v>368901.5</v>
      </c>
      <c r="K147" s="488">
        <v>237734.04699999999</v>
      </c>
      <c r="L147" s="488">
        <f t="shared" si="62"/>
        <v>131167.45300000001</v>
      </c>
      <c r="M147" s="490">
        <v>44990.482506666704</v>
      </c>
      <c r="N147" s="553">
        <v>27105.986562666702</v>
      </c>
      <c r="O147" s="554">
        <f t="shared" si="60"/>
        <v>17884.495943999998</v>
      </c>
      <c r="P147" s="555"/>
      <c r="Q147" s="568">
        <f t="shared" si="63"/>
        <v>113282.957056</v>
      </c>
    </row>
    <row r="148" spans="1:17" ht="20.149999999999999" customHeight="1">
      <c r="A148" s="26">
        <v>15</v>
      </c>
      <c r="B148" s="10" t="s">
        <v>431</v>
      </c>
      <c r="C148" s="3" t="s">
        <v>430</v>
      </c>
      <c r="D148" s="14" t="s">
        <v>432</v>
      </c>
      <c r="E148" s="201">
        <v>316837.41666666698</v>
      </c>
      <c r="F148" s="71"/>
      <c r="G148" s="201"/>
      <c r="H148" s="201">
        <f>60000</f>
        <v>60000</v>
      </c>
      <c r="I148" s="71"/>
      <c r="J148" s="488">
        <f t="shared" si="61"/>
        <v>376837.41666666698</v>
      </c>
      <c r="K148" s="488">
        <v>242300.07750000001</v>
      </c>
      <c r="L148" s="488">
        <f t="shared" si="62"/>
        <v>134537.33916666699</v>
      </c>
      <c r="M148" s="490">
        <v>46138.184726666703</v>
      </c>
      <c r="N148" s="553">
        <v>27794.206626666699</v>
      </c>
      <c r="O148" s="554">
        <f t="shared" si="60"/>
        <v>18343.9781</v>
      </c>
      <c r="P148" s="555"/>
      <c r="Q148" s="568">
        <f t="shared" si="63"/>
        <v>116193.361066667</v>
      </c>
    </row>
    <row r="149" spans="1:17" ht="20.149999999999999" customHeight="1">
      <c r="A149" s="26">
        <v>16</v>
      </c>
      <c r="B149" s="10" t="s">
        <v>433</v>
      </c>
      <c r="C149" s="3" t="s">
        <v>430</v>
      </c>
      <c r="D149" s="14" t="s">
        <v>432</v>
      </c>
      <c r="E149" s="201">
        <v>316837.41666666698</v>
      </c>
      <c r="F149" s="71"/>
      <c r="G149" s="201"/>
      <c r="H149" s="201">
        <f>60000</f>
        <v>60000</v>
      </c>
      <c r="I149" s="71"/>
      <c r="J149" s="488">
        <f t="shared" si="61"/>
        <v>376837.41666666698</v>
      </c>
      <c r="K149" s="488">
        <v>242300.07750000001</v>
      </c>
      <c r="L149" s="488">
        <f t="shared" si="62"/>
        <v>134537.33916666699</v>
      </c>
      <c r="M149" s="490">
        <v>46217.057786666701</v>
      </c>
      <c r="N149" s="553">
        <v>27873.079686666701</v>
      </c>
      <c r="O149" s="554">
        <f t="shared" si="60"/>
        <v>18343.9781</v>
      </c>
      <c r="P149" s="555"/>
      <c r="Q149" s="568">
        <f t="shared" si="63"/>
        <v>116193.361066667</v>
      </c>
    </row>
    <row r="150" spans="1:17" ht="20.149999999999999" customHeight="1">
      <c r="A150" s="26">
        <v>17</v>
      </c>
      <c r="B150" s="10" t="s">
        <v>434</v>
      </c>
      <c r="C150" s="11" t="s">
        <v>435</v>
      </c>
      <c r="D150" s="14" t="s">
        <v>301</v>
      </c>
      <c r="E150" s="201">
        <v>300965.58333333302</v>
      </c>
      <c r="F150" s="71"/>
      <c r="G150" s="201"/>
      <c r="H150" s="201">
        <f>60000</f>
        <v>60000</v>
      </c>
      <c r="I150" s="71"/>
      <c r="J150" s="488">
        <f t="shared" si="61"/>
        <v>360965.58333333302</v>
      </c>
      <c r="K150" s="488">
        <v>237734.04699999999</v>
      </c>
      <c r="L150" s="488">
        <f t="shared" si="62"/>
        <v>123231.536333333</v>
      </c>
      <c r="M150" s="490">
        <v>43763.907226666699</v>
      </c>
      <c r="N150" s="553">
        <v>27105.986562666702</v>
      </c>
      <c r="O150" s="554">
        <f t="shared" si="60"/>
        <v>16657.920664000001</v>
      </c>
      <c r="P150" s="555"/>
      <c r="Q150" s="568">
        <f t="shared" si="63"/>
        <v>106573.615669333</v>
      </c>
    </row>
    <row r="151" spans="1:17" ht="20.149999999999999" customHeight="1">
      <c r="A151" s="26">
        <v>18</v>
      </c>
      <c r="B151" s="10" t="s">
        <v>436</v>
      </c>
      <c r="C151" s="11" t="s">
        <v>437</v>
      </c>
      <c r="D151" s="9" t="s">
        <v>283</v>
      </c>
      <c r="E151" s="71">
        <v>263165.33333333302</v>
      </c>
      <c r="F151" s="71"/>
      <c r="G151" s="201"/>
      <c r="H151" s="201">
        <f>60000</f>
        <v>60000</v>
      </c>
      <c r="I151" s="71"/>
      <c r="J151" s="488">
        <f t="shared" si="61"/>
        <v>323165.33333333302</v>
      </c>
      <c r="K151" s="488">
        <v>209356.04725</v>
      </c>
      <c r="L151" s="488">
        <f t="shared" si="62"/>
        <v>113809.28608333301</v>
      </c>
      <c r="M151" s="490">
        <v>37921.500586666698</v>
      </c>
      <c r="N151" s="553">
        <v>22338.4826046667</v>
      </c>
      <c r="O151" s="554">
        <f t="shared" si="60"/>
        <v>15583.017981999999</v>
      </c>
      <c r="P151" s="555"/>
      <c r="Q151" s="568">
        <f t="shared" si="63"/>
        <v>98226.268101333306</v>
      </c>
    </row>
    <row r="152" spans="1:17" ht="20.149999999999999" customHeight="1">
      <c r="A152" s="26">
        <v>19</v>
      </c>
      <c r="B152" s="10" t="s">
        <v>438</v>
      </c>
      <c r="C152" s="11" t="s">
        <v>439</v>
      </c>
      <c r="D152" s="14" t="s">
        <v>345</v>
      </c>
      <c r="E152" s="201">
        <v>308901.5</v>
      </c>
      <c r="F152" s="71"/>
      <c r="G152" s="201"/>
      <c r="H152" s="201">
        <f>50000+10000</f>
        <v>60000</v>
      </c>
      <c r="I152" s="71"/>
      <c r="J152" s="488">
        <f t="shared" si="61"/>
        <v>368901.5</v>
      </c>
      <c r="K152" s="488">
        <v>237734.04699999999</v>
      </c>
      <c r="L152" s="488">
        <f t="shared" si="62"/>
        <v>131167.45300000001</v>
      </c>
      <c r="M152" s="490">
        <v>44990.482506666704</v>
      </c>
      <c r="N152" s="553">
        <v>27105.986562666702</v>
      </c>
      <c r="O152" s="554">
        <f t="shared" si="60"/>
        <v>17884.495943999998</v>
      </c>
      <c r="P152" s="555"/>
      <c r="Q152" s="568">
        <f t="shared" si="63"/>
        <v>113282.957056</v>
      </c>
    </row>
    <row r="153" spans="1:17" ht="20.149999999999999" customHeight="1">
      <c r="A153" s="26">
        <v>20</v>
      </c>
      <c r="B153" s="10" t="s">
        <v>440</v>
      </c>
      <c r="C153" s="11" t="s">
        <v>441</v>
      </c>
      <c r="D153" s="14" t="s">
        <v>279</v>
      </c>
      <c r="E153" s="201">
        <v>270481.66666666698</v>
      </c>
      <c r="F153" s="71"/>
      <c r="G153" s="201"/>
      <c r="H153" s="201">
        <f>50000+10000</f>
        <v>60000</v>
      </c>
      <c r="I153" s="71"/>
      <c r="J153" s="488">
        <f t="shared" si="61"/>
        <v>330481.66666666698</v>
      </c>
      <c r="K153" s="488">
        <v>213508.01</v>
      </c>
      <c r="L153" s="488">
        <f t="shared" si="62"/>
        <v>116973.656666667</v>
      </c>
      <c r="M153" s="490">
        <v>39052.313066666698</v>
      </c>
      <c r="N153" s="553">
        <v>23036.012346666699</v>
      </c>
      <c r="O153" s="554">
        <f t="shared" si="60"/>
        <v>16016.300719999999</v>
      </c>
      <c r="P153" s="555"/>
      <c r="Q153" s="568">
        <f t="shared" si="63"/>
        <v>100957.355946667</v>
      </c>
    </row>
    <row r="154" spans="1:17" ht="20.149999999999999" customHeight="1">
      <c r="A154" s="26">
        <v>21</v>
      </c>
      <c r="B154" s="10" t="s">
        <v>442</v>
      </c>
      <c r="C154" s="11" t="s">
        <v>443</v>
      </c>
      <c r="D154" s="14" t="s">
        <v>345</v>
      </c>
      <c r="E154" s="201">
        <v>308901.5</v>
      </c>
      <c r="F154" s="71"/>
      <c r="G154" s="201"/>
      <c r="H154" s="201">
        <f>50000+10000</f>
        <v>60000</v>
      </c>
      <c r="I154" s="71"/>
      <c r="J154" s="488">
        <f t="shared" si="61"/>
        <v>368901.5</v>
      </c>
      <c r="K154" s="488">
        <v>237734.04699999999</v>
      </c>
      <c r="L154" s="488">
        <f t="shared" si="62"/>
        <v>131167.45300000001</v>
      </c>
      <c r="M154" s="490">
        <v>44913.699618666702</v>
      </c>
      <c r="N154" s="553">
        <v>27029.2036746667</v>
      </c>
      <c r="O154" s="554">
        <f t="shared" si="60"/>
        <v>17884.495943999998</v>
      </c>
      <c r="P154" s="555"/>
      <c r="Q154" s="568">
        <f t="shared" si="63"/>
        <v>113282.957056</v>
      </c>
    </row>
    <row r="155" spans="1:17" ht="20.149999999999999" customHeight="1">
      <c r="A155" s="26">
        <v>22</v>
      </c>
      <c r="B155" s="10" t="s">
        <v>444</v>
      </c>
      <c r="C155" s="11" t="s">
        <v>445</v>
      </c>
      <c r="D155" s="14" t="s">
        <v>279</v>
      </c>
      <c r="E155" s="201">
        <v>270481.66666666698</v>
      </c>
      <c r="F155" s="71"/>
      <c r="G155" s="201"/>
      <c r="H155" s="201">
        <f>50000+10000</f>
        <v>60000</v>
      </c>
      <c r="I155" s="71"/>
      <c r="J155" s="488">
        <f t="shared" si="61"/>
        <v>330481.66666666698</v>
      </c>
      <c r="K155" s="488">
        <v>209356.04725</v>
      </c>
      <c r="L155" s="488">
        <f t="shared" si="62"/>
        <v>121125.619416667</v>
      </c>
      <c r="M155" s="490">
        <v>39052.313066666698</v>
      </c>
      <c r="N155" s="553">
        <v>22338.4826046667</v>
      </c>
      <c r="O155" s="554">
        <f t="shared" si="60"/>
        <v>16713.830462000002</v>
      </c>
      <c r="P155" s="555"/>
      <c r="Q155" s="568">
        <f t="shared" si="63"/>
        <v>104411.788954667</v>
      </c>
    </row>
    <row r="156" spans="1:17" ht="20.149999999999999" customHeight="1">
      <c r="A156" s="26">
        <v>23</v>
      </c>
      <c r="B156" s="17" t="s">
        <v>446</v>
      </c>
      <c r="C156" s="11" t="s">
        <v>447</v>
      </c>
      <c r="D156" s="14" t="s">
        <v>25</v>
      </c>
      <c r="E156" s="201">
        <v>255849</v>
      </c>
      <c r="F156" s="71"/>
      <c r="G156" s="201"/>
      <c r="H156" s="201">
        <f>60000</f>
        <v>60000</v>
      </c>
      <c r="I156" s="3"/>
      <c r="J156" s="488">
        <f t="shared" si="61"/>
        <v>315849</v>
      </c>
      <c r="K156" s="488">
        <v>205204.0845</v>
      </c>
      <c r="L156" s="488">
        <f t="shared" si="62"/>
        <v>110644.9155</v>
      </c>
      <c r="M156" s="490">
        <v>36790.688106666697</v>
      </c>
      <c r="N156" s="553">
        <v>21640.952862666702</v>
      </c>
      <c r="O156" s="554">
        <f t="shared" si="60"/>
        <v>15149.735244</v>
      </c>
      <c r="P156" s="555"/>
      <c r="Q156" s="568">
        <f t="shared" si="63"/>
        <v>95495.180256000007</v>
      </c>
    </row>
    <row r="157" spans="1:17" ht="20.149999999999999" customHeight="1">
      <c r="A157" s="26">
        <v>24</v>
      </c>
      <c r="B157" s="17" t="s">
        <v>448</v>
      </c>
      <c r="C157" s="11" t="s">
        <v>449</v>
      </c>
      <c r="D157" s="14" t="s">
        <v>294</v>
      </c>
      <c r="E157" s="71">
        <v>224459.75</v>
      </c>
      <c r="F157" s="71"/>
      <c r="G157" s="201"/>
      <c r="H157" s="201">
        <f>50000</f>
        <v>50000</v>
      </c>
      <c r="I157" s="71"/>
      <c r="J157" s="488">
        <f t="shared" si="61"/>
        <v>274459.75</v>
      </c>
      <c r="K157" s="488">
        <v>176816.1</v>
      </c>
      <c r="L157" s="488">
        <f t="shared" si="62"/>
        <v>97643.65</v>
      </c>
      <c r="M157" s="490">
        <v>30259.165626666701</v>
      </c>
      <c r="N157" s="553">
        <v>17042.713866666702</v>
      </c>
      <c r="O157" s="554">
        <f t="shared" si="60"/>
        <v>13216.45176</v>
      </c>
      <c r="P157" s="555"/>
      <c r="Q157" s="568">
        <f t="shared" si="63"/>
        <v>84427.198239999998</v>
      </c>
    </row>
    <row r="158" spans="1:17" ht="20.149999999999999" customHeight="1">
      <c r="A158" s="26">
        <v>25</v>
      </c>
      <c r="B158" s="17" t="s">
        <v>450</v>
      </c>
      <c r="C158" s="11" t="s">
        <v>451</v>
      </c>
      <c r="D158" s="14" t="s">
        <v>294</v>
      </c>
      <c r="E158" s="71">
        <v>224459.75</v>
      </c>
      <c r="F158" s="71"/>
      <c r="G158" s="201"/>
      <c r="H158" s="201">
        <f>50000</f>
        <v>50000</v>
      </c>
      <c r="I158" s="71"/>
      <c r="J158" s="488">
        <f t="shared" si="61"/>
        <v>274459.75</v>
      </c>
      <c r="K158" s="488">
        <v>176816.1</v>
      </c>
      <c r="L158" s="488">
        <f t="shared" si="62"/>
        <v>97643.65</v>
      </c>
      <c r="M158" s="490">
        <v>30259.165626666701</v>
      </c>
      <c r="N158" s="553">
        <v>17042.713866666702</v>
      </c>
      <c r="O158" s="554">
        <f t="shared" si="60"/>
        <v>13216.45176</v>
      </c>
      <c r="P158" s="555"/>
      <c r="Q158" s="568">
        <f t="shared" si="63"/>
        <v>84427.198239999998</v>
      </c>
    </row>
    <row r="159" spans="1:17" ht="20.149999999999999" customHeight="1">
      <c r="A159" s="26">
        <v>26</v>
      </c>
      <c r="B159" s="17" t="s">
        <v>452</v>
      </c>
      <c r="C159" s="11" t="s">
        <v>453</v>
      </c>
      <c r="D159" s="14" t="s">
        <v>294</v>
      </c>
      <c r="E159" s="71">
        <v>224459.75</v>
      </c>
      <c r="F159" s="71"/>
      <c r="G159" s="201"/>
      <c r="H159" s="201">
        <f>50000</f>
        <v>50000</v>
      </c>
      <c r="I159" s="71"/>
      <c r="J159" s="488">
        <f t="shared" si="61"/>
        <v>274459.75</v>
      </c>
      <c r="K159" s="488">
        <v>176816.1</v>
      </c>
      <c r="L159" s="488">
        <f t="shared" si="62"/>
        <v>97643.65</v>
      </c>
      <c r="M159" s="490">
        <v>30259.165626666701</v>
      </c>
      <c r="N159" s="553">
        <v>17042.713866666702</v>
      </c>
      <c r="O159" s="554">
        <f t="shared" si="60"/>
        <v>13216.45176</v>
      </c>
      <c r="P159" s="555"/>
      <c r="Q159" s="568">
        <f t="shared" si="63"/>
        <v>84427.198239999998</v>
      </c>
    </row>
    <row r="160" spans="1:17" ht="20.149999999999999" customHeight="1">
      <c r="A160" s="26">
        <v>27</v>
      </c>
      <c r="B160" s="17" t="s">
        <v>454</v>
      </c>
      <c r="C160" s="11" t="s">
        <v>455</v>
      </c>
      <c r="D160" s="14" t="s">
        <v>291</v>
      </c>
      <c r="E160" s="71">
        <v>230631.91666666701</v>
      </c>
      <c r="F160" s="71"/>
      <c r="G160" s="201"/>
      <c r="H160" s="201">
        <f>50000</f>
        <v>50000</v>
      </c>
      <c r="I160" s="71"/>
      <c r="J160" s="488">
        <f t="shared" si="61"/>
        <v>280631.91666666698</v>
      </c>
      <c r="K160" s="488">
        <v>180304.068</v>
      </c>
      <c r="L160" s="488">
        <f t="shared" si="62"/>
        <v>100327.84866666701</v>
      </c>
      <c r="M160" s="490">
        <v>31213.135706666701</v>
      </c>
      <c r="N160" s="553">
        <v>17572.885002666699</v>
      </c>
      <c r="O160" s="554">
        <f t="shared" si="60"/>
        <v>13640.250704</v>
      </c>
      <c r="P160" s="555"/>
      <c r="Q160" s="568">
        <f t="shared" si="63"/>
        <v>86687.597962666594</v>
      </c>
    </row>
    <row r="161" spans="1:17" ht="20.149999999999999" customHeight="1">
      <c r="A161" s="26">
        <v>28</v>
      </c>
      <c r="B161" s="17" t="s">
        <v>456</v>
      </c>
      <c r="C161" s="11" t="s">
        <v>451</v>
      </c>
      <c r="D161" s="14" t="s">
        <v>294</v>
      </c>
      <c r="E161" s="71">
        <v>224459.75</v>
      </c>
      <c r="F161" s="71"/>
      <c r="G161" s="201"/>
      <c r="H161" s="201">
        <f>50000</f>
        <v>50000</v>
      </c>
      <c r="I161" s="71"/>
      <c r="J161" s="488">
        <f t="shared" si="61"/>
        <v>274459.75</v>
      </c>
      <c r="K161" s="488">
        <v>176816.1</v>
      </c>
      <c r="L161" s="488">
        <f t="shared" si="62"/>
        <v>97643.65</v>
      </c>
      <c r="M161" s="490">
        <v>30259.165626666701</v>
      </c>
      <c r="N161" s="553">
        <v>17042.713866666702</v>
      </c>
      <c r="O161" s="554">
        <f t="shared" si="60"/>
        <v>13216.45176</v>
      </c>
      <c r="P161" s="555"/>
      <c r="Q161" s="568">
        <f t="shared" si="63"/>
        <v>84427.198239999998</v>
      </c>
    </row>
    <row r="162" spans="1:17" ht="20.149999999999999" customHeight="1">
      <c r="A162" s="26">
        <v>29</v>
      </c>
      <c r="B162" s="10" t="s">
        <v>457</v>
      </c>
      <c r="C162" s="11" t="s">
        <v>458</v>
      </c>
      <c r="D162" s="14" t="s">
        <v>459</v>
      </c>
      <c r="E162" s="207">
        <v>168598.16666666701</v>
      </c>
      <c r="F162" s="201"/>
      <c r="G162" s="201"/>
      <c r="H162" s="201">
        <f>30000</f>
        <v>30000</v>
      </c>
      <c r="I162" s="71">
        <f>4000</f>
        <v>4000</v>
      </c>
      <c r="J162" s="488">
        <f t="shared" si="61"/>
        <v>202598.16666666701</v>
      </c>
      <c r="K162" s="488">
        <v>135590.73000000001</v>
      </c>
      <c r="L162" s="488">
        <f t="shared" si="62"/>
        <v>67007.436666666705</v>
      </c>
      <c r="M162" s="490">
        <v>18892.9833866667</v>
      </c>
      <c r="N162" s="553">
        <v>10739.3048</v>
      </c>
      <c r="O162" s="554">
        <f t="shared" si="60"/>
        <v>8153.6785866666696</v>
      </c>
      <c r="P162" s="555"/>
      <c r="Q162" s="568">
        <f t="shared" si="63"/>
        <v>58853.75808</v>
      </c>
    </row>
    <row r="163" spans="1:17" ht="20.149999999999999" customHeight="1">
      <c r="A163" s="26">
        <v>30</v>
      </c>
      <c r="B163" s="10" t="s">
        <v>460</v>
      </c>
      <c r="C163" s="11" t="s">
        <v>458</v>
      </c>
      <c r="D163" s="14" t="s">
        <v>459</v>
      </c>
      <c r="E163" s="207">
        <v>168598.16666666701</v>
      </c>
      <c r="F163" s="201"/>
      <c r="G163" s="201"/>
      <c r="H163" s="201">
        <f>30000</f>
        <v>30000</v>
      </c>
      <c r="I163" s="71">
        <f>7000</f>
        <v>7000</v>
      </c>
      <c r="J163" s="488">
        <f t="shared" si="61"/>
        <v>205598.16666666701</v>
      </c>
      <c r="K163" s="488">
        <v>138590.73000000001</v>
      </c>
      <c r="L163" s="488">
        <f t="shared" si="62"/>
        <v>67007.436666666705</v>
      </c>
      <c r="M163" s="490">
        <v>19441.199306666698</v>
      </c>
      <c r="N163" s="553">
        <v>11232.457626666701</v>
      </c>
      <c r="O163" s="554">
        <f t="shared" si="60"/>
        <v>8208.7416799999992</v>
      </c>
      <c r="P163" s="555"/>
      <c r="Q163" s="568">
        <f t="shared" si="63"/>
        <v>58798.694986666698</v>
      </c>
    </row>
    <row r="164" spans="1:17" ht="20.149999999999999" customHeight="1">
      <c r="A164" s="26">
        <v>31</v>
      </c>
      <c r="B164" s="10" t="s">
        <v>461</v>
      </c>
      <c r="C164" s="11" t="s">
        <v>458</v>
      </c>
      <c r="D164" s="14" t="s">
        <v>459</v>
      </c>
      <c r="E164" s="207">
        <v>168598.16666666701</v>
      </c>
      <c r="F164" s="201"/>
      <c r="G164" s="201"/>
      <c r="H164" s="201">
        <f>30000</f>
        <v>30000</v>
      </c>
      <c r="I164" s="71">
        <f>4000</f>
        <v>4000</v>
      </c>
      <c r="J164" s="488">
        <f t="shared" si="61"/>
        <v>202598.16666666701</v>
      </c>
      <c r="K164" s="488">
        <v>135590.73000000001</v>
      </c>
      <c r="L164" s="488">
        <f t="shared" si="62"/>
        <v>67007.436666666705</v>
      </c>
      <c r="M164" s="490">
        <v>18937.199306666698</v>
      </c>
      <c r="N164" s="553">
        <v>10776.457626666701</v>
      </c>
      <c r="O164" s="554">
        <f t="shared" si="60"/>
        <v>8160.7416800000001</v>
      </c>
      <c r="P164" s="555"/>
      <c r="Q164" s="568">
        <f t="shared" si="63"/>
        <v>58846.694986666698</v>
      </c>
    </row>
    <row r="165" spans="1:17" ht="20.149999999999999" customHeight="1">
      <c r="A165" s="26">
        <v>32</v>
      </c>
      <c r="B165" s="10" t="s">
        <v>462</v>
      </c>
      <c r="C165" s="11" t="s">
        <v>458</v>
      </c>
      <c r="D165" s="14" t="s">
        <v>459</v>
      </c>
      <c r="E165" s="207">
        <v>168598.16666666701</v>
      </c>
      <c r="F165" s="201"/>
      <c r="G165" s="201"/>
      <c r="H165" s="201">
        <f>30000</f>
        <v>30000</v>
      </c>
      <c r="I165" s="71">
        <f>4000</f>
        <v>4000</v>
      </c>
      <c r="J165" s="488">
        <f t="shared" si="61"/>
        <v>202598.16666666701</v>
      </c>
      <c r="K165" s="488">
        <v>135590.73000000001</v>
      </c>
      <c r="L165" s="488">
        <f t="shared" si="62"/>
        <v>67007.436666666705</v>
      </c>
      <c r="M165" s="490">
        <v>18892.9833866667</v>
      </c>
      <c r="N165" s="553">
        <v>10739.3048</v>
      </c>
      <c r="O165" s="554">
        <f t="shared" si="60"/>
        <v>8153.6785866666696</v>
      </c>
      <c r="P165" s="555"/>
      <c r="Q165" s="568">
        <f t="shared" si="63"/>
        <v>58853.75808</v>
      </c>
    </row>
    <row r="166" spans="1:17" ht="20.149999999999999" customHeight="1">
      <c r="A166" s="26">
        <v>33</v>
      </c>
      <c r="B166" s="10" t="s">
        <v>463</v>
      </c>
      <c r="C166" s="11" t="s">
        <v>458</v>
      </c>
      <c r="D166" s="14" t="s">
        <v>459</v>
      </c>
      <c r="E166" s="207">
        <v>168598.16666666701</v>
      </c>
      <c r="F166" s="201"/>
      <c r="G166" s="201"/>
      <c r="H166" s="201">
        <f>30000</f>
        <v>30000</v>
      </c>
      <c r="I166" s="71">
        <f>4000</f>
        <v>4000</v>
      </c>
      <c r="J166" s="488">
        <f t="shared" si="61"/>
        <v>202598.16666666701</v>
      </c>
      <c r="K166" s="488">
        <v>135590.73000000001</v>
      </c>
      <c r="L166" s="488">
        <f t="shared" si="62"/>
        <v>67007.436666666705</v>
      </c>
      <c r="M166" s="490">
        <v>18937.199306666698</v>
      </c>
      <c r="N166" s="553">
        <v>10776.457626666701</v>
      </c>
      <c r="O166" s="554">
        <f t="shared" si="60"/>
        <v>8160.7416800000001</v>
      </c>
      <c r="P166" s="555"/>
      <c r="Q166" s="568">
        <f t="shared" si="63"/>
        <v>58846.694986666698</v>
      </c>
    </row>
    <row r="167" spans="1:17" ht="20.149999999999999" customHeight="1">
      <c r="A167" s="26">
        <v>34</v>
      </c>
      <c r="B167" s="10" t="s">
        <v>464</v>
      </c>
      <c r="C167" s="11" t="s">
        <v>458</v>
      </c>
      <c r="D167" s="14" t="s">
        <v>465</v>
      </c>
      <c r="E167" s="207">
        <v>163336.83333333299</v>
      </c>
      <c r="F167" s="201"/>
      <c r="G167" s="201"/>
      <c r="H167" s="201">
        <f>20000+10000</f>
        <v>30000</v>
      </c>
      <c r="I167" s="71">
        <f>7000</f>
        <v>7000</v>
      </c>
      <c r="J167" s="488">
        <f t="shared" si="61"/>
        <v>200336.83333333299</v>
      </c>
      <c r="K167" s="488">
        <v>138590.73000000001</v>
      </c>
      <c r="L167" s="488">
        <f t="shared" si="62"/>
        <v>61746.103333333398</v>
      </c>
      <c r="M167" s="490">
        <v>18631.689439999998</v>
      </c>
      <c r="N167" s="553">
        <v>11232.457626666701</v>
      </c>
      <c r="O167" s="554">
        <f t="shared" si="60"/>
        <v>7399.2318133333401</v>
      </c>
      <c r="P167" s="555"/>
      <c r="Q167" s="568">
        <f t="shared" si="63"/>
        <v>54346.871520000001</v>
      </c>
    </row>
    <row r="168" spans="1:17" ht="20.149999999999999" customHeight="1">
      <c r="A168" s="26">
        <v>35</v>
      </c>
      <c r="B168" s="10" t="s">
        <v>466</v>
      </c>
      <c r="C168" s="11" t="s">
        <v>458</v>
      </c>
      <c r="D168" s="14" t="s">
        <v>465</v>
      </c>
      <c r="E168" s="207">
        <v>163336.83333333299</v>
      </c>
      <c r="F168" s="201"/>
      <c r="G168" s="201"/>
      <c r="H168" s="201">
        <f t="shared" ref="H168:H172" si="65">20000+10000</f>
        <v>30000</v>
      </c>
      <c r="I168" s="71">
        <f>4000</f>
        <v>4000</v>
      </c>
      <c r="J168" s="488">
        <f t="shared" si="61"/>
        <v>197336.83333333299</v>
      </c>
      <c r="K168" s="488">
        <v>135590.73000000001</v>
      </c>
      <c r="L168" s="488">
        <f t="shared" si="62"/>
        <v>61746.103333333398</v>
      </c>
      <c r="M168" s="490">
        <v>18175.689439999998</v>
      </c>
      <c r="N168" s="553">
        <v>10776.457626666701</v>
      </c>
      <c r="O168" s="554">
        <f t="shared" si="60"/>
        <v>7399.2318133333401</v>
      </c>
      <c r="P168" s="555"/>
      <c r="Q168" s="568">
        <f t="shared" si="63"/>
        <v>54346.871520000001</v>
      </c>
    </row>
    <row r="169" spans="1:17" ht="20.149999999999999" customHeight="1">
      <c r="A169" s="26">
        <v>36</v>
      </c>
      <c r="B169" s="13" t="s">
        <v>467</v>
      </c>
      <c r="C169" s="11" t="s">
        <v>458</v>
      </c>
      <c r="D169" s="14" t="s">
        <v>465</v>
      </c>
      <c r="E169" s="207">
        <v>163336.83333333299</v>
      </c>
      <c r="F169" s="201"/>
      <c r="G169" s="201"/>
      <c r="H169" s="201">
        <f t="shared" si="65"/>
        <v>30000</v>
      </c>
      <c r="I169" s="71">
        <f>7000</f>
        <v>7000</v>
      </c>
      <c r="J169" s="488">
        <f t="shared" si="61"/>
        <v>200336.83333333299</v>
      </c>
      <c r="K169" s="488">
        <v>138590.73000000001</v>
      </c>
      <c r="L169" s="488">
        <f t="shared" si="62"/>
        <v>61746.103333333398</v>
      </c>
      <c r="M169" s="490">
        <v>18631.689439999998</v>
      </c>
      <c r="N169" s="553">
        <v>11232.457626666701</v>
      </c>
      <c r="O169" s="554">
        <f t="shared" si="60"/>
        <v>7399.2318133333401</v>
      </c>
      <c r="P169" s="555"/>
      <c r="Q169" s="568">
        <f t="shared" si="63"/>
        <v>54346.871520000001</v>
      </c>
    </row>
    <row r="170" spans="1:17" ht="20.149999999999999" customHeight="1">
      <c r="A170" s="26">
        <v>37</v>
      </c>
      <c r="B170" s="10" t="s">
        <v>468</v>
      </c>
      <c r="C170" s="11" t="s">
        <v>458</v>
      </c>
      <c r="D170" s="14" t="s">
        <v>465</v>
      </c>
      <c r="E170" s="207">
        <v>163336.83333333299</v>
      </c>
      <c r="F170" s="201"/>
      <c r="G170" s="201"/>
      <c r="H170" s="201">
        <f t="shared" si="65"/>
        <v>30000</v>
      </c>
      <c r="I170" s="71">
        <f>4000</f>
        <v>4000</v>
      </c>
      <c r="J170" s="488">
        <f t="shared" si="61"/>
        <v>197336.83333333299</v>
      </c>
      <c r="K170" s="488">
        <v>135590.73000000001</v>
      </c>
      <c r="L170" s="488">
        <f t="shared" si="62"/>
        <v>61746.103333333398</v>
      </c>
      <c r="M170" s="490">
        <v>18175.689439999998</v>
      </c>
      <c r="N170" s="553">
        <v>10776.457626666701</v>
      </c>
      <c r="O170" s="554">
        <f t="shared" si="60"/>
        <v>7399.2318133333401</v>
      </c>
      <c r="P170" s="555"/>
      <c r="Q170" s="568">
        <f t="shared" si="63"/>
        <v>54346.871520000001</v>
      </c>
    </row>
    <row r="171" spans="1:17" ht="20.149999999999999" customHeight="1">
      <c r="A171" s="26">
        <v>38</v>
      </c>
      <c r="B171" s="17" t="s">
        <v>469</v>
      </c>
      <c r="C171" s="11" t="s">
        <v>458</v>
      </c>
      <c r="D171" s="14" t="s">
        <v>465</v>
      </c>
      <c r="E171" s="207">
        <v>163336.83333333299</v>
      </c>
      <c r="F171" s="201"/>
      <c r="G171" s="201"/>
      <c r="H171" s="201">
        <f t="shared" si="65"/>
        <v>30000</v>
      </c>
      <c r="I171" s="71">
        <f>4000</f>
        <v>4000</v>
      </c>
      <c r="J171" s="488">
        <f t="shared" si="61"/>
        <v>197336.83333333299</v>
      </c>
      <c r="K171" s="488">
        <v>135590.73000000001</v>
      </c>
      <c r="L171" s="488">
        <f t="shared" si="62"/>
        <v>61746.103333333398</v>
      </c>
      <c r="M171" s="490">
        <v>18175.689439999998</v>
      </c>
      <c r="N171" s="553">
        <v>10776.457626666701</v>
      </c>
      <c r="O171" s="554">
        <f t="shared" si="60"/>
        <v>7399.2318133333401</v>
      </c>
      <c r="P171" s="555"/>
      <c r="Q171" s="568">
        <f t="shared" si="63"/>
        <v>54346.871520000001</v>
      </c>
    </row>
    <row r="172" spans="1:17" ht="20.149999999999999" customHeight="1">
      <c r="A172" s="26">
        <v>39</v>
      </c>
      <c r="B172" s="17" t="s">
        <v>470</v>
      </c>
      <c r="C172" s="11" t="s">
        <v>458</v>
      </c>
      <c r="D172" s="14" t="s">
        <v>465</v>
      </c>
      <c r="E172" s="207">
        <v>163336.83333333299</v>
      </c>
      <c r="F172" s="201"/>
      <c r="G172" s="201"/>
      <c r="H172" s="201">
        <f t="shared" si="65"/>
        <v>30000</v>
      </c>
      <c r="I172" s="71">
        <f t="shared" ref="I172:I177" si="66">7000</f>
        <v>7000</v>
      </c>
      <c r="J172" s="488">
        <f t="shared" si="61"/>
        <v>200336.83333333299</v>
      </c>
      <c r="K172" s="488">
        <v>138590.73000000001</v>
      </c>
      <c r="L172" s="488">
        <f t="shared" si="62"/>
        <v>61746.103333333398</v>
      </c>
      <c r="M172" s="490">
        <v>18631.689439999998</v>
      </c>
      <c r="N172" s="553">
        <v>11232.457626666701</v>
      </c>
      <c r="O172" s="554">
        <f t="shared" si="60"/>
        <v>7399.2318133333401</v>
      </c>
      <c r="P172" s="555"/>
      <c r="Q172" s="568">
        <f t="shared" si="63"/>
        <v>54346.871520000001</v>
      </c>
    </row>
    <row r="173" spans="1:17" ht="20.149999999999999" customHeight="1">
      <c r="A173" s="26">
        <v>40</v>
      </c>
      <c r="B173" s="10" t="s">
        <v>471</v>
      </c>
      <c r="C173" s="11" t="s">
        <v>472</v>
      </c>
      <c r="D173" s="14" t="s">
        <v>473</v>
      </c>
      <c r="E173" s="71">
        <v>152814.16666666701</v>
      </c>
      <c r="F173" s="201"/>
      <c r="G173" s="201"/>
      <c r="H173" s="201">
        <f>30000</f>
        <v>30000</v>
      </c>
      <c r="I173" s="71">
        <f t="shared" si="66"/>
        <v>7000</v>
      </c>
      <c r="J173" s="488">
        <f t="shared" si="61"/>
        <v>189814.16666666701</v>
      </c>
      <c r="K173" s="488">
        <v>122104.99825</v>
      </c>
      <c r="L173" s="488">
        <f t="shared" si="62"/>
        <v>67709.168416666696</v>
      </c>
      <c r="M173" s="490">
        <v>17160.199733333298</v>
      </c>
      <c r="N173" s="553">
        <v>9152.5997900000002</v>
      </c>
      <c r="O173" s="554">
        <f t="shared" si="60"/>
        <v>8007.59994333334</v>
      </c>
      <c r="P173" s="555"/>
      <c r="Q173" s="568">
        <f t="shared" si="63"/>
        <v>59701.568473333296</v>
      </c>
    </row>
    <row r="174" spans="1:17" ht="20.149999999999999" customHeight="1">
      <c r="A174" s="26">
        <v>41</v>
      </c>
      <c r="B174" s="10" t="s">
        <v>474</v>
      </c>
      <c r="C174" s="11" t="s">
        <v>472</v>
      </c>
      <c r="D174" s="14" t="s">
        <v>473</v>
      </c>
      <c r="E174" s="71">
        <v>152814.16666666701</v>
      </c>
      <c r="F174" s="201"/>
      <c r="G174" s="201"/>
      <c r="H174" s="201">
        <f>30000</f>
        <v>30000</v>
      </c>
      <c r="I174" s="71">
        <f t="shared" si="66"/>
        <v>7000</v>
      </c>
      <c r="J174" s="488">
        <f t="shared" si="61"/>
        <v>189814.16666666701</v>
      </c>
      <c r="K174" s="488">
        <v>122104.99825</v>
      </c>
      <c r="L174" s="488">
        <f t="shared" si="62"/>
        <v>67709.168416666696</v>
      </c>
      <c r="M174" s="490">
        <v>17160.199733333298</v>
      </c>
      <c r="N174" s="553">
        <v>9152.5997900000002</v>
      </c>
      <c r="O174" s="554">
        <f t="shared" si="60"/>
        <v>8007.59994333334</v>
      </c>
      <c r="P174" s="555"/>
      <c r="Q174" s="568">
        <f t="shared" si="63"/>
        <v>59701.568473333296</v>
      </c>
    </row>
    <row r="175" spans="1:17" ht="20.149999999999999" customHeight="1">
      <c r="A175" s="26">
        <v>42</v>
      </c>
      <c r="B175" s="17" t="s">
        <v>475</v>
      </c>
      <c r="C175" s="11" t="s">
        <v>472</v>
      </c>
      <c r="D175" s="14" t="s">
        <v>476</v>
      </c>
      <c r="E175" s="71">
        <v>158075.5</v>
      </c>
      <c r="F175" s="201"/>
      <c r="G175" s="201"/>
      <c r="H175" s="201">
        <f>30000</f>
        <v>30000</v>
      </c>
      <c r="I175" s="71">
        <f t="shared" si="66"/>
        <v>7000</v>
      </c>
      <c r="J175" s="488">
        <f t="shared" si="61"/>
        <v>195075.5</v>
      </c>
      <c r="K175" s="488">
        <v>125035.03449999999</v>
      </c>
      <c r="L175" s="488">
        <f t="shared" si="62"/>
        <v>70040.465500000006</v>
      </c>
      <c r="M175" s="490">
        <v>17895.944586666701</v>
      </c>
      <c r="N175" s="553">
        <v>9504.2041399999998</v>
      </c>
      <c r="O175" s="554">
        <f t="shared" si="60"/>
        <v>8391.7404466666703</v>
      </c>
      <c r="P175" s="555"/>
      <c r="Q175" s="568">
        <f t="shared" si="63"/>
        <v>61648.725053333299</v>
      </c>
    </row>
    <row r="176" spans="1:17" ht="20.149999999999999" customHeight="1">
      <c r="A176" s="26">
        <v>43</v>
      </c>
      <c r="B176" s="10" t="s">
        <v>477</v>
      </c>
      <c r="C176" s="11" t="s">
        <v>478</v>
      </c>
      <c r="D176" s="14" t="s">
        <v>479</v>
      </c>
      <c r="E176" s="71">
        <v>94145.75</v>
      </c>
      <c r="F176" s="201"/>
      <c r="G176" s="201"/>
      <c r="H176" s="201">
        <f t="shared" ref="H176:H183" si="67">20000</f>
        <v>20000</v>
      </c>
      <c r="I176" s="71">
        <f t="shared" si="66"/>
        <v>7000</v>
      </c>
      <c r="J176" s="488">
        <f t="shared" si="61"/>
        <v>121145.75</v>
      </c>
      <c r="K176" s="488">
        <v>81803.001000000004</v>
      </c>
      <c r="L176" s="488">
        <f t="shared" si="62"/>
        <v>39342.749000000003</v>
      </c>
      <c r="M176" s="490">
        <v>8133.6908000000003</v>
      </c>
      <c r="N176" s="553">
        <v>4365.3307546666701</v>
      </c>
      <c r="O176" s="554">
        <f t="shared" si="60"/>
        <v>3768.3600453333302</v>
      </c>
      <c r="P176" s="555"/>
      <c r="Q176" s="568">
        <f t="shared" si="63"/>
        <v>35574.388954666603</v>
      </c>
    </row>
    <row r="177" spans="1:17" ht="20.149999999999999" customHeight="1">
      <c r="A177" s="26">
        <v>44</v>
      </c>
      <c r="B177" s="10" t="s">
        <v>480</v>
      </c>
      <c r="C177" s="11" t="s">
        <v>481</v>
      </c>
      <c r="D177" s="14" t="s">
        <v>482</v>
      </c>
      <c r="E177" s="71">
        <v>91598</v>
      </c>
      <c r="F177" s="201"/>
      <c r="G177" s="201"/>
      <c r="H177" s="201">
        <f t="shared" si="67"/>
        <v>20000</v>
      </c>
      <c r="I177" s="71">
        <f t="shared" si="66"/>
        <v>7000</v>
      </c>
      <c r="J177" s="488">
        <f t="shared" si="61"/>
        <v>118598</v>
      </c>
      <c r="K177" s="488">
        <v>80237.012000000002</v>
      </c>
      <c r="L177" s="488">
        <f t="shared" si="62"/>
        <v>38360.987999999998</v>
      </c>
      <c r="M177" s="490">
        <v>7852.4192000000003</v>
      </c>
      <c r="N177" s="553">
        <v>4227.5237226666704</v>
      </c>
      <c r="O177" s="554">
        <f t="shared" si="60"/>
        <v>3624.8954773333298</v>
      </c>
      <c r="P177" s="555"/>
      <c r="Q177" s="568">
        <f t="shared" si="63"/>
        <v>34736.092522666702</v>
      </c>
    </row>
    <row r="178" spans="1:17" ht="20.149999999999999" customHeight="1">
      <c r="A178" s="26">
        <v>45</v>
      </c>
      <c r="B178" s="10" t="s">
        <v>483</v>
      </c>
      <c r="C178" s="11" t="s">
        <v>481</v>
      </c>
      <c r="D178" s="14" t="s">
        <v>482</v>
      </c>
      <c r="E178" s="71">
        <v>91598</v>
      </c>
      <c r="F178" s="201"/>
      <c r="G178" s="201"/>
      <c r="H178" s="201">
        <f t="shared" si="67"/>
        <v>20000</v>
      </c>
      <c r="I178" s="71">
        <f>4000</f>
        <v>4000</v>
      </c>
      <c r="J178" s="488">
        <f t="shared" si="61"/>
        <v>115598</v>
      </c>
      <c r="K178" s="488">
        <v>77237.012000000002</v>
      </c>
      <c r="L178" s="488">
        <f t="shared" si="62"/>
        <v>38360.987999999998</v>
      </c>
      <c r="M178" s="490">
        <v>7492.4192000000003</v>
      </c>
      <c r="N178" s="553">
        <v>3963.52372266667</v>
      </c>
      <c r="O178" s="554">
        <f t="shared" si="60"/>
        <v>3528.8954773333298</v>
      </c>
      <c r="P178" s="555"/>
      <c r="Q178" s="568">
        <f t="shared" si="63"/>
        <v>34832.092522666702</v>
      </c>
    </row>
    <row r="179" spans="1:17" ht="20.149999999999999" customHeight="1">
      <c r="A179" s="26">
        <v>46</v>
      </c>
      <c r="B179" s="10" t="s">
        <v>484</v>
      </c>
      <c r="C179" s="11" t="s">
        <v>481</v>
      </c>
      <c r="D179" s="14" t="s">
        <v>482</v>
      </c>
      <c r="E179" s="71">
        <v>91598</v>
      </c>
      <c r="F179" s="201"/>
      <c r="G179" s="201"/>
      <c r="H179" s="201">
        <f t="shared" si="67"/>
        <v>20000</v>
      </c>
      <c r="I179" s="71">
        <f>7000</f>
        <v>7000</v>
      </c>
      <c r="J179" s="488">
        <f t="shared" si="61"/>
        <v>118598</v>
      </c>
      <c r="K179" s="488">
        <v>80237.012000000002</v>
      </c>
      <c r="L179" s="488">
        <f t="shared" si="62"/>
        <v>38360.987999999998</v>
      </c>
      <c r="M179" s="490">
        <v>7852.4192000000003</v>
      </c>
      <c r="N179" s="553">
        <v>4227.5237226666704</v>
      </c>
      <c r="O179" s="554">
        <f t="shared" si="60"/>
        <v>3624.8954773333298</v>
      </c>
      <c r="P179" s="555"/>
      <c r="Q179" s="568">
        <f t="shared" si="63"/>
        <v>34736.092522666702</v>
      </c>
    </row>
    <row r="180" spans="1:17" ht="20.149999999999999" customHeight="1">
      <c r="A180" s="26">
        <v>47</v>
      </c>
      <c r="B180" s="10" t="s">
        <v>485</v>
      </c>
      <c r="C180" s="11" t="s">
        <v>481</v>
      </c>
      <c r="D180" s="14" t="s">
        <v>482</v>
      </c>
      <c r="E180" s="71">
        <v>91598</v>
      </c>
      <c r="F180" s="201"/>
      <c r="G180" s="201"/>
      <c r="H180" s="201">
        <f t="shared" si="67"/>
        <v>20000</v>
      </c>
      <c r="I180" s="71">
        <f>4000</f>
        <v>4000</v>
      </c>
      <c r="J180" s="488">
        <f t="shared" si="61"/>
        <v>115598</v>
      </c>
      <c r="K180" s="488">
        <v>77237.012000000002</v>
      </c>
      <c r="L180" s="488">
        <f t="shared" si="62"/>
        <v>38360.987999999998</v>
      </c>
      <c r="M180" s="490">
        <v>7492.4192000000003</v>
      </c>
      <c r="N180" s="553">
        <v>3963.52372266667</v>
      </c>
      <c r="O180" s="554">
        <f t="shared" si="60"/>
        <v>3528.8954773333298</v>
      </c>
      <c r="P180" s="555"/>
      <c r="Q180" s="568">
        <f t="shared" si="63"/>
        <v>34832.092522666702</v>
      </c>
    </row>
    <row r="181" spans="1:17" ht="20.149999999999999" customHeight="1">
      <c r="A181" s="26">
        <v>48</v>
      </c>
      <c r="B181" s="10" t="s">
        <v>486</v>
      </c>
      <c r="C181" s="11" t="s">
        <v>481</v>
      </c>
      <c r="D181" s="14" t="s">
        <v>482</v>
      </c>
      <c r="E181" s="71">
        <v>91598</v>
      </c>
      <c r="F181" s="201"/>
      <c r="G181" s="201"/>
      <c r="H181" s="201">
        <f t="shared" si="67"/>
        <v>20000</v>
      </c>
      <c r="I181" s="71">
        <f>7000</f>
        <v>7000</v>
      </c>
      <c r="J181" s="488">
        <f t="shared" si="61"/>
        <v>118598</v>
      </c>
      <c r="K181" s="488">
        <v>80237.012000000002</v>
      </c>
      <c r="L181" s="488">
        <f t="shared" si="62"/>
        <v>38360.987999999998</v>
      </c>
      <c r="M181" s="490">
        <v>7852.4192000000003</v>
      </c>
      <c r="N181" s="553">
        <v>4227.5237226666704</v>
      </c>
      <c r="O181" s="554">
        <f t="shared" si="60"/>
        <v>3624.8954773333298</v>
      </c>
      <c r="P181" s="555"/>
      <c r="Q181" s="568">
        <f t="shared" si="63"/>
        <v>34736.092522666702</v>
      </c>
    </row>
    <row r="182" spans="1:17" ht="20.149999999999999" customHeight="1">
      <c r="A182" s="26">
        <v>49</v>
      </c>
      <c r="B182" s="17" t="s">
        <v>487</v>
      </c>
      <c r="C182" s="11" t="s">
        <v>481</v>
      </c>
      <c r="D182" s="14" t="s">
        <v>482</v>
      </c>
      <c r="E182" s="71">
        <v>91598</v>
      </c>
      <c r="F182" s="201"/>
      <c r="G182" s="201"/>
      <c r="H182" s="201">
        <f t="shared" si="67"/>
        <v>20000</v>
      </c>
      <c r="I182" s="71">
        <f>4000</f>
        <v>4000</v>
      </c>
      <c r="J182" s="488">
        <f t="shared" si="61"/>
        <v>115598</v>
      </c>
      <c r="K182" s="488">
        <v>77237.012000000002</v>
      </c>
      <c r="L182" s="488">
        <f t="shared" si="62"/>
        <v>38360.987999999998</v>
      </c>
      <c r="M182" s="490">
        <v>7492.4192000000003</v>
      </c>
      <c r="N182" s="553">
        <v>3963.52372266667</v>
      </c>
      <c r="O182" s="554">
        <f t="shared" si="60"/>
        <v>3528.8954773333298</v>
      </c>
      <c r="P182" s="555"/>
      <c r="Q182" s="568">
        <f t="shared" si="63"/>
        <v>34832.092522666702</v>
      </c>
    </row>
    <row r="183" spans="1:17" ht="20.149999999999999" customHeight="1">
      <c r="A183" s="26">
        <v>50</v>
      </c>
      <c r="B183" s="17" t="s">
        <v>488</v>
      </c>
      <c r="C183" s="11" t="s">
        <v>481</v>
      </c>
      <c r="D183" s="14" t="s">
        <v>482</v>
      </c>
      <c r="E183" s="71">
        <v>91598</v>
      </c>
      <c r="F183" s="201"/>
      <c r="G183" s="201"/>
      <c r="H183" s="201">
        <f t="shared" si="67"/>
        <v>20000</v>
      </c>
      <c r="I183" s="71">
        <f>7000</f>
        <v>7000</v>
      </c>
      <c r="J183" s="488">
        <f t="shared" si="61"/>
        <v>118598</v>
      </c>
      <c r="K183" s="488">
        <v>80237.012000000002</v>
      </c>
      <c r="L183" s="488">
        <f t="shared" si="62"/>
        <v>38360.987999999998</v>
      </c>
      <c r="M183" s="490">
        <v>7852.4192000000003</v>
      </c>
      <c r="N183" s="553">
        <v>4227.5237226666704</v>
      </c>
      <c r="O183" s="554">
        <f t="shared" si="60"/>
        <v>3624.8954773333298</v>
      </c>
      <c r="P183" s="555"/>
      <c r="Q183" s="568">
        <f t="shared" si="63"/>
        <v>34736.092522666702</v>
      </c>
    </row>
    <row r="184" spans="1:17" ht="20.149999999999999" customHeight="1">
      <c r="A184" s="26">
        <v>51</v>
      </c>
      <c r="B184" s="10" t="s">
        <v>489</v>
      </c>
      <c r="C184" s="11" t="s">
        <v>478</v>
      </c>
      <c r="D184" s="14" t="s">
        <v>482</v>
      </c>
      <c r="E184" s="71">
        <v>91598</v>
      </c>
      <c r="F184" s="201"/>
      <c r="G184" s="201"/>
      <c r="H184" s="201">
        <v>20000</v>
      </c>
      <c r="I184" s="71">
        <v>7000</v>
      </c>
      <c r="J184" s="488">
        <f t="shared" si="61"/>
        <v>118598</v>
      </c>
      <c r="K184" s="488">
        <v>78671.023000000001</v>
      </c>
      <c r="L184" s="488">
        <f t="shared" si="62"/>
        <v>39926.976999999999</v>
      </c>
      <c r="M184" s="490">
        <v>7852.4192000000003</v>
      </c>
      <c r="N184" s="553">
        <v>4089.7166906666698</v>
      </c>
      <c r="O184" s="554">
        <f t="shared" si="60"/>
        <v>3762.70250933333</v>
      </c>
      <c r="P184" s="555"/>
      <c r="Q184" s="568">
        <f t="shared" si="63"/>
        <v>36164.274490666699</v>
      </c>
    </row>
    <row r="185" spans="1:17" ht="20.149999999999999" customHeight="1">
      <c r="A185" s="26">
        <v>52</v>
      </c>
      <c r="B185" s="10" t="s">
        <v>490</v>
      </c>
      <c r="C185" s="11" t="s">
        <v>478</v>
      </c>
      <c r="D185" s="14" t="s">
        <v>482</v>
      </c>
      <c r="E185" s="71">
        <v>91598</v>
      </c>
      <c r="F185" s="201"/>
      <c r="G185" s="201"/>
      <c r="H185" s="201">
        <v>20000</v>
      </c>
      <c r="I185" s="71">
        <f>7000</f>
        <v>7000</v>
      </c>
      <c r="J185" s="488">
        <f t="shared" si="61"/>
        <v>118598</v>
      </c>
      <c r="K185" s="488">
        <v>80237.012000000002</v>
      </c>
      <c r="L185" s="488">
        <f t="shared" si="62"/>
        <v>38360.987999999998</v>
      </c>
      <c r="M185" s="490">
        <v>7852.4192000000003</v>
      </c>
      <c r="N185" s="553">
        <v>4227.5237226666704</v>
      </c>
      <c r="O185" s="554">
        <f t="shared" si="60"/>
        <v>3624.8954773333298</v>
      </c>
      <c r="P185" s="555"/>
      <c r="Q185" s="568">
        <f t="shared" si="63"/>
        <v>34736.092522666702</v>
      </c>
    </row>
    <row r="186" spans="1:17" ht="20.149999999999999" customHeight="1">
      <c r="A186" s="26">
        <v>53</v>
      </c>
      <c r="B186" s="17" t="s">
        <v>491</v>
      </c>
      <c r="C186" s="11" t="s">
        <v>172</v>
      </c>
      <c r="D186" s="14" t="s">
        <v>492</v>
      </c>
      <c r="E186" s="71">
        <v>89050.25</v>
      </c>
      <c r="F186" s="201"/>
      <c r="G186" s="201"/>
      <c r="H186" s="201">
        <f>20000</f>
        <v>20000</v>
      </c>
      <c r="I186" s="71">
        <f>4000+3000</f>
        <v>7000</v>
      </c>
      <c r="J186" s="488">
        <f t="shared" si="61"/>
        <v>116050.25</v>
      </c>
      <c r="K186" s="488">
        <v>78671.023000000001</v>
      </c>
      <c r="L186" s="488">
        <f t="shared" si="62"/>
        <v>37379.226999999999</v>
      </c>
      <c r="M186" s="490">
        <v>7571.1476000000002</v>
      </c>
      <c r="N186" s="553">
        <v>4089.7166906666698</v>
      </c>
      <c r="O186" s="554">
        <f t="shared" si="60"/>
        <v>3481.43090933333</v>
      </c>
      <c r="P186" s="555"/>
      <c r="Q186" s="568">
        <f t="shared" si="63"/>
        <v>33897.796090666699</v>
      </c>
    </row>
    <row r="187" spans="1:17" ht="20.149999999999999" customHeight="1">
      <c r="A187" s="26">
        <v>54</v>
      </c>
      <c r="B187" s="17" t="s">
        <v>493</v>
      </c>
      <c r="C187" s="11" t="s">
        <v>481</v>
      </c>
      <c r="D187" s="14" t="s">
        <v>494</v>
      </c>
      <c r="E187" s="201">
        <v>80926.916666666701</v>
      </c>
      <c r="F187" s="201"/>
      <c r="G187" s="201"/>
      <c r="H187" s="201">
        <f>15000</f>
        <v>15000</v>
      </c>
      <c r="I187" s="71">
        <f>7000</f>
        <v>7000</v>
      </c>
      <c r="J187" s="488">
        <f t="shared" si="61"/>
        <v>102926.91666666701</v>
      </c>
      <c r="K187" s="488">
        <v>68675.997025000004</v>
      </c>
      <c r="L187" s="488">
        <f t="shared" si="62"/>
        <v>34250.919641666696</v>
      </c>
      <c r="M187" s="490">
        <v>6074.3316000000004</v>
      </c>
      <c r="N187" s="553">
        <v>3210.1544048666701</v>
      </c>
      <c r="O187" s="554">
        <f t="shared" si="60"/>
        <v>2864.1771951333299</v>
      </c>
      <c r="P187" s="555"/>
      <c r="Q187" s="568">
        <f t="shared" si="63"/>
        <v>31386.742446533299</v>
      </c>
    </row>
    <row r="188" spans="1:17" ht="20.149999999999999" customHeight="1">
      <c r="A188" s="26">
        <v>55</v>
      </c>
      <c r="B188" s="17" t="s">
        <v>495</v>
      </c>
      <c r="C188" s="11" t="s">
        <v>496</v>
      </c>
      <c r="D188" s="14" t="s">
        <v>497</v>
      </c>
      <c r="E188" s="71">
        <v>76540.75</v>
      </c>
      <c r="F188" s="111"/>
      <c r="G188" s="3"/>
      <c r="H188" s="111">
        <v>15000</v>
      </c>
      <c r="I188" s="111">
        <v>4000</v>
      </c>
      <c r="J188" s="488">
        <f t="shared" si="61"/>
        <v>95540.75</v>
      </c>
      <c r="K188" s="488">
        <v>62980.079250000003</v>
      </c>
      <c r="L188" s="488">
        <f t="shared" si="62"/>
        <v>32560.670750000001</v>
      </c>
      <c r="M188" s="490">
        <v>5230.0987999999998</v>
      </c>
      <c r="N188" s="553">
        <v>2708.9136406666698</v>
      </c>
      <c r="O188" s="554">
        <f t="shared" si="60"/>
        <v>2521.1851593333299</v>
      </c>
      <c r="P188" s="555"/>
      <c r="Q188" s="568">
        <f t="shared" si="63"/>
        <v>30039.4855906667</v>
      </c>
    </row>
    <row r="189" spans="1:17" ht="20.149999999999999" customHeight="1">
      <c r="A189" s="26">
        <v>56</v>
      </c>
      <c r="B189" s="17" t="s">
        <v>498</v>
      </c>
      <c r="C189" s="11" t="s">
        <v>496</v>
      </c>
      <c r="D189" s="14" t="s">
        <v>497</v>
      </c>
      <c r="E189" s="71">
        <v>76540.75</v>
      </c>
      <c r="F189" s="111"/>
      <c r="G189" s="3"/>
      <c r="H189" s="111">
        <v>15000</v>
      </c>
      <c r="I189" s="111">
        <v>4000</v>
      </c>
      <c r="J189" s="488">
        <f t="shared" si="61"/>
        <v>95540.75</v>
      </c>
      <c r="K189" s="488">
        <v>62980.079250000003</v>
      </c>
      <c r="L189" s="488">
        <f t="shared" si="62"/>
        <v>32560.670750000001</v>
      </c>
      <c r="M189" s="490">
        <v>5230.0987999999998</v>
      </c>
      <c r="N189" s="553">
        <v>2708.9136406666698</v>
      </c>
      <c r="O189" s="554">
        <f t="shared" si="60"/>
        <v>2521.1851593333299</v>
      </c>
      <c r="P189" s="555"/>
      <c r="Q189" s="568">
        <f t="shared" si="63"/>
        <v>30039.4855906667</v>
      </c>
    </row>
    <row r="190" spans="1:17" ht="20.149999999999999" customHeight="1">
      <c r="A190" s="26">
        <v>57</v>
      </c>
      <c r="B190" s="17" t="s">
        <v>499</v>
      </c>
      <c r="C190" s="11" t="s">
        <v>496</v>
      </c>
      <c r="D190" s="14" t="s">
        <v>497</v>
      </c>
      <c r="E190" s="71">
        <v>76540.75</v>
      </c>
      <c r="F190" s="111"/>
      <c r="G190" s="3"/>
      <c r="H190" s="111">
        <v>15000</v>
      </c>
      <c r="I190" s="111">
        <v>4000</v>
      </c>
      <c r="J190" s="488">
        <f t="shared" si="61"/>
        <v>95540.75</v>
      </c>
      <c r="K190" s="488">
        <v>62980.079250000003</v>
      </c>
      <c r="L190" s="488">
        <f t="shared" si="62"/>
        <v>32560.670750000001</v>
      </c>
      <c r="M190" s="490">
        <v>5230.0987999999998</v>
      </c>
      <c r="N190" s="553">
        <v>2708.9136406666698</v>
      </c>
      <c r="O190" s="554">
        <f t="shared" si="60"/>
        <v>2521.1851593333299</v>
      </c>
      <c r="P190" s="555"/>
      <c r="Q190" s="568">
        <f t="shared" si="63"/>
        <v>30039.4855906667</v>
      </c>
    </row>
    <row r="191" spans="1:17" ht="20.149999999999999" customHeight="1">
      <c r="A191" s="26">
        <v>58</v>
      </c>
      <c r="B191" s="17" t="s">
        <v>500</v>
      </c>
      <c r="C191" s="11" t="s">
        <v>501</v>
      </c>
      <c r="D191" s="14" t="s">
        <v>502</v>
      </c>
      <c r="E191" s="71">
        <v>86502.5</v>
      </c>
      <c r="F191" s="111"/>
      <c r="G191" s="201"/>
      <c r="H191" s="201">
        <f>15000</f>
        <v>15000</v>
      </c>
      <c r="I191" s="71">
        <v>7000</v>
      </c>
      <c r="J191" s="488">
        <f t="shared" si="61"/>
        <v>108502.5</v>
      </c>
      <c r="K191" s="488">
        <v>72103.749500000005</v>
      </c>
      <c r="L191" s="488">
        <f t="shared" si="62"/>
        <v>36398.750500000002</v>
      </c>
      <c r="M191" s="490">
        <v>6689.8760000000002</v>
      </c>
      <c r="N191" s="553">
        <v>3511.7966226666699</v>
      </c>
      <c r="O191" s="554">
        <f t="shared" si="60"/>
        <v>3178.0793773333298</v>
      </c>
      <c r="P191" s="555"/>
      <c r="Q191" s="568">
        <f t="shared" si="63"/>
        <v>33220.671122666703</v>
      </c>
    </row>
    <row r="192" spans="1:17" ht="20.149999999999999" customHeight="1">
      <c r="A192" s="26">
        <v>59</v>
      </c>
      <c r="B192" s="17" t="s">
        <v>503</v>
      </c>
      <c r="C192" s="11" t="s">
        <v>501</v>
      </c>
      <c r="D192" s="14" t="s">
        <v>502</v>
      </c>
      <c r="E192" s="71">
        <v>86502.5</v>
      </c>
      <c r="F192" s="111"/>
      <c r="G192" s="201"/>
      <c r="H192" s="201">
        <f>15000</f>
        <v>15000</v>
      </c>
      <c r="I192" s="71">
        <v>7000</v>
      </c>
      <c r="J192" s="488">
        <f t="shared" si="61"/>
        <v>108502.5</v>
      </c>
      <c r="K192" s="488">
        <v>72103.749500000005</v>
      </c>
      <c r="L192" s="488">
        <f t="shared" si="62"/>
        <v>36398.750500000002</v>
      </c>
      <c r="M192" s="490">
        <v>6689.8760000000002</v>
      </c>
      <c r="N192" s="553">
        <v>3511.7966226666699</v>
      </c>
      <c r="O192" s="554">
        <f t="shared" si="60"/>
        <v>3178.0793773333298</v>
      </c>
      <c r="P192" s="555"/>
      <c r="Q192" s="568">
        <f t="shared" si="63"/>
        <v>33220.671122666703</v>
      </c>
    </row>
    <row r="193" spans="1:17" ht="20.149999999999999" customHeight="1">
      <c r="A193" s="26"/>
      <c r="B193" s="7" t="s">
        <v>34</v>
      </c>
      <c r="C193" s="27" t="s">
        <v>504</v>
      </c>
      <c r="D193" s="28"/>
      <c r="E193" s="79">
        <f>SUM(E134:E192)</f>
        <v>14898686.4166667</v>
      </c>
      <c r="F193" s="79">
        <f t="shared" ref="F193:O193" si="68">SUM(F134:F192)</f>
        <v>0</v>
      </c>
      <c r="G193" s="79">
        <f t="shared" si="68"/>
        <v>0</v>
      </c>
      <c r="H193" s="79">
        <f t="shared" si="68"/>
        <v>2490000</v>
      </c>
      <c r="I193" s="79">
        <f t="shared" si="68"/>
        <v>228000</v>
      </c>
      <c r="J193" s="79">
        <f t="shared" si="68"/>
        <v>17616686.416666701</v>
      </c>
      <c r="K193" s="79">
        <v>11413301.213524999</v>
      </c>
      <c r="L193" s="79">
        <f t="shared" si="68"/>
        <v>6203385.2031416697</v>
      </c>
      <c r="M193" s="79">
        <f t="shared" si="68"/>
        <v>2121047.87476133</v>
      </c>
      <c r="N193" s="561">
        <v>1265795.4594602</v>
      </c>
      <c r="O193" s="561">
        <f t="shared" si="68"/>
        <v>855252.41530113295</v>
      </c>
      <c r="P193" s="562"/>
      <c r="Q193" s="572">
        <f>SUM(Q134:Q192)</f>
        <v>5348132.7878405303</v>
      </c>
    </row>
    <row r="194" spans="1:17" ht="30.75" customHeight="1">
      <c r="A194" s="3"/>
      <c r="B194" s="29" t="s">
        <v>80</v>
      </c>
      <c r="C194" s="30">
        <f>C34+C40+C54+C59+C72+C82+C95+C102+C112+C131+C193</f>
        <v>153</v>
      </c>
      <c r="D194" s="31"/>
      <c r="E194" s="208">
        <f>E193+E131+E118+E112+E102+E95+E82+E72+E59+E54+E40+E34</f>
        <v>64242790.417000003</v>
      </c>
      <c r="F194" s="208">
        <f t="shared" ref="F194:Q194" si="69">F193+F131+F118+F112+F102+F95+F82+F72+F59+F54+F40+F34</f>
        <v>0</v>
      </c>
      <c r="G194" s="208">
        <f t="shared" si="69"/>
        <v>7760000</v>
      </c>
      <c r="H194" s="208">
        <f t="shared" si="69"/>
        <v>5090000</v>
      </c>
      <c r="I194" s="208">
        <f t="shared" si="69"/>
        <v>2039337.4691049999</v>
      </c>
      <c r="J194" s="208">
        <f t="shared" si="69"/>
        <v>79132127.886105001</v>
      </c>
      <c r="K194" s="208">
        <f t="shared" si="69"/>
        <v>52358223.956574999</v>
      </c>
      <c r="L194" s="208">
        <f t="shared" si="69"/>
        <v>26773903.929529998</v>
      </c>
      <c r="M194" s="208">
        <f t="shared" si="69"/>
        <v>11287301.131869501</v>
      </c>
      <c r="N194" s="208">
        <f t="shared" si="69"/>
        <v>7214215.7686455902</v>
      </c>
      <c r="O194" s="208">
        <f t="shared" si="69"/>
        <v>4073085.3632238898</v>
      </c>
      <c r="P194" s="208">
        <f t="shared" si="69"/>
        <v>0</v>
      </c>
      <c r="Q194" s="505">
        <f t="shared" si="69"/>
        <v>22700818.566306099</v>
      </c>
    </row>
    <row r="195" spans="1:17" ht="20.149999999999999" customHeight="1">
      <c r="A195" s="2"/>
      <c r="B195" s="32"/>
      <c r="C195" s="2"/>
      <c r="D195" s="33"/>
      <c r="E195" s="33"/>
      <c r="F195" s="33"/>
      <c r="G195" s="209"/>
      <c r="H195" s="209"/>
      <c r="I195" s="209"/>
      <c r="J195" s="209"/>
      <c r="K195" s="209" t="s">
        <v>552</v>
      </c>
      <c r="L195" s="209"/>
      <c r="M195" s="209"/>
      <c r="N195" s="209"/>
      <c r="O195" s="209"/>
      <c r="P195" s="209"/>
      <c r="Q195" s="34"/>
    </row>
    <row r="196" spans="1:17" ht="36.75" customHeight="1">
      <c r="A196" s="2"/>
      <c r="B196" s="32"/>
      <c r="C196" s="33"/>
      <c r="D196" s="33"/>
      <c r="E196" s="33"/>
      <c r="F196" s="33"/>
      <c r="G196" s="209"/>
      <c r="H196" s="209"/>
      <c r="J196" s="34"/>
      <c r="L196" s="34"/>
      <c r="M196" s="209"/>
      <c r="N196" s="209"/>
      <c r="O196" s="209"/>
      <c r="P196" s="209"/>
    </row>
    <row r="197" spans="1:17">
      <c r="J197" s="34"/>
      <c r="K197" s="34"/>
      <c r="M197" s="34"/>
    </row>
    <row r="198" spans="1:17" ht="20.149999999999999" customHeight="1">
      <c r="J198" s="34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" hidden="1">
      <c r="A1" s="788" t="s">
        <v>0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526"/>
    </row>
    <row r="2" spans="1:31" ht="13" hidden="1">
      <c r="A2" s="789" t="s">
        <v>143</v>
      </c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526"/>
    </row>
    <row r="3" spans="1:31" ht="13" hidden="1">
      <c r="A3" s="790" t="s">
        <v>144</v>
      </c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W3" s="788"/>
      <c r="X3" s="788"/>
      <c r="Y3" s="788"/>
      <c r="Z3" s="526"/>
    </row>
    <row r="4" spans="1:31" ht="83.25" customHeight="1">
      <c r="A4" s="517" t="s">
        <v>145</v>
      </c>
      <c r="B4" s="518" t="s">
        <v>146</v>
      </c>
      <c r="C4" s="519" t="s">
        <v>147</v>
      </c>
      <c r="D4" s="518" t="s">
        <v>148</v>
      </c>
      <c r="E4" s="519" t="s">
        <v>149</v>
      </c>
      <c r="F4" s="519" t="s">
        <v>150</v>
      </c>
      <c r="G4" s="519" t="s">
        <v>151</v>
      </c>
      <c r="H4" s="519" t="s">
        <v>152</v>
      </c>
      <c r="I4" s="519" t="s">
        <v>153</v>
      </c>
      <c r="J4" s="519"/>
      <c r="K4" s="519"/>
      <c r="L4" s="519"/>
      <c r="M4" s="519" t="s">
        <v>154</v>
      </c>
      <c r="N4" s="519" t="s">
        <v>155</v>
      </c>
      <c r="O4" s="519" t="s">
        <v>156</v>
      </c>
      <c r="P4" s="519" t="s">
        <v>157</v>
      </c>
      <c r="Q4" s="519" t="s">
        <v>158</v>
      </c>
      <c r="R4" s="519" t="s">
        <v>159</v>
      </c>
      <c r="S4" s="519" t="s">
        <v>160</v>
      </c>
      <c r="T4" s="519" t="s">
        <v>161</v>
      </c>
      <c r="U4" s="519" t="s">
        <v>162</v>
      </c>
      <c r="V4" s="519" t="s">
        <v>163</v>
      </c>
      <c r="W4" s="519"/>
      <c r="X4" s="519" t="s">
        <v>164</v>
      </c>
      <c r="Y4" s="519" t="s">
        <v>165</v>
      </c>
      <c r="Z4" s="519" t="s">
        <v>166</v>
      </c>
      <c r="AA4" s="527"/>
      <c r="AB4" s="527" t="s">
        <v>520</v>
      </c>
    </row>
    <row r="5" spans="1:31" ht="17.5">
      <c r="A5" s="520">
        <v>1</v>
      </c>
      <c r="B5" s="7" t="s">
        <v>22</v>
      </c>
      <c r="C5" s="521"/>
      <c r="D5" s="522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5"/>
      <c r="X5" s="523"/>
      <c r="Y5" s="523"/>
      <c r="Z5" s="523"/>
      <c r="AA5" s="192"/>
      <c r="AB5" s="192"/>
      <c r="AC5" s="192"/>
      <c r="AD5" s="192"/>
      <c r="AE5" s="192"/>
    </row>
    <row r="6" spans="1:31" ht="36">
      <c r="A6" s="520">
        <v>3</v>
      </c>
      <c r="B6" s="10" t="s">
        <v>236</v>
      </c>
      <c r="C6" s="444">
        <v>1158849.8400000001</v>
      </c>
      <c r="D6" s="445">
        <v>12</v>
      </c>
      <c r="E6" s="446">
        <f>C6*D6</f>
        <v>13906198.08</v>
      </c>
      <c r="F6" s="446"/>
      <c r="G6" s="446"/>
      <c r="H6" s="446"/>
      <c r="I6" s="446">
        <f t="shared" ref="I6:I75" si="0">E6-F6-G6-H6</f>
        <v>13906198.08</v>
      </c>
      <c r="J6" s="446">
        <v>200000</v>
      </c>
      <c r="K6" s="446">
        <v>0.2</v>
      </c>
      <c r="L6" s="446">
        <f t="shared" ref="L6:L75" si="1">I6*K6</f>
        <v>2781239.6159999999</v>
      </c>
      <c r="M6" s="446">
        <f t="shared" ref="M6:M75" si="2">J6+L6</f>
        <v>2981239.6159999999</v>
      </c>
      <c r="N6" s="446">
        <f t="shared" ref="N6:N75" si="3">F6+G6+H6+M6</f>
        <v>2981239.6159999999</v>
      </c>
      <c r="O6" s="446">
        <f t="shared" ref="O6:O75" si="4">E6-N6</f>
        <v>10924958.464</v>
      </c>
      <c r="P6" s="446">
        <f t="shared" ref="P6:P75" si="5">IF(O6&lt;300000,0.07*O6,21000)</f>
        <v>21000</v>
      </c>
      <c r="Q6" s="446">
        <f t="shared" ref="Q6:Q75" si="6">IF((O6-300000)&lt;0,0,IF((O6-300000)&lt;300000,0.11*(O6-300000),33000))</f>
        <v>33000</v>
      </c>
      <c r="R6" s="446">
        <f t="shared" ref="R6:R75" si="7">IF((O6-600000)&lt;0,0,IF((O6-600000)&lt;500000,0.15*(O6-600000),75000))</f>
        <v>75000</v>
      </c>
      <c r="S6" s="446">
        <f t="shared" ref="S6:S75" si="8">IF((O6-1100000)&lt;0,0,IF((O6-1100000)&lt;500000,0.19*(O6-1100000),95000))</f>
        <v>95000</v>
      </c>
      <c r="T6" s="446">
        <f t="shared" ref="T6:T75" si="9">IF((O6-1600000)&lt;0,0,IF((O6-1600000)&lt;1600000,0.21*(O6-1600000),336000))</f>
        <v>336000</v>
      </c>
      <c r="U6" s="446">
        <f t="shared" ref="U6:U73" si="10">24%*(O6-3200000)</f>
        <v>1853990.0313599999</v>
      </c>
      <c r="V6" s="446">
        <f t="shared" ref="V6:V75" si="11">P6+Q6+R6+S6+T6+U6</f>
        <v>2413990.0313599999</v>
      </c>
      <c r="W6" s="453">
        <v>12</v>
      </c>
      <c r="X6" s="446">
        <f t="shared" ref="X6:X75" si="12">V6/W6</f>
        <v>201165.83594666701</v>
      </c>
      <c r="Y6" s="446"/>
      <c r="Z6" s="446">
        <f t="shared" ref="Z6:Z75" si="13">X6</f>
        <v>201165.83594666701</v>
      </c>
      <c r="AA6" s="192">
        <v>201165.83594666701</v>
      </c>
      <c r="AB6" s="192">
        <f>Z6-AA6</f>
        <v>0</v>
      </c>
      <c r="AC6" s="192"/>
      <c r="AD6" s="192"/>
      <c r="AE6" s="192"/>
    </row>
    <row r="7" spans="1:31" ht="18">
      <c r="A7" s="520">
        <v>4</v>
      </c>
      <c r="B7" s="10" t="s">
        <v>239</v>
      </c>
      <c r="C7" s="444">
        <v>541465.02474999998</v>
      </c>
      <c r="D7" s="445">
        <v>12</v>
      </c>
      <c r="E7" s="446">
        <f t="shared" ref="E7:E32" si="14">C7*D7</f>
        <v>6497580.2970000003</v>
      </c>
      <c r="F7" s="446"/>
      <c r="G7" s="446"/>
      <c r="H7" s="446"/>
      <c r="I7" s="446">
        <f t="shared" si="0"/>
        <v>6497580.2970000003</v>
      </c>
      <c r="J7" s="446">
        <v>200000</v>
      </c>
      <c r="K7" s="446">
        <v>0.2</v>
      </c>
      <c r="L7" s="446">
        <f t="shared" si="1"/>
        <v>1299516.0593999999</v>
      </c>
      <c r="M7" s="446">
        <f t="shared" si="2"/>
        <v>1499516.0593999999</v>
      </c>
      <c r="N7" s="446">
        <f t="shared" si="3"/>
        <v>1499516.0593999999</v>
      </c>
      <c r="O7" s="446">
        <f t="shared" si="4"/>
        <v>4998064.2375999996</v>
      </c>
      <c r="P7" s="446">
        <f t="shared" si="5"/>
        <v>21000</v>
      </c>
      <c r="Q7" s="446">
        <f t="shared" si="6"/>
        <v>33000</v>
      </c>
      <c r="R7" s="446">
        <f t="shared" si="7"/>
        <v>75000</v>
      </c>
      <c r="S7" s="446">
        <f t="shared" si="8"/>
        <v>95000</v>
      </c>
      <c r="T7" s="446">
        <f t="shared" si="9"/>
        <v>336000</v>
      </c>
      <c r="U7" s="446">
        <f t="shared" si="10"/>
        <v>431535.41702400002</v>
      </c>
      <c r="V7" s="446">
        <f t="shared" si="11"/>
        <v>991535.41702399997</v>
      </c>
      <c r="W7" s="453">
        <v>12</v>
      </c>
      <c r="X7" s="446">
        <f t="shared" si="12"/>
        <v>82627.951418666693</v>
      </c>
      <c r="Y7" s="446"/>
      <c r="Z7" s="446">
        <f t="shared" si="13"/>
        <v>82627.951418666693</v>
      </c>
      <c r="AA7" s="192">
        <v>82627.951418666693</v>
      </c>
      <c r="AB7" s="192">
        <f t="shared" ref="AB7:AB32" si="15">Z7-AA7</f>
        <v>0</v>
      </c>
      <c r="AC7" s="192"/>
      <c r="AD7" s="192"/>
      <c r="AE7" s="192"/>
    </row>
    <row r="8" spans="1:31" ht="18">
      <c r="A8" s="520">
        <v>5</v>
      </c>
      <c r="B8" s="13" t="s">
        <v>241</v>
      </c>
      <c r="C8" s="444">
        <v>741465.02474999998</v>
      </c>
      <c r="D8" s="445">
        <v>12</v>
      </c>
      <c r="E8" s="446">
        <f t="shared" si="14"/>
        <v>8897580.2970000003</v>
      </c>
      <c r="F8" s="446"/>
      <c r="G8" s="446"/>
      <c r="H8" s="446"/>
      <c r="I8" s="446">
        <f t="shared" si="0"/>
        <v>8897580.2970000003</v>
      </c>
      <c r="J8" s="446">
        <v>200000</v>
      </c>
      <c r="K8" s="446">
        <v>0.2</v>
      </c>
      <c r="L8" s="446">
        <f t="shared" si="1"/>
        <v>1779516.0593999999</v>
      </c>
      <c r="M8" s="446">
        <f t="shared" si="2"/>
        <v>1979516.0593999999</v>
      </c>
      <c r="N8" s="446">
        <f t="shared" si="3"/>
        <v>1979516.0593999999</v>
      </c>
      <c r="O8" s="446">
        <f t="shared" si="4"/>
        <v>6918064.2375999996</v>
      </c>
      <c r="P8" s="446">
        <f t="shared" si="5"/>
        <v>21000</v>
      </c>
      <c r="Q8" s="446">
        <f t="shared" si="6"/>
        <v>33000</v>
      </c>
      <c r="R8" s="446">
        <f t="shared" si="7"/>
        <v>75000</v>
      </c>
      <c r="S8" s="446">
        <f t="shared" si="8"/>
        <v>95000</v>
      </c>
      <c r="T8" s="446">
        <f t="shared" si="9"/>
        <v>336000</v>
      </c>
      <c r="U8" s="446">
        <f t="shared" si="10"/>
        <v>892335.41702399997</v>
      </c>
      <c r="V8" s="446">
        <f t="shared" si="11"/>
        <v>1452335.4170240001</v>
      </c>
      <c r="W8" s="453">
        <v>12</v>
      </c>
      <c r="X8" s="446">
        <f t="shared" si="12"/>
        <v>121027.951418667</v>
      </c>
      <c r="Y8" s="446"/>
      <c r="Z8" s="446">
        <f t="shared" si="13"/>
        <v>121027.951418667</v>
      </c>
      <c r="AA8" s="192">
        <v>121027.951418667</v>
      </c>
      <c r="AB8" s="192">
        <f t="shared" si="15"/>
        <v>0</v>
      </c>
      <c r="AC8" s="192"/>
      <c r="AD8" s="192"/>
      <c r="AE8" s="192"/>
    </row>
    <row r="9" spans="1:31" ht="18">
      <c r="A9" s="520">
        <v>6</v>
      </c>
      <c r="B9" s="10" t="s">
        <v>243</v>
      </c>
      <c r="C9" s="444">
        <v>631465.02474999998</v>
      </c>
      <c r="D9" s="445">
        <v>12</v>
      </c>
      <c r="E9" s="446">
        <f t="shared" si="14"/>
        <v>7577580.2970000003</v>
      </c>
      <c r="F9" s="446">
        <f>'[5]JANUARY 2024'!$V$10*12</f>
        <v>12795.950999999999</v>
      </c>
      <c r="G9" s="446"/>
      <c r="H9" s="446"/>
      <c r="I9" s="446">
        <f t="shared" si="0"/>
        <v>7564784.3459999999</v>
      </c>
      <c r="J9" s="446">
        <v>200000</v>
      </c>
      <c r="K9" s="446">
        <v>0.2</v>
      </c>
      <c r="L9" s="446">
        <f t="shared" si="1"/>
        <v>1512956.8692000001</v>
      </c>
      <c r="M9" s="446">
        <f t="shared" si="2"/>
        <v>1712956.8692000001</v>
      </c>
      <c r="N9" s="446">
        <f t="shared" si="3"/>
        <v>1725752.8202</v>
      </c>
      <c r="O9" s="446">
        <f t="shared" si="4"/>
        <v>5851827.4768000003</v>
      </c>
      <c r="P9" s="446">
        <f t="shared" si="5"/>
        <v>21000</v>
      </c>
      <c r="Q9" s="446">
        <f t="shared" si="6"/>
        <v>33000</v>
      </c>
      <c r="R9" s="446">
        <f t="shared" si="7"/>
        <v>75000</v>
      </c>
      <c r="S9" s="446">
        <f t="shared" si="8"/>
        <v>95000</v>
      </c>
      <c r="T9" s="446">
        <f t="shared" si="9"/>
        <v>336000</v>
      </c>
      <c r="U9" s="446">
        <f t="shared" si="10"/>
        <v>636438.59443199995</v>
      </c>
      <c r="V9" s="446">
        <f t="shared" si="11"/>
        <v>1196438.5944320001</v>
      </c>
      <c r="W9" s="453">
        <v>12</v>
      </c>
      <c r="X9" s="446">
        <f t="shared" si="12"/>
        <v>99703.216202666707</v>
      </c>
      <c r="Y9" s="446"/>
      <c r="Z9" s="446">
        <f t="shared" si="13"/>
        <v>99703.216202666707</v>
      </c>
      <c r="AA9" s="192">
        <v>99703.216202666707</v>
      </c>
      <c r="AB9" s="192">
        <f t="shared" si="15"/>
        <v>0</v>
      </c>
      <c r="AC9" s="192"/>
      <c r="AD9" s="192"/>
      <c r="AE9" s="192"/>
    </row>
    <row r="10" spans="1:31" ht="18">
      <c r="A10" s="520">
        <v>7</v>
      </c>
      <c r="B10" s="13" t="s">
        <v>245</v>
      </c>
      <c r="C10" s="444">
        <v>691465.02474999998</v>
      </c>
      <c r="D10" s="445">
        <v>12</v>
      </c>
      <c r="E10" s="446">
        <f t="shared" si="14"/>
        <v>8297580.2970000003</v>
      </c>
      <c r="F10" s="446">
        <f>'[5]JANUARY 2024'!$V$10*12</f>
        <v>12795.950999999999</v>
      </c>
      <c r="G10" s="446"/>
      <c r="H10" s="446"/>
      <c r="I10" s="446">
        <f t="shared" si="0"/>
        <v>8284784.3459999999</v>
      </c>
      <c r="J10" s="446">
        <v>200000</v>
      </c>
      <c r="K10" s="446">
        <v>0.2</v>
      </c>
      <c r="L10" s="446">
        <f t="shared" si="1"/>
        <v>1656956.8692000001</v>
      </c>
      <c r="M10" s="446">
        <f t="shared" si="2"/>
        <v>1856956.8692000001</v>
      </c>
      <c r="N10" s="446">
        <f t="shared" si="3"/>
        <v>1869752.8202</v>
      </c>
      <c r="O10" s="446">
        <f t="shared" si="4"/>
        <v>6427827.4768000003</v>
      </c>
      <c r="P10" s="446">
        <f t="shared" si="5"/>
        <v>21000</v>
      </c>
      <c r="Q10" s="446">
        <f t="shared" si="6"/>
        <v>33000</v>
      </c>
      <c r="R10" s="446">
        <f t="shared" si="7"/>
        <v>75000</v>
      </c>
      <c r="S10" s="446">
        <f t="shared" si="8"/>
        <v>95000</v>
      </c>
      <c r="T10" s="446">
        <f t="shared" si="9"/>
        <v>336000</v>
      </c>
      <c r="U10" s="446">
        <f t="shared" si="10"/>
        <v>774678.59443199995</v>
      </c>
      <c r="V10" s="446">
        <f t="shared" si="11"/>
        <v>1334678.5944320001</v>
      </c>
      <c r="W10" s="453">
        <v>12</v>
      </c>
      <c r="X10" s="446">
        <f t="shared" si="12"/>
        <v>111223.216202667</v>
      </c>
      <c r="Y10" s="446"/>
      <c r="Z10" s="446">
        <f t="shared" si="13"/>
        <v>111223.216202667</v>
      </c>
      <c r="AA10" s="192">
        <v>111223.216202667</v>
      </c>
      <c r="AB10" s="192">
        <f t="shared" si="15"/>
        <v>0</v>
      </c>
      <c r="AC10" s="192"/>
      <c r="AD10" s="192"/>
      <c r="AE10" s="192"/>
    </row>
    <row r="11" spans="1:31" ht="18">
      <c r="A11" s="520">
        <v>8</v>
      </c>
      <c r="B11" s="17" t="s">
        <v>232</v>
      </c>
      <c r="C11" s="444">
        <v>641465.02474999998</v>
      </c>
      <c r="D11" s="445">
        <v>12</v>
      </c>
      <c r="E11" s="446">
        <f t="shared" si="14"/>
        <v>7697580.2970000003</v>
      </c>
      <c r="F11" s="446"/>
      <c r="G11" s="446"/>
      <c r="H11" s="446"/>
      <c r="I11" s="446">
        <f t="shared" si="0"/>
        <v>7697580.2970000003</v>
      </c>
      <c r="J11" s="446">
        <v>200000</v>
      </c>
      <c r="K11" s="446">
        <v>0.2</v>
      </c>
      <c r="L11" s="446">
        <f t="shared" si="1"/>
        <v>1539516.0593999999</v>
      </c>
      <c r="M11" s="446">
        <f t="shared" si="2"/>
        <v>1739516.0593999999</v>
      </c>
      <c r="N11" s="446">
        <f t="shared" si="3"/>
        <v>1739516.0593999999</v>
      </c>
      <c r="O11" s="446">
        <f t="shared" si="4"/>
        <v>5958064.2375999996</v>
      </c>
      <c r="P11" s="446">
        <f t="shared" si="5"/>
        <v>21000</v>
      </c>
      <c r="Q11" s="446">
        <f t="shared" si="6"/>
        <v>33000</v>
      </c>
      <c r="R11" s="446">
        <f t="shared" si="7"/>
        <v>75000</v>
      </c>
      <c r="S11" s="446">
        <f t="shared" si="8"/>
        <v>95000</v>
      </c>
      <c r="T11" s="446">
        <f t="shared" si="9"/>
        <v>336000</v>
      </c>
      <c r="U11" s="446">
        <f t="shared" si="10"/>
        <v>661935.41702399997</v>
      </c>
      <c r="V11" s="446">
        <f t="shared" si="11"/>
        <v>1221935.4170240001</v>
      </c>
      <c r="W11" s="453">
        <v>12</v>
      </c>
      <c r="X11" s="446">
        <f t="shared" si="12"/>
        <v>101827.951418667</v>
      </c>
      <c r="Y11" s="446"/>
      <c r="Z11" s="446">
        <f t="shared" si="13"/>
        <v>101827.951418667</v>
      </c>
      <c r="AA11" s="192">
        <v>101827.951418667</v>
      </c>
      <c r="AB11" s="192">
        <f t="shared" si="15"/>
        <v>0</v>
      </c>
      <c r="AC11" s="192"/>
      <c r="AD11" s="192"/>
      <c r="AE11" s="192"/>
    </row>
    <row r="12" spans="1:31" ht="18">
      <c r="A12" s="520">
        <v>9</v>
      </c>
      <c r="B12" s="10" t="s">
        <v>247</v>
      </c>
      <c r="C12" s="444">
        <v>497553.5025</v>
      </c>
      <c r="D12" s="445">
        <v>12</v>
      </c>
      <c r="E12" s="446">
        <f t="shared" si="14"/>
        <v>5970642.0300000003</v>
      </c>
      <c r="F12" s="446">
        <f>'[5]JANUARY 2024'!$V$13*12</f>
        <v>10052.25</v>
      </c>
      <c r="G12" s="446"/>
      <c r="H12" s="446"/>
      <c r="I12" s="446">
        <f t="shared" si="0"/>
        <v>5960589.7800000003</v>
      </c>
      <c r="J12" s="446">
        <v>200000</v>
      </c>
      <c r="K12" s="446">
        <v>0.2</v>
      </c>
      <c r="L12" s="446">
        <f t="shared" si="1"/>
        <v>1192117.956</v>
      </c>
      <c r="M12" s="446">
        <f t="shared" si="2"/>
        <v>1392117.956</v>
      </c>
      <c r="N12" s="446">
        <f t="shared" si="3"/>
        <v>1402170.206</v>
      </c>
      <c r="O12" s="446">
        <f t="shared" si="4"/>
        <v>4568471.824</v>
      </c>
      <c r="P12" s="446">
        <f t="shared" si="5"/>
        <v>21000</v>
      </c>
      <c r="Q12" s="446">
        <f t="shared" si="6"/>
        <v>33000</v>
      </c>
      <c r="R12" s="446">
        <f t="shared" si="7"/>
        <v>75000</v>
      </c>
      <c r="S12" s="446">
        <f t="shared" si="8"/>
        <v>95000</v>
      </c>
      <c r="T12" s="446">
        <f t="shared" si="9"/>
        <v>336000</v>
      </c>
      <c r="U12" s="446">
        <f t="shared" si="10"/>
        <v>328433.23775999999</v>
      </c>
      <c r="V12" s="446">
        <f t="shared" si="11"/>
        <v>888433.23776000005</v>
      </c>
      <c r="W12" s="453">
        <v>12</v>
      </c>
      <c r="X12" s="446">
        <f t="shared" si="12"/>
        <v>74036.103146666705</v>
      </c>
      <c r="Y12" s="446"/>
      <c r="Z12" s="446">
        <f t="shared" si="13"/>
        <v>74036.103146666705</v>
      </c>
      <c r="AA12" s="192">
        <v>74036.103146666705</v>
      </c>
      <c r="AB12" s="192">
        <f t="shared" si="15"/>
        <v>0</v>
      </c>
      <c r="AC12" s="192"/>
      <c r="AD12" s="192"/>
      <c r="AE12" s="192"/>
    </row>
    <row r="13" spans="1:31" ht="18">
      <c r="A13" s="520">
        <v>10</v>
      </c>
      <c r="B13" s="10" t="s">
        <v>250</v>
      </c>
      <c r="C13" s="444">
        <v>604729.22199999995</v>
      </c>
      <c r="D13" s="445">
        <v>12</v>
      </c>
      <c r="E13" s="446">
        <f t="shared" si="14"/>
        <v>7256750.6639999999</v>
      </c>
      <c r="F13" s="446">
        <f>'[5]JANUARY 2024'!$V$14*12</f>
        <v>9305.9519999999993</v>
      </c>
      <c r="G13" s="446"/>
      <c r="H13" s="446"/>
      <c r="I13" s="446">
        <f t="shared" si="0"/>
        <v>7247444.7120000003</v>
      </c>
      <c r="J13" s="446">
        <v>200000</v>
      </c>
      <c r="K13" s="446">
        <v>0.2</v>
      </c>
      <c r="L13" s="446">
        <f t="shared" si="1"/>
        <v>1449488.9424000001</v>
      </c>
      <c r="M13" s="446">
        <f t="shared" si="2"/>
        <v>1649488.9424000001</v>
      </c>
      <c r="N13" s="446">
        <f t="shared" si="3"/>
        <v>1658794.8944000001</v>
      </c>
      <c r="O13" s="446">
        <f t="shared" si="4"/>
        <v>5597955.7696000002</v>
      </c>
      <c r="P13" s="446">
        <f t="shared" si="5"/>
        <v>21000</v>
      </c>
      <c r="Q13" s="446">
        <f t="shared" si="6"/>
        <v>33000</v>
      </c>
      <c r="R13" s="446">
        <f t="shared" si="7"/>
        <v>75000</v>
      </c>
      <c r="S13" s="446">
        <f t="shared" si="8"/>
        <v>95000</v>
      </c>
      <c r="T13" s="446">
        <f t="shared" si="9"/>
        <v>336000</v>
      </c>
      <c r="U13" s="446">
        <f t="shared" si="10"/>
        <v>575509.38470399997</v>
      </c>
      <c r="V13" s="446">
        <f t="shared" si="11"/>
        <v>1135509.3847040001</v>
      </c>
      <c r="W13" s="453">
        <v>12</v>
      </c>
      <c r="X13" s="446">
        <f t="shared" si="12"/>
        <v>94625.782058666693</v>
      </c>
      <c r="Y13" s="446"/>
      <c r="Z13" s="446">
        <f t="shared" si="13"/>
        <v>94625.782058666693</v>
      </c>
      <c r="AA13" s="192">
        <v>94625.782058666693</v>
      </c>
      <c r="AB13" s="192">
        <f t="shared" si="15"/>
        <v>0</v>
      </c>
      <c r="AC13" s="192"/>
      <c r="AD13" s="192"/>
      <c r="AE13" s="192"/>
    </row>
    <row r="14" spans="1:31" ht="18">
      <c r="A14" s="520">
        <v>11</v>
      </c>
      <c r="B14" s="10" t="s">
        <v>252</v>
      </c>
      <c r="C14" s="444">
        <v>343333.03525000002</v>
      </c>
      <c r="D14" s="445">
        <v>12</v>
      </c>
      <c r="E14" s="446">
        <f t="shared" si="14"/>
        <v>4119996.423</v>
      </c>
      <c r="F14" s="446"/>
      <c r="G14" s="446"/>
      <c r="H14" s="446"/>
      <c r="I14" s="446">
        <f t="shared" si="0"/>
        <v>4119996.423</v>
      </c>
      <c r="J14" s="446">
        <v>200000</v>
      </c>
      <c r="K14" s="446">
        <v>0.2</v>
      </c>
      <c r="L14" s="446">
        <f t="shared" si="1"/>
        <v>823999.28460000001</v>
      </c>
      <c r="M14" s="446">
        <f t="shared" si="2"/>
        <v>1023999.2846</v>
      </c>
      <c r="N14" s="446">
        <f t="shared" si="3"/>
        <v>1023999.2846</v>
      </c>
      <c r="O14" s="446">
        <f t="shared" si="4"/>
        <v>3095997.1384000001</v>
      </c>
      <c r="P14" s="446">
        <f t="shared" si="5"/>
        <v>21000</v>
      </c>
      <c r="Q14" s="446">
        <f t="shared" si="6"/>
        <v>33000</v>
      </c>
      <c r="R14" s="446">
        <f t="shared" si="7"/>
        <v>75000</v>
      </c>
      <c r="S14" s="446">
        <f t="shared" si="8"/>
        <v>95000</v>
      </c>
      <c r="T14" s="446">
        <f t="shared" si="9"/>
        <v>314159.399064</v>
      </c>
      <c r="U14" s="446"/>
      <c r="V14" s="446">
        <f t="shared" si="11"/>
        <v>538159.399064</v>
      </c>
      <c r="W14" s="453">
        <v>12</v>
      </c>
      <c r="X14" s="446">
        <f t="shared" si="12"/>
        <v>44846.6165886667</v>
      </c>
      <c r="Y14" s="446"/>
      <c r="Z14" s="446">
        <f t="shared" si="13"/>
        <v>44846.6165886667</v>
      </c>
      <c r="AA14" s="192">
        <v>44846.6165886667</v>
      </c>
      <c r="AB14" s="192">
        <f t="shared" si="15"/>
        <v>0</v>
      </c>
      <c r="AC14" s="192"/>
      <c r="AD14" s="192"/>
      <c r="AE14" s="192"/>
    </row>
    <row r="15" spans="1:31" ht="18">
      <c r="A15" s="520">
        <v>12</v>
      </c>
      <c r="B15" s="13" t="s">
        <v>255</v>
      </c>
      <c r="C15" s="444">
        <v>463333.03525000002</v>
      </c>
      <c r="D15" s="445">
        <v>12</v>
      </c>
      <c r="E15" s="446">
        <f t="shared" si="14"/>
        <v>5559996.4230000004</v>
      </c>
      <c r="F15" s="446"/>
      <c r="G15" s="446"/>
      <c r="H15" s="446"/>
      <c r="I15" s="446">
        <f t="shared" si="0"/>
        <v>5559996.4230000004</v>
      </c>
      <c r="J15" s="446">
        <v>200000</v>
      </c>
      <c r="K15" s="446">
        <v>0.2</v>
      </c>
      <c r="L15" s="446">
        <f t="shared" si="1"/>
        <v>1111999.2845999999</v>
      </c>
      <c r="M15" s="446">
        <f t="shared" si="2"/>
        <v>1311999.2845999999</v>
      </c>
      <c r="N15" s="446">
        <f t="shared" si="3"/>
        <v>1311999.2845999999</v>
      </c>
      <c r="O15" s="446">
        <f t="shared" si="4"/>
        <v>4247997.1383999996</v>
      </c>
      <c r="P15" s="446">
        <f t="shared" si="5"/>
        <v>21000</v>
      </c>
      <c r="Q15" s="446">
        <f t="shared" si="6"/>
        <v>33000</v>
      </c>
      <c r="R15" s="446">
        <f t="shared" si="7"/>
        <v>75000</v>
      </c>
      <c r="S15" s="446">
        <f t="shared" si="8"/>
        <v>95000</v>
      </c>
      <c r="T15" s="446">
        <f t="shared" si="9"/>
        <v>336000</v>
      </c>
      <c r="U15" s="446">
        <f t="shared" si="10"/>
        <v>251519.31321600001</v>
      </c>
      <c r="V15" s="446">
        <f t="shared" si="11"/>
        <v>811519.31321599998</v>
      </c>
      <c r="W15" s="453">
        <v>12</v>
      </c>
      <c r="X15" s="446">
        <f t="shared" si="12"/>
        <v>67626.609434666694</v>
      </c>
      <c r="Y15" s="446"/>
      <c r="Z15" s="528">
        <f t="shared" si="13"/>
        <v>67626.609434666694</v>
      </c>
      <c r="AA15" s="529">
        <v>46666.666666666701</v>
      </c>
      <c r="AB15" s="529">
        <f t="shared" si="15"/>
        <v>20959.942768000001</v>
      </c>
      <c r="AC15" s="192"/>
      <c r="AD15" s="192"/>
      <c r="AE15" s="192"/>
    </row>
    <row r="16" spans="1:31" ht="18">
      <c r="A16" s="520">
        <v>13</v>
      </c>
      <c r="B16" s="10" t="s">
        <v>258</v>
      </c>
      <c r="C16" s="444">
        <v>547211.36750000005</v>
      </c>
      <c r="D16" s="445">
        <v>12</v>
      </c>
      <c r="E16" s="446">
        <f t="shared" si="14"/>
        <v>6566536.4100000001</v>
      </c>
      <c r="F16" s="446"/>
      <c r="G16" s="446"/>
      <c r="H16" s="446"/>
      <c r="I16" s="446">
        <f t="shared" si="0"/>
        <v>6566536.4100000001</v>
      </c>
      <c r="J16" s="446">
        <v>200000</v>
      </c>
      <c r="K16" s="446">
        <v>0.2</v>
      </c>
      <c r="L16" s="446">
        <f t="shared" si="1"/>
        <v>1313307.2819999999</v>
      </c>
      <c r="M16" s="446">
        <f t="shared" si="2"/>
        <v>1513307.2819999999</v>
      </c>
      <c r="N16" s="446">
        <f t="shared" si="3"/>
        <v>1513307.2819999999</v>
      </c>
      <c r="O16" s="446">
        <f t="shared" si="4"/>
        <v>5053229.1279999996</v>
      </c>
      <c r="P16" s="446">
        <f t="shared" si="5"/>
        <v>21000</v>
      </c>
      <c r="Q16" s="446">
        <f t="shared" si="6"/>
        <v>33000</v>
      </c>
      <c r="R16" s="446">
        <f t="shared" si="7"/>
        <v>75000</v>
      </c>
      <c r="S16" s="446">
        <f t="shared" si="8"/>
        <v>95000</v>
      </c>
      <c r="T16" s="446">
        <f t="shared" si="9"/>
        <v>336000</v>
      </c>
      <c r="U16" s="446">
        <f t="shared" si="10"/>
        <v>444774.99072</v>
      </c>
      <c r="V16" s="446">
        <f t="shared" si="11"/>
        <v>1004774.99072</v>
      </c>
      <c r="W16" s="453">
        <v>12</v>
      </c>
      <c r="X16" s="446">
        <f t="shared" si="12"/>
        <v>83731.249226666696</v>
      </c>
      <c r="Y16" s="446"/>
      <c r="Z16" s="528">
        <f t="shared" si="13"/>
        <v>83731.249226666696</v>
      </c>
      <c r="AA16" s="529">
        <v>46666.666666666701</v>
      </c>
      <c r="AB16" s="529">
        <f t="shared" si="15"/>
        <v>37064.582560000003</v>
      </c>
      <c r="AC16" s="192"/>
      <c r="AD16" s="192"/>
      <c r="AE16" s="192"/>
    </row>
    <row r="17" spans="1:31" ht="18">
      <c r="A17" s="520">
        <v>14</v>
      </c>
      <c r="B17" s="10" t="s">
        <v>261</v>
      </c>
      <c r="C17" s="444">
        <v>326663.07750000001</v>
      </c>
      <c r="D17" s="445">
        <v>12</v>
      </c>
      <c r="E17" s="446">
        <f t="shared" si="14"/>
        <v>3919956.93</v>
      </c>
      <c r="F17" s="446"/>
      <c r="G17" s="446"/>
      <c r="H17" s="446"/>
      <c r="I17" s="446">
        <f t="shared" si="0"/>
        <v>3919956.93</v>
      </c>
      <c r="J17" s="446">
        <v>200000</v>
      </c>
      <c r="K17" s="446">
        <v>0.2</v>
      </c>
      <c r="L17" s="446">
        <f t="shared" si="1"/>
        <v>783991.38600000006</v>
      </c>
      <c r="M17" s="446">
        <f t="shared" si="2"/>
        <v>983991.38600000006</v>
      </c>
      <c r="N17" s="446">
        <f t="shared" si="3"/>
        <v>983991.38600000006</v>
      </c>
      <c r="O17" s="446">
        <f t="shared" si="4"/>
        <v>2935965.5440000002</v>
      </c>
      <c r="P17" s="446">
        <f t="shared" si="5"/>
        <v>21000</v>
      </c>
      <c r="Q17" s="446">
        <f t="shared" si="6"/>
        <v>33000</v>
      </c>
      <c r="R17" s="446">
        <f t="shared" si="7"/>
        <v>75000</v>
      </c>
      <c r="S17" s="446">
        <f t="shared" si="8"/>
        <v>95000</v>
      </c>
      <c r="T17" s="446">
        <f t="shared" si="9"/>
        <v>280552.76423999999</v>
      </c>
      <c r="U17" s="446"/>
      <c r="V17" s="446">
        <f t="shared" si="11"/>
        <v>504552.76423999999</v>
      </c>
      <c r="W17" s="453">
        <v>12</v>
      </c>
      <c r="X17" s="446">
        <f t="shared" si="12"/>
        <v>42046.063686666697</v>
      </c>
      <c r="Y17" s="446"/>
      <c r="Z17" s="446">
        <f t="shared" si="13"/>
        <v>42046.063686666697</v>
      </c>
      <c r="AA17" s="192">
        <v>42046.063686666697</v>
      </c>
      <c r="AB17" s="192">
        <f t="shared" si="15"/>
        <v>0</v>
      </c>
      <c r="AC17" s="192"/>
      <c r="AD17" s="192"/>
      <c r="AE17" s="192"/>
    </row>
    <row r="18" spans="1:31" ht="18">
      <c r="A18" s="520">
        <v>15</v>
      </c>
      <c r="B18" s="10" t="s">
        <v>264</v>
      </c>
      <c r="C18" s="444">
        <v>369177.65375</v>
      </c>
      <c r="D18" s="445">
        <v>12</v>
      </c>
      <c r="E18" s="446">
        <f t="shared" si="14"/>
        <v>4430131.8449999997</v>
      </c>
      <c r="F18" s="446"/>
      <c r="G18" s="446"/>
      <c r="H18" s="446"/>
      <c r="I18" s="446">
        <f t="shared" si="0"/>
        <v>4430131.8449999997</v>
      </c>
      <c r="J18" s="446">
        <v>200000</v>
      </c>
      <c r="K18" s="446">
        <v>0.2</v>
      </c>
      <c r="L18" s="446">
        <f t="shared" si="1"/>
        <v>886026.36899999995</v>
      </c>
      <c r="M18" s="446">
        <f t="shared" si="2"/>
        <v>1086026.3689999999</v>
      </c>
      <c r="N18" s="446">
        <f t="shared" si="3"/>
        <v>1086026.3689999999</v>
      </c>
      <c r="O18" s="446">
        <f t="shared" si="4"/>
        <v>3344105.4759999998</v>
      </c>
      <c r="P18" s="446">
        <f t="shared" si="5"/>
        <v>21000</v>
      </c>
      <c r="Q18" s="446">
        <f t="shared" si="6"/>
        <v>33000</v>
      </c>
      <c r="R18" s="446">
        <f t="shared" si="7"/>
        <v>75000</v>
      </c>
      <c r="S18" s="446">
        <f t="shared" si="8"/>
        <v>95000</v>
      </c>
      <c r="T18" s="446">
        <f t="shared" si="9"/>
        <v>336000</v>
      </c>
      <c r="U18" s="446">
        <f t="shared" si="10"/>
        <v>34585.314239999898</v>
      </c>
      <c r="V18" s="446">
        <f t="shared" si="11"/>
        <v>594585.31423999998</v>
      </c>
      <c r="W18" s="453">
        <v>12</v>
      </c>
      <c r="X18" s="446">
        <f t="shared" si="12"/>
        <v>49548.776186666699</v>
      </c>
      <c r="Y18" s="446"/>
      <c r="Z18" s="528">
        <f t="shared" si="13"/>
        <v>49548.776186666699</v>
      </c>
      <c r="AA18" s="529">
        <v>46666.666666666701</v>
      </c>
      <c r="AB18" s="529">
        <f t="shared" si="15"/>
        <v>2882.10952</v>
      </c>
      <c r="AC18" s="192"/>
      <c r="AD18" s="192"/>
      <c r="AE18" s="192"/>
    </row>
    <row r="19" spans="1:31" ht="18">
      <c r="A19" s="520">
        <v>16</v>
      </c>
      <c r="B19" s="17" t="s">
        <v>267</v>
      </c>
      <c r="C19" s="444">
        <v>462001.06050000002</v>
      </c>
      <c r="D19" s="445">
        <v>12</v>
      </c>
      <c r="E19" s="446">
        <f t="shared" si="14"/>
        <v>5544012.7259999998</v>
      </c>
      <c r="F19" s="446"/>
      <c r="G19" s="446"/>
      <c r="H19" s="446"/>
      <c r="I19" s="446">
        <f t="shared" si="0"/>
        <v>5544012.7259999998</v>
      </c>
      <c r="J19" s="446">
        <v>200000</v>
      </c>
      <c r="K19" s="446">
        <v>0.2</v>
      </c>
      <c r="L19" s="446">
        <f t="shared" si="1"/>
        <v>1108802.5452000001</v>
      </c>
      <c r="M19" s="446">
        <f t="shared" si="2"/>
        <v>1308802.5452000001</v>
      </c>
      <c r="N19" s="446">
        <f t="shared" si="3"/>
        <v>1308802.5452000001</v>
      </c>
      <c r="O19" s="446">
        <f t="shared" si="4"/>
        <v>4235210.1808000002</v>
      </c>
      <c r="P19" s="446">
        <f t="shared" si="5"/>
        <v>21000</v>
      </c>
      <c r="Q19" s="446">
        <f t="shared" si="6"/>
        <v>33000</v>
      </c>
      <c r="R19" s="446">
        <f t="shared" si="7"/>
        <v>75000</v>
      </c>
      <c r="S19" s="446">
        <f t="shared" si="8"/>
        <v>95000</v>
      </c>
      <c r="T19" s="446">
        <f t="shared" si="9"/>
        <v>336000</v>
      </c>
      <c r="U19" s="446">
        <f t="shared" si="10"/>
        <v>248450.44339199999</v>
      </c>
      <c r="V19" s="446">
        <f t="shared" si="11"/>
        <v>808450.44339200004</v>
      </c>
      <c r="W19" s="453">
        <v>12</v>
      </c>
      <c r="X19" s="446">
        <f t="shared" si="12"/>
        <v>67370.870282666699</v>
      </c>
      <c r="Y19" s="446"/>
      <c r="Z19" s="528">
        <f t="shared" si="13"/>
        <v>67370.870282666699</v>
      </c>
      <c r="AA19" s="529">
        <v>46666.666666666701</v>
      </c>
      <c r="AB19" s="529">
        <f t="shared" si="15"/>
        <v>20704.203615999999</v>
      </c>
      <c r="AC19" s="192"/>
      <c r="AD19" s="192"/>
      <c r="AE19" s="192"/>
    </row>
    <row r="20" spans="1:31" ht="18">
      <c r="A20" s="520">
        <v>17</v>
      </c>
      <c r="B20" s="10" t="s">
        <v>270</v>
      </c>
      <c r="C20" s="444">
        <v>384536.99849999999</v>
      </c>
      <c r="D20" s="445">
        <v>12</v>
      </c>
      <c r="E20" s="446">
        <f t="shared" si="14"/>
        <v>4614443.9819999998</v>
      </c>
      <c r="F20" s="446"/>
      <c r="G20" s="446"/>
      <c r="H20" s="446"/>
      <c r="I20" s="446">
        <f t="shared" si="0"/>
        <v>4614443.9819999998</v>
      </c>
      <c r="J20" s="446">
        <v>200000</v>
      </c>
      <c r="K20" s="446">
        <v>0.2</v>
      </c>
      <c r="L20" s="446">
        <f t="shared" si="1"/>
        <v>922888.79639999999</v>
      </c>
      <c r="M20" s="446">
        <f t="shared" si="2"/>
        <v>1122888.7964000001</v>
      </c>
      <c r="N20" s="446">
        <f t="shared" si="3"/>
        <v>1122888.7964000001</v>
      </c>
      <c r="O20" s="446">
        <f t="shared" si="4"/>
        <v>3491555.1856</v>
      </c>
      <c r="P20" s="446">
        <f t="shared" si="5"/>
        <v>21000</v>
      </c>
      <c r="Q20" s="446">
        <f t="shared" si="6"/>
        <v>33000</v>
      </c>
      <c r="R20" s="446">
        <f t="shared" si="7"/>
        <v>75000</v>
      </c>
      <c r="S20" s="446">
        <f t="shared" si="8"/>
        <v>95000</v>
      </c>
      <c r="T20" s="446">
        <f t="shared" si="9"/>
        <v>336000</v>
      </c>
      <c r="U20" s="446">
        <f t="shared" si="10"/>
        <v>69973.244543999797</v>
      </c>
      <c r="V20" s="446">
        <f t="shared" si="11"/>
        <v>629973.24454400002</v>
      </c>
      <c r="W20" s="453">
        <v>12</v>
      </c>
      <c r="X20" s="446">
        <f t="shared" si="12"/>
        <v>52497.770378666602</v>
      </c>
      <c r="Y20" s="446"/>
      <c r="Z20" s="446">
        <f t="shared" si="13"/>
        <v>52497.770378666602</v>
      </c>
      <c r="AA20" s="192">
        <v>52497.770378666602</v>
      </c>
      <c r="AB20" s="192">
        <f t="shared" si="15"/>
        <v>0</v>
      </c>
      <c r="AC20" s="192"/>
      <c r="AD20" s="192"/>
      <c r="AE20" s="192"/>
    </row>
    <row r="21" spans="1:31" ht="18">
      <c r="A21" s="520">
        <v>18</v>
      </c>
      <c r="B21" s="13" t="s">
        <v>272</v>
      </c>
      <c r="C21" s="444">
        <v>400372.07500000001</v>
      </c>
      <c r="D21" s="445">
        <v>12</v>
      </c>
      <c r="E21" s="446">
        <f t="shared" si="14"/>
        <v>4804464.9000000004</v>
      </c>
      <c r="F21" s="446"/>
      <c r="G21" s="446"/>
      <c r="H21" s="446"/>
      <c r="I21" s="446">
        <f t="shared" si="0"/>
        <v>4804464.9000000004</v>
      </c>
      <c r="J21" s="446">
        <v>200000</v>
      </c>
      <c r="K21" s="446">
        <v>0.2</v>
      </c>
      <c r="L21" s="446">
        <f t="shared" si="1"/>
        <v>960892.98</v>
      </c>
      <c r="M21" s="446">
        <f t="shared" si="2"/>
        <v>1160892.98</v>
      </c>
      <c r="N21" s="446">
        <f t="shared" si="3"/>
        <v>1160892.98</v>
      </c>
      <c r="O21" s="446">
        <f t="shared" si="4"/>
        <v>3643571.92</v>
      </c>
      <c r="P21" s="446">
        <f t="shared" si="5"/>
        <v>21000</v>
      </c>
      <c r="Q21" s="446">
        <f t="shared" si="6"/>
        <v>33000</v>
      </c>
      <c r="R21" s="446">
        <f t="shared" si="7"/>
        <v>75000</v>
      </c>
      <c r="S21" s="446">
        <f t="shared" si="8"/>
        <v>95000</v>
      </c>
      <c r="T21" s="446">
        <f t="shared" si="9"/>
        <v>336000</v>
      </c>
      <c r="U21" s="446">
        <f t="shared" si="10"/>
        <v>106457.2608</v>
      </c>
      <c r="V21" s="446">
        <f t="shared" si="11"/>
        <v>666457.26080000005</v>
      </c>
      <c r="W21" s="453">
        <v>12</v>
      </c>
      <c r="X21" s="446">
        <f t="shared" si="12"/>
        <v>55538.1050666667</v>
      </c>
      <c r="Y21" s="446"/>
      <c r="Z21" s="528">
        <f t="shared" si="13"/>
        <v>55538.1050666667</v>
      </c>
      <c r="AA21" s="529">
        <v>46666.666666666701</v>
      </c>
      <c r="AB21" s="529">
        <f t="shared" si="15"/>
        <v>8871.43840000001</v>
      </c>
      <c r="AC21" s="192"/>
      <c r="AD21" s="192"/>
      <c r="AE21" s="192"/>
    </row>
    <row r="22" spans="1:31" ht="18">
      <c r="A22" s="520">
        <v>19</v>
      </c>
      <c r="B22" s="10" t="s">
        <v>274</v>
      </c>
      <c r="C22" s="444">
        <f>1015372.075-700000</f>
        <v>315372.07500000001</v>
      </c>
      <c r="D22" s="445">
        <v>12</v>
      </c>
      <c r="E22" s="446">
        <f t="shared" si="14"/>
        <v>3784464.9</v>
      </c>
      <c r="F22" s="446"/>
      <c r="G22" s="446"/>
      <c r="H22" s="446"/>
      <c r="I22" s="446">
        <f t="shared" si="0"/>
        <v>3784464.9</v>
      </c>
      <c r="J22" s="446">
        <v>200000</v>
      </c>
      <c r="K22" s="446">
        <v>0.2</v>
      </c>
      <c r="L22" s="446">
        <f t="shared" si="1"/>
        <v>756892.98</v>
      </c>
      <c r="M22" s="446">
        <f t="shared" si="2"/>
        <v>956892.98</v>
      </c>
      <c r="N22" s="446">
        <f t="shared" si="3"/>
        <v>956892.98</v>
      </c>
      <c r="O22" s="446">
        <f t="shared" si="4"/>
        <v>2827571.92</v>
      </c>
      <c r="P22" s="446">
        <f t="shared" si="5"/>
        <v>21000</v>
      </c>
      <c r="Q22" s="446">
        <f t="shared" si="6"/>
        <v>33000</v>
      </c>
      <c r="R22" s="446">
        <f t="shared" si="7"/>
        <v>75000</v>
      </c>
      <c r="S22" s="446">
        <f t="shared" si="8"/>
        <v>95000</v>
      </c>
      <c r="T22" s="446">
        <f t="shared" si="9"/>
        <v>257790.10320000001</v>
      </c>
      <c r="U22" s="446"/>
      <c r="V22" s="446">
        <f t="shared" si="11"/>
        <v>481790.10320000001</v>
      </c>
      <c r="W22" s="453">
        <v>12</v>
      </c>
      <c r="X22" s="446">
        <f t="shared" si="12"/>
        <v>40149.175266666702</v>
      </c>
      <c r="Y22" s="446"/>
      <c r="Z22" s="530">
        <f t="shared" si="13"/>
        <v>40149.175266666702</v>
      </c>
      <c r="AA22" s="531">
        <v>46666.666666666701</v>
      </c>
      <c r="AB22" s="531">
        <f t="shared" si="15"/>
        <v>-6517.4914000000099</v>
      </c>
      <c r="AC22" s="532" t="s">
        <v>553</v>
      </c>
      <c r="AD22" s="192"/>
      <c r="AE22" s="192"/>
    </row>
    <row r="23" spans="1:31" ht="18">
      <c r="A23" s="520">
        <v>20</v>
      </c>
      <c r="B23" s="13" t="s">
        <v>276</v>
      </c>
      <c r="C23" s="444">
        <v>328602.07775</v>
      </c>
      <c r="D23" s="445">
        <v>12</v>
      </c>
      <c r="E23" s="446">
        <f t="shared" si="14"/>
        <v>3943224.9330000002</v>
      </c>
      <c r="F23" s="446"/>
      <c r="G23" s="446"/>
      <c r="H23" s="446"/>
      <c r="I23" s="446">
        <f t="shared" si="0"/>
        <v>3943224.9330000002</v>
      </c>
      <c r="J23" s="446">
        <v>200000</v>
      </c>
      <c r="K23" s="446">
        <v>0.2</v>
      </c>
      <c r="L23" s="446">
        <f t="shared" si="1"/>
        <v>788644.98659999995</v>
      </c>
      <c r="M23" s="446">
        <f t="shared" si="2"/>
        <v>988644.98659999995</v>
      </c>
      <c r="N23" s="446">
        <f t="shared" si="3"/>
        <v>988644.98659999995</v>
      </c>
      <c r="O23" s="446">
        <f t="shared" si="4"/>
        <v>2954579.9463999998</v>
      </c>
      <c r="P23" s="446">
        <f t="shared" si="5"/>
        <v>21000</v>
      </c>
      <c r="Q23" s="446">
        <f t="shared" si="6"/>
        <v>33000</v>
      </c>
      <c r="R23" s="446">
        <f t="shared" si="7"/>
        <v>75000</v>
      </c>
      <c r="S23" s="446">
        <f t="shared" si="8"/>
        <v>95000</v>
      </c>
      <c r="T23" s="446">
        <f t="shared" si="9"/>
        <v>284461.78874400002</v>
      </c>
      <c r="U23" s="446"/>
      <c r="V23" s="446">
        <f t="shared" si="11"/>
        <v>508461.78874400002</v>
      </c>
      <c r="W23" s="453">
        <v>12</v>
      </c>
      <c r="X23" s="446">
        <f t="shared" si="12"/>
        <v>42371.815728666697</v>
      </c>
      <c r="Y23" s="446"/>
      <c r="Z23" s="446">
        <f t="shared" si="13"/>
        <v>42371.815728666697</v>
      </c>
      <c r="AA23" s="192">
        <v>42371.815728666697</v>
      </c>
      <c r="AB23" s="192">
        <f t="shared" si="15"/>
        <v>0</v>
      </c>
      <c r="AC23" s="192"/>
      <c r="AD23" s="192"/>
      <c r="AE23" s="192"/>
    </row>
    <row r="24" spans="1:31" s="516" customFormat="1" ht="18">
      <c r="A24" s="524">
        <v>21</v>
      </c>
      <c r="B24" s="3" t="s">
        <v>278</v>
      </c>
      <c r="C24" s="444">
        <v>213508.01</v>
      </c>
      <c r="D24" s="445">
        <v>12</v>
      </c>
      <c r="E24" s="446">
        <f t="shared" si="14"/>
        <v>2562096.12</v>
      </c>
      <c r="F24" s="446"/>
      <c r="G24" s="446"/>
      <c r="H24" s="446"/>
      <c r="I24" s="446">
        <f t="shared" si="0"/>
        <v>2562096.12</v>
      </c>
      <c r="J24" s="446">
        <v>200000</v>
      </c>
      <c r="K24" s="446">
        <v>0.2</v>
      </c>
      <c r="L24" s="446">
        <f t="shared" si="1"/>
        <v>512419.22399999999</v>
      </c>
      <c r="M24" s="446">
        <f t="shared" si="2"/>
        <v>712419.22400000005</v>
      </c>
      <c r="N24" s="446">
        <f t="shared" si="3"/>
        <v>712419.22400000005</v>
      </c>
      <c r="O24" s="446">
        <f t="shared" si="4"/>
        <v>1849676.8959999999</v>
      </c>
      <c r="P24" s="446">
        <f t="shared" si="5"/>
        <v>21000</v>
      </c>
      <c r="Q24" s="446">
        <f t="shared" si="6"/>
        <v>33000</v>
      </c>
      <c r="R24" s="446">
        <f t="shared" si="7"/>
        <v>75000</v>
      </c>
      <c r="S24" s="446">
        <f t="shared" si="8"/>
        <v>95000</v>
      </c>
      <c r="T24" s="446">
        <f t="shared" si="9"/>
        <v>52432.148159999997</v>
      </c>
      <c r="U24" s="446"/>
      <c r="V24" s="446">
        <f t="shared" si="11"/>
        <v>276432.14815999998</v>
      </c>
      <c r="W24" s="453">
        <v>12</v>
      </c>
      <c r="X24" s="446">
        <f t="shared" si="12"/>
        <v>23036.012346666699</v>
      </c>
      <c r="Y24" s="446"/>
      <c r="Z24" s="446">
        <f t="shared" si="13"/>
        <v>23036.012346666699</v>
      </c>
      <c r="AA24" s="533">
        <v>23036.012346666699</v>
      </c>
      <c r="AB24" s="192">
        <f t="shared" si="15"/>
        <v>0</v>
      </c>
      <c r="AC24" s="533"/>
      <c r="AD24" s="533"/>
      <c r="AE24" s="533"/>
    </row>
    <row r="25" spans="1:31" ht="18">
      <c r="A25" s="520">
        <v>22</v>
      </c>
      <c r="B25" s="17" t="s">
        <v>280</v>
      </c>
      <c r="C25" s="444">
        <v>213508.01</v>
      </c>
      <c r="D25" s="445">
        <v>12</v>
      </c>
      <c r="E25" s="446">
        <f t="shared" si="14"/>
        <v>2562096.12</v>
      </c>
      <c r="F25" s="446"/>
      <c r="G25" s="446"/>
      <c r="H25" s="446"/>
      <c r="I25" s="446">
        <f t="shared" si="0"/>
        <v>2562096.12</v>
      </c>
      <c r="J25" s="446">
        <v>200000</v>
      </c>
      <c r="K25" s="446">
        <v>0.2</v>
      </c>
      <c r="L25" s="446">
        <f t="shared" si="1"/>
        <v>512419.22399999999</v>
      </c>
      <c r="M25" s="446">
        <f t="shared" si="2"/>
        <v>712419.22400000005</v>
      </c>
      <c r="N25" s="446">
        <f t="shared" si="3"/>
        <v>712419.22400000005</v>
      </c>
      <c r="O25" s="446">
        <f t="shared" si="4"/>
        <v>1849676.8959999999</v>
      </c>
      <c r="P25" s="446">
        <f t="shared" si="5"/>
        <v>21000</v>
      </c>
      <c r="Q25" s="446">
        <f t="shared" si="6"/>
        <v>33000</v>
      </c>
      <c r="R25" s="446">
        <f t="shared" si="7"/>
        <v>75000</v>
      </c>
      <c r="S25" s="446">
        <f t="shared" si="8"/>
        <v>95000</v>
      </c>
      <c r="T25" s="446">
        <f t="shared" si="9"/>
        <v>52432.148159999997</v>
      </c>
      <c r="U25" s="446"/>
      <c r="V25" s="446">
        <f t="shared" si="11"/>
        <v>276432.14815999998</v>
      </c>
      <c r="W25" s="453">
        <v>12</v>
      </c>
      <c r="X25" s="446">
        <f t="shared" si="12"/>
        <v>23036.012346666699</v>
      </c>
      <c r="Y25" s="446"/>
      <c r="Z25" s="446">
        <f t="shared" si="13"/>
        <v>23036.012346666699</v>
      </c>
      <c r="AA25" s="192">
        <v>23036.012346666699</v>
      </c>
      <c r="AB25" s="192">
        <f t="shared" si="15"/>
        <v>0</v>
      </c>
      <c r="AC25" s="192"/>
      <c r="AD25" s="192"/>
      <c r="AE25" s="192"/>
    </row>
    <row r="26" spans="1:31" ht="18">
      <c r="A26" s="520">
        <v>23</v>
      </c>
      <c r="B26" s="10" t="s">
        <v>281</v>
      </c>
      <c r="C26" s="444">
        <v>253508.01</v>
      </c>
      <c r="D26" s="445">
        <v>12</v>
      </c>
      <c r="E26" s="446">
        <f t="shared" si="14"/>
        <v>3042096.12</v>
      </c>
      <c r="F26" s="446"/>
      <c r="G26" s="446"/>
      <c r="H26" s="446"/>
      <c r="I26" s="446">
        <f t="shared" si="0"/>
        <v>3042096.12</v>
      </c>
      <c r="J26" s="446">
        <v>200000</v>
      </c>
      <c r="K26" s="446">
        <v>0.2</v>
      </c>
      <c r="L26" s="446">
        <f t="shared" si="1"/>
        <v>608419.22400000005</v>
      </c>
      <c r="M26" s="446">
        <f t="shared" si="2"/>
        <v>808419.22400000005</v>
      </c>
      <c r="N26" s="446">
        <f t="shared" si="3"/>
        <v>808419.22400000005</v>
      </c>
      <c r="O26" s="446">
        <f t="shared" si="4"/>
        <v>2233676.8960000002</v>
      </c>
      <c r="P26" s="446">
        <f t="shared" si="5"/>
        <v>21000</v>
      </c>
      <c r="Q26" s="446">
        <f t="shared" si="6"/>
        <v>33000</v>
      </c>
      <c r="R26" s="446">
        <f t="shared" si="7"/>
        <v>75000</v>
      </c>
      <c r="S26" s="446">
        <f t="shared" si="8"/>
        <v>95000</v>
      </c>
      <c r="T26" s="446">
        <f t="shared" si="9"/>
        <v>133072.14816000001</v>
      </c>
      <c r="U26" s="446"/>
      <c r="V26" s="446">
        <f t="shared" si="11"/>
        <v>357072.14815999998</v>
      </c>
      <c r="W26" s="453">
        <v>12</v>
      </c>
      <c r="X26" s="446">
        <f t="shared" si="12"/>
        <v>29756.012346666699</v>
      </c>
      <c r="Y26" s="446"/>
      <c r="Z26" s="446">
        <f t="shared" si="13"/>
        <v>29756.012346666699</v>
      </c>
      <c r="AA26" s="192">
        <v>29756.012346666699</v>
      </c>
      <c r="AB26" s="192">
        <f t="shared" si="15"/>
        <v>0</v>
      </c>
      <c r="AC26" s="192"/>
      <c r="AD26" s="192"/>
      <c r="AE26" s="192"/>
    </row>
    <row r="27" spans="1:31" ht="18">
      <c r="A27" s="520">
        <v>24</v>
      </c>
      <c r="B27" s="17" t="s">
        <v>282</v>
      </c>
      <c r="C27" s="444">
        <v>209356.04725</v>
      </c>
      <c r="D27" s="445">
        <v>12</v>
      </c>
      <c r="E27" s="446">
        <f t="shared" si="14"/>
        <v>2512272.5669999998</v>
      </c>
      <c r="F27" s="446"/>
      <c r="G27" s="446"/>
      <c r="H27" s="446"/>
      <c r="I27" s="446">
        <f t="shared" ref="I27" si="16">E27-F27-G27-H27</f>
        <v>2512272.5669999998</v>
      </c>
      <c r="J27" s="446">
        <v>200000</v>
      </c>
      <c r="K27" s="446">
        <v>0.2</v>
      </c>
      <c r="L27" s="446">
        <f t="shared" ref="L27" si="17">I27*K27</f>
        <v>502454.5134</v>
      </c>
      <c r="M27" s="446">
        <f t="shared" ref="M27" si="18">J27+L27</f>
        <v>702454.51340000005</v>
      </c>
      <c r="N27" s="446">
        <f t="shared" ref="N27" si="19">F27+G27+H27+M27</f>
        <v>702454.51340000005</v>
      </c>
      <c r="O27" s="446">
        <f t="shared" ref="O27" si="20">E27-N27</f>
        <v>1809818.0536</v>
      </c>
      <c r="P27" s="446">
        <f t="shared" ref="P27" si="21">IF(O27&lt;300000,0.07*O27,21000)</f>
        <v>21000</v>
      </c>
      <c r="Q27" s="446">
        <f t="shared" ref="Q27" si="22">IF((O27-300000)&lt;0,0,IF((O27-300000)&lt;300000,0.11*(O27-300000),33000))</f>
        <v>33000</v>
      </c>
      <c r="R27" s="446">
        <f t="shared" ref="R27" si="23">IF((O27-600000)&lt;0,0,IF((O27-600000)&lt;500000,0.15*(O27-600000),75000))</f>
        <v>75000</v>
      </c>
      <c r="S27" s="446">
        <f t="shared" ref="S27" si="24">IF((O27-1100000)&lt;0,0,IF((O27-1100000)&lt;500000,0.19*(O27-1100000),95000))</f>
        <v>95000</v>
      </c>
      <c r="T27" s="446">
        <f t="shared" ref="T27" si="25">IF((O27-1600000)&lt;0,0,IF((O27-1600000)&lt;1600000,0.21*(O27-1600000),336000))</f>
        <v>44061.791255999902</v>
      </c>
      <c r="U27" s="446"/>
      <c r="V27" s="446">
        <f t="shared" ref="V27" si="26">P27+Q27+R27+S27+T27+U27</f>
        <v>268061.791256</v>
      </c>
      <c r="W27" s="453">
        <v>12</v>
      </c>
      <c r="X27" s="446">
        <f t="shared" ref="X27" si="27">V27/W27</f>
        <v>22338.4826046667</v>
      </c>
      <c r="Y27" s="446"/>
      <c r="Z27" s="446">
        <f t="shared" ref="Z27" si="28">X27</f>
        <v>22338.4826046667</v>
      </c>
      <c r="AA27" s="192">
        <v>22338.4826046667</v>
      </c>
      <c r="AB27" s="192">
        <f t="shared" si="15"/>
        <v>0</v>
      </c>
      <c r="AC27" s="192"/>
      <c r="AD27" s="192"/>
      <c r="AE27" s="192"/>
    </row>
    <row r="28" spans="1:31" ht="18">
      <c r="A28" s="520">
        <v>25</v>
      </c>
      <c r="B28" s="17" t="s">
        <v>284</v>
      </c>
      <c r="C28" s="444">
        <v>205204.0845</v>
      </c>
      <c r="D28" s="445">
        <v>12</v>
      </c>
      <c r="E28" s="446">
        <f t="shared" si="14"/>
        <v>2462449.014</v>
      </c>
      <c r="F28" s="446"/>
      <c r="G28" s="446"/>
      <c r="H28" s="446"/>
      <c r="I28" s="446">
        <f t="shared" si="0"/>
        <v>2462449.014</v>
      </c>
      <c r="J28" s="446">
        <v>200000</v>
      </c>
      <c r="K28" s="446">
        <v>0.2</v>
      </c>
      <c r="L28" s="446">
        <f t="shared" si="1"/>
        <v>492489.8028</v>
      </c>
      <c r="M28" s="446">
        <f t="shared" si="2"/>
        <v>692489.80279999995</v>
      </c>
      <c r="N28" s="446">
        <f t="shared" si="3"/>
        <v>692489.80279999995</v>
      </c>
      <c r="O28" s="446">
        <f t="shared" si="4"/>
        <v>1769959.2112</v>
      </c>
      <c r="P28" s="446">
        <f t="shared" si="5"/>
        <v>21000</v>
      </c>
      <c r="Q28" s="446">
        <f t="shared" si="6"/>
        <v>33000</v>
      </c>
      <c r="R28" s="446">
        <f t="shared" si="7"/>
        <v>75000</v>
      </c>
      <c r="S28" s="446">
        <f t="shared" si="8"/>
        <v>95000</v>
      </c>
      <c r="T28" s="446">
        <f t="shared" si="9"/>
        <v>35691.434351999997</v>
      </c>
      <c r="U28" s="446"/>
      <c r="V28" s="446">
        <f t="shared" si="11"/>
        <v>259691.43435200001</v>
      </c>
      <c r="W28" s="453">
        <v>12</v>
      </c>
      <c r="X28" s="446">
        <f t="shared" si="12"/>
        <v>21640.952862666702</v>
      </c>
      <c r="Y28" s="446"/>
      <c r="Z28" s="446">
        <f t="shared" si="13"/>
        <v>21640.952862666702</v>
      </c>
      <c r="AA28" s="192">
        <v>21640.952862666702</v>
      </c>
      <c r="AB28" s="192">
        <f t="shared" si="15"/>
        <v>0</v>
      </c>
      <c r="AC28" s="192"/>
      <c r="AD28" s="192"/>
      <c r="AE28" s="192"/>
    </row>
    <row r="29" spans="1:31" s="516" customFormat="1" ht="36">
      <c r="A29" s="524">
        <v>26</v>
      </c>
      <c r="B29" s="17" t="s">
        <v>286</v>
      </c>
      <c r="C29" s="444">
        <v>205204.0845</v>
      </c>
      <c r="D29" s="445">
        <v>12</v>
      </c>
      <c r="E29" s="446">
        <f t="shared" si="14"/>
        <v>2462449.014</v>
      </c>
      <c r="F29" s="446"/>
      <c r="G29" s="446"/>
      <c r="H29" s="446"/>
      <c r="I29" s="446">
        <f t="shared" si="0"/>
        <v>2462449.014</v>
      </c>
      <c r="J29" s="446">
        <v>200000</v>
      </c>
      <c r="K29" s="446">
        <v>0.2</v>
      </c>
      <c r="L29" s="446">
        <f t="shared" si="1"/>
        <v>492489.8028</v>
      </c>
      <c r="M29" s="446">
        <f t="shared" si="2"/>
        <v>692489.80279999995</v>
      </c>
      <c r="N29" s="446">
        <f t="shared" si="3"/>
        <v>692489.80279999995</v>
      </c>
      <c r="O29" s="446">
        <f t="shared" si="4"/>
        <v>1769959.2112</v>
      </c>
      <c r="P29" s="446">
        <f t="shared" si="5"/>
        <v>21000</v>
      </c>
      <c r="Q29" s="446">
        <f t="shared" si="6"/>
        <v>33000</v>
      </c>
      <c r="R29" s="446">
        <f t="shared" si="7"/>
        <v>75000</v>
      </c>
      <c r="S29" s="446">
        <f t="shared" si="8"/>
        <v>95000</v>
      </c>
      <c r="T29" s="446">
        <f t="shared" si="9"/>
        <v>35691.434351999997</v>
      </c>
      <c r="U29" s="446"/>
      <c r="V29" s="446">
        <f t="shared" si="11"/>
        <v>259691.43435200001</v>
      </c>
      <c r="W29" s="453">
        <v>12</v>
      </c>
      <c r="X29" s="446">
        <f t="shared" si="12"/>
        <v>21640.952862666702</v>
      </c>
      <c r="Y29" s="446"/>
      <c r="Z29" s="446">
        <f t="shared" si="13"/>
        <v>21640.952862666702</v>
      </c>
      <c r="AA29" s="533">
        <v>21640.952862666702</v>
      </c>
      <c r="AB29" s="192">
        <f t="shared" si="15"/>
        <v>0</v>
      </c>
      <c r="AC29" s="533"/>
      <c r="AD29" s="533"/>
      <c r="AE29" s="533"/>
    </row>
    <row r="30" spans="1:31" s="516" customFormat="1" ht="18">
      <c r="A30" s="524">
        <v>27</v>
      </c>
      <c r="B30" s="17" t="s">
        <v>287</v>
      </c>
      <c r="C30" s="444">
        <v>209356.04725</v>
      </c>
      <c r="D30" s="445">
        <v>12</v>
      </c>
      <c r="E30" s="446">
        <f t="shared" si="14"/>
        <v>2512272.5669999998</v>
      </c>
      <c r="F30" s="446"/>
      <c r="G30" s="446"/>
      <c r="H30" s="446"/>
      <c r="I30" s="446">
        <f t="shared" si="0"/>
        <v>2512272.5669999998</v>
      </c>
      <c r="J30" s="446">
        <v>200000</v>
      </c>
      <c r="K30" s="446">
        <v>0.2</v>
      </c>
      <c r="L30" s="446">
        <f t="shared" si="1"/>
        <v>502454.5134</v>
      </c>
      <c r="M30" s="446">
        <f t="shared" si="2"/>
        <v>702454.51340000005</v>
      </c>
      <c r="N30" s="446">
        <f t="shared" si="3"/>
        <v>702454.51340000005</v>
      </c>
      <c r="O30" s="446">
        <f t="shared" si="4"/>
        <v>1809818.0536</v>
      </c>
      <c r="P30" s="446">
        <f t="shared" si="5"/>
        <v>21000</v>
      </c>
      <c r="Q30" s="446">
        <f t="shared" si="6"/>
        <v>33000</v>
      </c>
      <c r="R30" s="446">
        <f t="shared" si="7"/>
        <v>75000</v>
      </c>
      <c r="S30" s="446">
        <f t="shared" si="8"/>
        <v>95000</v>
      </c>
      <c r="T30" s="446">
        <f t="shared" si="9"/>
        <v>44061.791255999902</v>
      </c>
      <c r="U30" s="446"/>
      <c r="V30" s="446">
        <f t="shared" si="11"/>
        <v>268061.791256</v>
      </c>
      <c r="W30" s="453">
        <v>12</v>
      </c>
      <c r="X30" s="446">
        <f t="shared" si="12"/>
        <v>22338.4826046667</v>
      </c>
      <c r="Y30" s="446"/>
      <c r="Z30" s="446">
        <f t="shared" si="13"/>
        <v>22338.4826046667</v>
      </c>
      <c r="AA30" s="533">
        <v>22338.4826046667</v>
      </c>
      <c r="AB30" s="192">
        <f t="shared" si="15"/>
        <v>0</v>
      </c>
      <c r="AC30" s="533"/>
      <c r="AD30" s="533"/>
      <c r="AE30" s="533"/>
    </row>
    <row r="31" spans="1:31" ht="18">
      <c r="A31" s="520">
        <v>28</v>
      </c>
      <c r="B31" s="17" t="s">
        <v>289</v>
      </c>
      <c r="C31" s="444">
        <v>180304.068</v>
      </c>
      <c r="D31" s="445">
        <v>12</v>
      </c>
      <c r="E31" s="446">
        <f t="shared" si="14"/>
        <v>2163648.8160000001</v>
      </c>
      <c r="F31" s="446"/>
      <c r="G31" s="446"/>
      <c r="H31" s="446"/>
      <c r="I31" s="446">
        <f t="shared" si="0"/>
        <v>2163648.8160000001</v>
      </c>
      <c r="J31" s="446">
        <v>200000</v>
      </c>
      <c r="K31" s="446">
        <v>0.2</v>
      </c>
      <c r="L31" s="446">
        <f t="shared" si="1"/>
        <v>432729.76319999999</v>
      </c>
      <c r="M31" s="446">
        <f t="shared" si="2"/>
        <v>632729.76320000004</v>
      </c>
      <c r="N31" s="446">
        <f t="shared" si="3"/>
        <v>632729.76320000004</v>
      </c>
      <c r="O31" s="446">
        <f t="shared" si="4"/>
        <v>1530919.0527999999</v>
      </c>
      <c r="P31" s="446">
        <f t="shared" si="5"/>
        <v>21000</v>
      </c>
      <c r="Q31" s="446">
        <f t="shared" si="6"/>
        <v>33000</v>
      </c>
      <c r="R31" s="446">
        <f t="shared" si="7"/>
        <v>75000</v>
      </c>
      <c r="S31" s="446">
        <f t="shared" si="8"/>
        <v>81874.620032000006</v>
      </c>
      <c r="T31" s="446">
        <f t="shared" si="9"/>
        <v>0</v>
      </c>
      <c r="U31" s="446"/>
      <c r="V31" s="446">
        <f t="shared" si="11"/>
        <v>210874.62003200001</v>
      </c>
      <c r="W31" s="453">
        <v>12</v>
      </c>
      <c r="X31" s="446">
        <f t="shared" si="12"/>
        <v>17572.885002666699</v>
      </c>
      <c r="Y31" s="446"/>
      <c r="Z31" s="446">
        <f t="shared" si="13"/>
        <v>17572.885002666699</v>
      </c>
      <c r="AA31" s="192">
        <v>17572.885002666699</v>
      </c>
      <c r="AB31" s="192">
        <f t="shared" si="15"/>
        <v>0</v>
      </c>
      <c r="AC31" s="192"/>
      <c r="AD31" s="192"/>
      <c r="AE31" s="192"/>
    </row>
    <row r="32" spans="1:31" ht="18">
      <c r="A32" s="520">
        <v>29</v>
      </c>
      <c r="B32" s="17" t="s">
        <v>292</v>
      </c>
      <c r="C32" s="444">
        <v>173329.04949999999</v>
      </c>
      <c r="D32" s="445">
        <v>12</v>
      </c>
      <c r="E32" s="446">
        <f t="shared" si="14"/>
        <v>2079948.594</v>
      </c>
      <c r="F32" s="446"/>
      <c r="G32" s="446"/>
      <c r="H32" s="446"/>
      <c r="I32" s="446">
        <f t="shared" si="0"/>
        <v>2079948.594</v>
      </c>
      <c r="J32" s="446">
        <v>200000</v>
      </c>
      <c r="K32" s="446">
        <v>0.2</v>
      </c>
      <c r="L32" s="446">
        <f t="shared" si="1"/>
        <v>415989.71879999997</v>
      </c>
      <c r="M32" s="446">
        <f t="shared" si="2"/>
        <v>615989.71880000003</v>
      </c>
      <c r="N32" s="446">
        <f t="shared" si="3"/>
        <v>615989.71880000003</v>
      </c>
      <c r="O32" s="446">
        <f t="shared" si="4"/>
        <v>1463958.8751999999</v>
      </c>
      <c r="P32" s="446">
        <f t="shared" si="5"/>
        <v>21000</v>
      </c>
      <c r="Q32" s="446">
        <f t="shared" si="6"/>
        <v>33000</v>
      </c>
      <c r="R32" s="446">
        <f t="shared" si="7"/>
        <v>75000</v>
      </c>
      <c r="S32" s="446">
        <f t="shared" si="8"/>
        <v>69152.186287999997</v>
      </c>
      <c r="T32" s="446">
        <f t="shared" si="9"/>
        <v>0</v>
      </c>
      <c r="U32" s="446"/>
      <c r="V32" s="446">
        <f t="shared" si="11"/>
        <v>198152.186288</v>
      </c>
      <c r="W32" s="453">
        <v>12</v>
      </c>
      <c r="X32" s="446">
        <f t="shared" si="12"/>
        <v>16512.682190666699</v>
      </c>
      <c r="Y32" s="446"/>
      <c r="Z32" s="446">
        <f t="shared" si="13"/>
        <v>16512.682190666699</v>
      </c>
      <c r="AA32" s="192">
        <v>16512.682190666699</v>
      </c>
      <c r="AB32" s="192">
        <f t="shared" si="15"/>
        <v>0</v>
      </c>
      <c r="AC32" s="192"/>
      <c r="AD32" s="192"/>
      <c r="AE32" s="192"/>
    </row>
    <row r="33" spans="1:31" ht="17.5">
      <c r="A33" s="520">
        <v>31</v>
      </c>
      <c r="B33" s="21"/>
      <c r="C33" s="446"/>
      <c r="D33" s="445"/>
      <c r="E33" s="446"/>
      <c r="F33" s="449"/>
      <c r="G33" s="449"/>
      <c r="H33" s="449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53"/>
      <c r="X33" s="446"/>
      <c r="Y33" s="449"/>
      <c r="Z33" s="446"/>
      <c r="AA33" s="192"/>
      <c r="AB33" s="192">
        <f>SUM(AB6:AB32)</f>
        <v>83964.785464000001</v>
      </c>
      <c r="AC33" s="192"/>
      <c r="AD33" s="192"/>
      <c r="AE33" s="192"/>
    </row>
    <row r="34" spans="1:31" ht="17.5">
      <c r="A34" s="520">
        <v>32</v>
      </c>
      <c r="B34" s="19" t="s">
        <v>35</v>
      </c>
      <c r="C34" s="446"/>
      <c r="D34" s="445"/>
      <c r="E34" s="446"/>
      <c r="F34" s="449"/>
      <c r="G34" s="449"/>
      <c r="H34" s="449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53"/>
      <c r="X34" s="446"/>
      <c r="Y34" s="449"/>
      <c r="Z34" s="446"/>
      <c r="AA34" s="192"/>
      <c r="AB34" s="192"/>
      <c r="AC34" s="192"/>
      <c r="AD34" s="192"/>
      <c r="AE34" s="192"/>
    </row>
    <row r="35" spans="1:31" ht="18">
      <c r="A35" s="520"/>
      <c r="B35" s="17" t="s">
        <v>295</v>
      </c>
      <c r="C35" s="450">
        <v>950209.06350000005</v>
      </c>
      <c r="D35" s="446">
        <v>12</v>
      </c>
      <c r="E35" s="446">
        <f>C35*D35</f>
        <v>11402508.762</v>
      </c>
      <c r="F35" s="446"/>
      <c r="G35" s="446">
        <f>SUM(G5:G34)</f>
        <v>0</v>
      </c>
      <c r="H35" s="446"/>
      <c r="I35" s="446">
        <f>E35-F35-G35-H35</f>
        <v>11402508.762</v>
      </c>
      <c r="J35" s="446">
        <v>200000</v>
      </c>
      <c r="K35" s="446">
        <v>0.2</v>
      </c>
      <c r="L35" s="446">
        <f>I35*K35</f>
        <v>2280501.7524000001</v>
      </c>
      <c r="M35" s="446">
        <f>J35+L35</f>
        <v>2480501.7524000001</v>
      </c>
      <c r="N35" s="446">
        <f>F35+G35+H35+M35</f>
        <v>2480501.7524000001</v>
      </c>
      <c r="O35" s="446">
        <f>E35-N35</f>
        <v>8922007.0096000005</v>
      </c>
      <c r="P35" s="446">
        <f t="shared" si="5"/>
        <v>21000</v>
      </c>
      <c r="Q35" s="446">
        <f t="shared" ref="Q35:Q37" si="29">IF((O35-300000)&lt;0,0,IF((O35-300000)&lt;300000,0.11*(O35-300000),33000))</f>
        <v>33000</v>
      </c>
      <c r="R35" s="446">
        <f t="shared" ref="R35:R37" si="30">IF((O35-600000)&lt;0,0,IF((O35-600000)&lt;500000,0.15*(O35-600000),75000))</f>
        <v>75000</v>
      </c>
      <c r="S35" s="446">
        <f t="shared" ref="S35:S37" si="31">IF((O35-1100000)&lt;0,0,IF((O35-1100000)&lt;500000,0.19*(O35-1100000),95000))</f>
        <v>95000</v>
      </c>
      <c r="T35" s="446">
        <f t="shared" ref="T35:T37" si="32">IF((O35-1600000)&lt;0,0,IF((O35-1600000)&lt;1600000,0.21*(O35-1600000),336000))</f>
        <v>336000</v>
      </c>
      <c r="U35" s="446">
        <f t="shared" si="10"/>
        <v>1373281.682304</v>
      </c>
      <c r="V35" s="446">
        <f>P35+Q35+R35+S35+T35+U35</f>
        <v>1933281.682304</v>
      </c>
      <c r="W35" s="446">
        <v>12</v>
      </c>
      <c r="X35" s="446">
        <f>V35/W35</f>
        <v>161106.806858667</v>
      </c>
      <c r="Y35" s="446"/>
      <c r="Z35" s="446">
        <f>X35</f>
        <v>161106.806858667</v>
      </c>
      <c r="AA35" s="523">
        <v>161106.806858667</v>
      </c>
      <c r="AB35" s="523">
        <f>Z35-AA35</f>
        <v>0</v>
      </c>
      <c r="AC35" s="192"/>
      <c r="AD35" s="192"/>
      <c r="AE35" s="192"/>
    </row>
    <row r="36" spans="1:31" ht="18">
      <c r="A36" s="520"/>
      <c r="B36" s="17" t="s">
        <v>298</v>
      </c>
      <c r="C36" s="446">
        <v>176816.1</v>
      </c>
      <c r="D36" s="445">
        <v>12</v>
      </c>
      <c r="E36" s="446">
        <f t="shared" ref="E36:E37" si="33">C36*D36</f>
        <v>2121793.2000000002</v>
      </c>
      <c r="F36" s="446"/>
      <c r="G36" s="446">
        <f>SUM(G6:G35)</f>
        <v>0</v>
      </c>
      <c r="H36" s="446"/>
      <c r="I36" s="446">
        <f>E36-F36-G36-H36</f>
        <v>2121793.2000000002</v>
      </c>
      <c r="J36" s="446">
        <v>200000</v>
      </c>
      <c r="K36" s="446">
        <v>0.2</v>
      </c>
      <c r="L36" s="446">
        <f>I36*K36</f>
        <v>424358.64</v>
      </c>
      <c r="M36" s="446">
        <f>J36+L36</f>
        <v>624358.64</v>
      </c>
      <c r="N36" s="446">
        <f>F36+G36+H36+M36</f>
        <v>624358.64</v>
      </c>
      <c r="O36" s="446">
        <f>E36-N36</f>
        <v>1497434.56</v>
      </c>
      <c r="P36" s="446">
        <f t="shared" si="5"/>
        <v>21000</v>
      </c>
      <c r="Q36" s="446">
        <f t="shared" si="29"/>
        <v>33000</v>
      </c>
      <c r="R36" s="446">
        <f t="shared" si="30"/>
        <v>75000</v>
      </c>
      <c r="S36" s="446">
        <f t="shared" si="31"/>
        <v>75512.566399999996</v>
      </c>
      <c r="T36" s="446">
        <f t="shared" si="32"/>
        <v>0</v>
      </c>
      <c r="U36" s="446"/>
      <c r="V36" s="446">
        <f>P36+Q36+R36+S36+T36+U36</f>
        <v>204512.56640000001</v>
      </c>
      <c r="W36" s="446">
        <v>12</v>
      </c>
      <c r="X36" s="446">
        <f>V36/W36</f>
        <v>17042.713866666702</v>
      </c>
      <c r="Y36" s="446"/>
      <c r="Z36" s="446">
        <f>X36</f>
        <v>17042.713866666702</v>
      </c>
      <c r="AA36" s="192">
        <v>17042.713866666702</v>
      </c>
      <c r="AB36" s="523">
        <f t="shared" ref="AB36:AB37" si="34">Z36-AA36</f>
        <v>0</v>
      </c>
      <c r="AC36" s="192"/>
      <c r="AD36" s="192"/>
      <c r="AE36" s="192"/>
    </row>
    <row r="37" spans="1:31" ht="18">
      <c r="A37" s="520">
        <v>33</v>
      </c>
      <c r="B37" s="10" t="s">
        <v>300</v>
      </c>
      <c r="C37" s="444">
        <v>233169.11749999999</v>
      </c>
      <c r="D37" s="445">
        <v>12</v>
      </c>
      <c r="E37" s="446">
        <f t="shared" si="33"/>
        <v>2798029.41</v>
      </c>
      <c r="F37" s="446"/>
      <c r="G37" s="446">
        <f>SUM(G7:G36)</f>
        <v>0</v>
      </c>
      <c r="H37" s="446"/>
      <c r="I37" s="446">
        <f>E37-F37-G37-H37</f>
        <v>2798029.41</v>
      </c>
      <c r="J37" s="446">
        <v>200000</v>
      </c>
      <c r="K37" s="446">
        <v>0.2</v>
      </c>
      <c r="L37" s="446">
        <f>I37*K37</f>
        <v>559605.88199999998</v>
      </c>
      <c r="M37" s="446">
        <f>J37+L37</f>
        <v>759605.88199999998</v>
      </c>
      <c r="N37" s="446">
        <f>F37+G37+H37+M37</f>
        <v>759605.88199999998</v>
      </c>
      <c r="O37" s="446">
        <f>E37-N37</f>
        <v>2038423.5279999999</v>
      </c>
      <c r="P37" s="446">
        <f t="shared" si="5"/>
        <v>21000</v>
      </c>
      <c r="Q37" s="446">
        <f t="shared" si="29"/>
        <v>33000</v>
      </c>
      <c r="R37" s="446">
        <f t="shared" si="30"/>
        <v>75000</v>
      </c>
      <c r="S37" s="446">
        <f t="shared" si="31"/>
        <v>95000</v>
      </c>
      <c r="T37" s="446">
        <f t="shared" si="32"/>
        <v>92068.940879999995</v>
      </c>
      <c r="U37" s="446"/>
      <c r="V37" s="446">
        <f>P37+Q37+R37+S37+T37+U37</f>
        <v>316068.94088000001</v>
      </c>
      <c r="W37" s="446">
        <v>12</v>
      </c>
      <c r="X37" s="446">
        <f>V37/W37</f>
        <v>26339.0784066667</v>
      </c>
      <c r="Y37" s="446"/>
      <c r="Z37" s="446">
        <f>X37</f>
        <v>26339.0784066667</v>
      </c>
      <c r="AA37" s="192">
        <v>26339.0784066667</v>
      </c>
      <c r="AB37" s="523">
        <f t="shared" si="34"/>
        <v>0</v>
      </c>
      <c r="AC37" s="192"/>
      <c r="AD37" s="192"/>
      <c r="AE37" s="192"/>
    </row>
    <row r="38" spans="1:31" ht="18">
      <c r="A38" s="520"/>
      <c r="B38" s="13"/>
      <c r="C38" s="446"/>
      <c r="D38" s="445"/>
      <c r="E38" s="446"/>
      <c r="F38" s="449"/>
      <c r="G38" s="449"/>
      <c r="H38" s="449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53"/>
      <c r="X38" s="446"/>
      <c r="Y38" s="449"/>
      <c r="Z38" s="446"/>
      <c r="AA38" s="192"/>
      <c r="AB38" s="192"/>
      <c r="AC38" s="192"/>
      <c r="AD38" s="192"/>
      <c r="AE38" s="192"/>
    </row>
    <row r="39" spans="1:31" ht="17.5">
      <c r="A39" s="520"/>
      <c r="B39" s="22" t="s">
        <v>39</v>
      </c>
      <c r="C39" s="446"/>
      <c r="D39" s="445"/>
      <c r="E39" s="446"/>
      <c r="F39" s="449"/>
      <c r="G39" s="449"/>
      <c r="H39" s="449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53"/>
      <c r="X39" s="446"/>
      <c r="Y39" s="449"/>
      <c r="Z39" s="446"/>
      <c r="AA39" s="192"/>
      <c r="AB39" s="192"/>
      <c r="AC39" s="192"/>
      <c r="AD39" s="192"/>
      <c r="AE39" s="192"/>
    </row>
    <row r="40" spans="1:31" ht="36">
      <c r="A40" s="520">
        <v>35</v>
      </c>
      <c r="B40" s="10" t="s">
        <v>302</v>
      </c>
      <c r="C40" s="444">
        <v>1050209.0634999999</v>
      </c>
      <c r="D40" s="445">
        <v>12</v>
      </c>
      <c r="E40" s="446">
        <f>C40*D40</f>
        <v>12602508.762</v>
      </c>
      <c r="F40" s="446"/>
      <c r="G40" s="446"/>
      <c r="H40" s="446"/>
      <c r="I40" s="446">
        <f>E40-F40-G40-H40</f>
        <v>12602508.762</v>
      </c>
      <c r="J40" s="446">
        <v>200000</v>
      </c>
      <c r="K40" s="446">
        <v>0.2</v>
      </c>
      <c r="L40" s="446">
        <f>I40*K40</f>
        <v>2520501.7524000001</v>
      </c>
      <c r="M40" s="446">
        <f>J40+L40</f>
        <v>2720501.7524000001</v>
      </c>
      <c r="N40" s="446">
        <f>F40+G40+H40+M40</f>
        <v>2720501.7524000001</v>
      </c>
      <c r="O40" s="446">
        <f>E40-N40</f>
        <v>9882007.0096000005</v>
      </c>
      <c r="P40" s="446">
        <f>IF(O40&lt;300000,0.07*O40,21000)</f>
        <v>21000</v>
      </c>
      <c r="Q40" s="446">
        <f>IF((O40-300000)&lt;0,0,IF((O40-300000)&lt;300000,0.11*(O40-300000),33000))</f>
        <v>33000</v>
      </c>
      <c r="R40" s="446">
        <f>IF((O40-600000)&lt;0,0,IF((O40-600000)&lt;500000,0.15*(O40-600000),75000))</f>
        <v>75000</v>
      </c>
      <c r="S40" s="446">
        <f>IF((O40-1100000)&lt;0,0,IF((O40-1100000)&lt;500000,0.19*(O40-1100000),95000))</f>
        <v>95000</v>
      </c>
      <c r="T40" s="446">
        <f>IF((O40-1600000)&lt;0,0,IF((O40-1600000)&lt;1600000,0.21*(O40-1600000),336000))</f>
        <v>336000</v>
      </c>
      <c r="U40" s="446">
        <f>0.24*(O40-3200000)</f>
        <v>1603681.682304</v>
      </c>
      <c r="V40" s="446">
        <f>P40+Q40+R40+S40+T40+U40</f>
        <v>2163681.682304</v>
      </c>
      <c r="W40" s="453">
        <v>12</v>
      </c>
      <c r="X40" s="446">
        <f>V40/W40</f>
        <v>180306.806858667</v>
      </c>
      <c r="Y40" s="446"/>
      <c r="Z40" s="446">
        <f>X40</f>
        <v>180306.806858667</v>
      </c>
      <c r="AA40" s="192">
        <v>180306.806858667</v>
      </c>
      <c r="AB40" s="192">
        <f>Z40-AA40</f>
        <v>0</v>
      </c>
      <c r="AC40" s="192"/>
      <c r="AD40" s="192"/>
      <c r="AE40" s="192"/>
    </row>
    <row r="41" spans="1:31" ht="18">
      <c r="A41" s="520">
        <v>36</v>
      </c>
      <c r="B41" s="10" t="s">
        <v>304</v>
      </c>
      <c r="C41" s="446">
        <v>527553.50249999994</v>
      </c>
      <c r="D41" s="445">
        <v>12</v>
      </c>
      <c r="E41" s="446">
        <f t="shared" ref="E41:E50" si="35">C41*D41</f>
        <v>6330642.0300000003</v>
      </c>
      <c r="F41" s="449"/>
      <c r="G41" s="449"/>
      <c r="H41" s="449"/>
      <c r="I41" s="446">
        <f t="shared" si="0"/>
        <v>6330642.0300000003</v>
      </c>
      <c r="J41" s="446">
        <v>200000</v>
      </c>
      <c r="K41" s="446">
        <v>0.2</v>
      </c>
      <c r="L41" s="446">
        <f t="shared" si="1"/>
        <v>1266128.406</v>
      </c>
      <c r="M41" s="446">
        <f t="shared" si="2"/>
        <v>1466128.406</v>
      </c>
      <c r="N41" s="446">
        <f t="shared" si="3"/>
        <v>1466128.406</v>
      </c>
      <c r="O41" s="446">
        <f t="shared" si="4"/>
        <v>4864513.6239999998</v>
      </c>
      <c r="P41" s="446">
        <f t="shared" si="5"/>
        <v>21000</v>
      </c>
      <c r="Q41" s="446">
        <f t="shared" si="6"/>
        <v>33000</v>
      </c>
      <c r="R41" s="446">
        <f t="shared" si="7"/>
        <v>75000</v>
      </c>
      <c r="S41" s="446">
        <f t="shared" si="8"/>
        <v>95000</v>
      </c>
      <c r="T41" s="446">
        <f t="shared" si="9"/>
        <v>336000</v>
      </c>
      <c r="U41" s="446">
        <f t="shared" si="10"/>
        <v>399483.26976</v>
      </c>
      <c r="V41" s="446">
        <f t="shared" si="11"/>
        <v>959483.26976000005</v>
      </c>
      <c r="W41" s="453">
        <v>12</v>
      </c>
      <c r="X41" s="446">
        <f t="shared" si="12"/>
        <v>79956.9391466667</v>
      </c>
      <c r="Y41" s="449"/>
      <c r="Z41" s="446">
        <f t="shared" si="13"/>
        <v>79956.9391466667</v>
      </c>
      <c r="AA41" s="192">
        <v>79956.9391466667</v>
      </c>
      <c r="AB41" s="192">
        <f t="shared" ref="AB41:AB50" si="36">Z41-AA41</f>
        <v>0</v>
      </c>
      <c r="AC41" s="192"/>
      <c r="AD41" s="192"/>
      <c r="AE41" s="192"/>
    </row>
    <row r="42" spans="1:31" ht="18">
      <c r="A42" s="520">
        <v>37</v>
      </c>
      <c r="B42" s="10" t="s">
        <v>306</v>
      </c>
      <c r="C42" s="446">
        <v>617743.99575</v>
      </c>
      <c r="D42" s="445">
        <v>12</v>
      </c>
      <c r="E42" s="446">
        <f t="shared" si="35"/>
        <v>7412927.949</v>
      </c>
      <c r="F42" s="449"/>
      <c r="G42" s="449"/>
      <c r="H42" s="449"/>
      <c r="I42" s="446">
        <f t="shared" si="0"/>
        <v>7412927.949</v>
      </c>
      <c r="J42" s="446">
        <v>200000</v>
      </c>
      <c r="K42" s="446">
        <v>0.2</v>
      </c>
      <c r="L42" s="446">
        <f t="shared" si="1"/>
        <v>1482585.5898</v>
      </c>
      <c r="M42" s="446">
        <f t="shared" si="2"/>
        <v>1682585.5898</v>
      </c>
      <c r="N42" s="446">
        <f t="shared" si="3"/>
        <v>1682585.5898</v>
      </c>
      <c r="O42" s="446">
        <f t="shared" si="4"/>
        <v>5730342.3591999998</v>
      </c>
      <c r="P42" s="446">
        <f t="shared" si="5"/>
        <v>21000</v>
      </c>
      <c r="Q42" s="446">
        <f t="shared" si="6"/>
        <v>33000</v>
      </c>
      <c r="R42" s="446">
        <f t="shared" si="7"/>
        <v>75000</v>
      </c>
      <c r="S42" s="446">
        <f t="shared" si="8"/>
        <v>95000</v>
      </c>
      <c r="T42" s="446">
        <f t="shared" si="9"/>
        <v>336000</v>
      </c>
      <c r="U42" s="446">
        <f t="shared" si="10"/>
        <v>607282.16620800004</v>
      </c>
      <c r="V42" s="446">
        <f t="shared" si="11"/>
        <v>1167282.1662079999</v>
      </c>
      <c r="W42" s="453">
        <v>12</v>
      </c>
      <c r="X42" s="446">
        <f t="shared" si="12"/>
        <v>97273.513850666699</v>
      </c>
      <c r="Y42" s="449"/>
      <c r="Z42" s="446">
        <f t="shared" si="13"/>
        <v>97273.513850666699</v>
      </c>
      <c r="AA42" s="192">
        <v>97273.513850666699</v>
      </c>
      <c r="AB42" s="192">
        <f t="shared" si="36"/>
        <v>0</v>
      </c>
      <c r="AC42" s="192"/>
      <c r="AD42" s="192"/>
      <c r="AE42" s="192"/>
    </row>
    <row r="43" spans="1:31" ht="18">
      <c r="A43" s="520">
        <v>38</v>
      </c>
      <c r="B43" s="10" t="s">
        <v>309</v>
      </c>
      <c r="C43" s="446">
        <v>527553.50249999994</v>
      </c>
      <c r="D43" s="445">
        <v>12</v>
      </c>
      <c r="E43" s="446">
        <f t="shared" si="35"/>
        <v>6330642.0300000003</v>
      </c>
      <c r="F43" s="449"/>
      <c r="G43" s="449"/>
      <c r="H43" s="449"/>
      <c r="I43" s="446">
        <f t="shared" si="0"/>
        <v>6330642.0300000003</v>
      </c>
      <c r="J43" s="446">
        <v>200000</v>
      </c>
      <c r="K43" s="446">
        <v>0.2</v>
      </c>
      <c r="L43" s="446">
        <f t="shared" si="1"/>
        <v>1266128.406</v>
      </c>
      <c r="M43" s="446">
        <f t="shared" si="2"/>
        <v>1466128.406</v>
      </c>
      <c r="N43" s="446">
        <f t="shared" si="3"/>
        <v>1466128.406</v>
      </c>
      <c r="O43" s="446">
        <f t="shared" si="4"/>
        <v>4864513.6239999998</v>
      </c>
      <c r="P43" s="446">
        <f t="shared" si="5"/>
        <v>21000</v>
      </c>
      <c r="Q43" s="446">
        <f t="shared" si="6"/>
        <v>33000</v>
      </c>
      <c r="R43" s="446">
        <f t="shared" si="7"/>
        <v>75000</v>
      </c>
      <c r="S43" s="446">
        <f t="shared" si="8"/>
        <v>95000</v>
      </c>
      <c r="T43" s="446">
        <f t="shared" si="9"/>
        <v>336000</v>
      </c>
      <c r="U43" s="446">
        <f t="shared" si="10"/>
        <v>399483.26976</v>
      </c>
      <c r="V43" s="446">
        <f t="shared" si="11"/>
        <v>959483.26976000005</v>
      </c>
      <c r="W43" s="453">
        <v>12</v>
      </c>
      <c r="X43" s="446">
        <f t="shared" si="12"/>
        <v>79956.9391466667</v>
      </c>
      <c r="Y43" s="449"/>
      <c r="Z43" s="446">
        <f t="shared" si="13"/>
        <v>79956.9391466667</v>
      </c>
      <c r="AA43" s="192">
        <v>79956.9391466667</v>
      </c>
      <c r="AB43" s="192">
        <f t="shared" si="36"/>
        <v>0</v>
      </c>
      <c r="AC43" s="192"/>
      <c r="AD43" s="192"/>
      <c r="AE43" s="192"/>
    </row>
    <row r="44" spans="1:31" ht="18">
      <c r="A44" s="520">
        <v>39</v>
      </c>
      <c r="B44" s="10" t="s">
        <v>311</v>
      </c>
      <c r="C44" s="446">
        <v>527553.50249999994</v>
      </c>
      <c r="D44" s="445">
        <v>12</v>
      </c>
      <c r="E44" s="446">
        <f t="shared" si="35"/>
        <v>6330642.0300000003</v>
      </c>
      <c r="F44" s="449">
        <f>'[5]JANUARY 2024'!$V$47*12</f>
        <v>10052.25</v>
      </c>
      <c r="G44" s="449"/>
      <c r="H44" s="449"/>
      <c r="I44" s="446">
        <f t="shared" si="0"/>
        <v>6320589.7800000003</v>
      </c>
      <c r="J44" s="446">
        <v>200000</v>
      </c>
      <c r="K44" s="446">
        <v>0.2</v>
      </c>
      <c r="L44" s="446">
        <f t="shared" si="1"/>
        <v>1264117.956</v>
      </c>
      <c r="M44" s="446">
        <f t="shared" si="2"/>
        <v>1464117.956</v>
      </c>
      <c r="N44" s="446">
        <f t="shared" si="3"/>
        <v>1474170.206</v>
      </c>
      <c r="O44" s="446">
        <f t="shared" si="4"/>
        <v>4856471.824</v>
      </c>
      <c r="P44" s="446">
        <f t="shared" si="5"/>
        <v>21000</v>
      </c>
      <c r="Q44" s="446">
        <f t="shared" si="6"/>
        <v>33000</v>
      </c>
      <c r="R44" s="446">
        <f t="shared" si="7"/>
        <v>75000</v>
      </c>
      <c r="S44" s="446">
        <f t="shared" si="8"/>
        <v>95000</v>
      </c>
      <c r="T44" s="446">
        <f t="shared" si="9"/>
        <v>336000</v>
      </c>
      <c r="U44" s="446">
        <f t="shared" si="10"/>
        <v>397553.23775999999</v>
      </c>
      <c r="V44" s="446">
        <f t="shared" si="11"/>
        <v>957553.23776000005</v>
      </c>
      <c r="W44" s="453">
        <v>12</v>
      </c>
      <c r="X44" s="446">
        <f t="shared" si="12"/>
        <v>79796.103146666603</v>
      </c>
      <c r="Y44" s="449"/>
      <c r="Z44" s="446">
        <f t="shared" si="13"/>
        <v>79796.103146666603</v>
      </c>
      <c r="AA44" s="192">
        <v>79796.103146666603</v>
      </c>
      <c r="AB44" s="192">
        <f t="shared" si="36"/>
        <v>0</v>
      </c>
      <c r="AC44" s="192"/>
      <c r="AD44" s="192"/>
      <c r="AE44" s="192"/>
    </row>
    <row r="45" spans="1:31" ht="18">
      <c r="A45" s="520">
        <v>40</v>
      </c>
      <c r="B45" s="10" t="s">
        <v>312</v>
      </c>
      <c r="C45" s="446">
        <v>504720.04700000002</v>
      </c>
      <c r="D45" s="445">
        <v>12</v>
      </c>
      <c r="E45" s="446">
        <f t="shared" si="35"/>
        <v>6056640.5640000002</v>
      </c>
      <c r="F45" s="446"/>
      <c r="G45" s="449"/>
      <c r="H45" s="449"/>
      <c r="I45" s="446">
        <f t="shared" si="0"/>
        <v>6056640.5640000002</v>
      </c>
      <c r="J45" s="446">
        <v>200000</v>
      </c>
      <c r="K45" s="446">
        <v>0.2</v>
      </c>
      <c r="L45" s="446">
        <f t="shared" si="1"/>
        <v>1211328.1128</v>
      </c>
      <c r="M45" s="446">
        <f t="shared" si="2"/>
        <v>1411328.1128</v>
      </c>
      <c r="N45" s="446">
        <f t="shared" si="3"/>
        <v>1411328.1128</v>
      </c>
      <c r="O45" s="446">
        <f t="shared" si="4"/>
        <v>4645312.4512</v>
      </c>
      <c r="P45" s="446">
        <f t="shared" si="5"/>
        <v>21000</v>
      </c>
      <c r="Q45" s="446">
        <f t="shared" si="6"/>
        <v>33000</v>
      </c>
      <c r="R45" s="446">
        <f t="shared" si="7"/>
        <v>75000</v>
      </c>
      <c r="S45" s="446">
        <f t="shared" si="8"/>
        <v>95000</v>
      </c>
      <c r="T45" s="446">
        <f t="shared" si="9"/>
        <v>336000</v>
      </c>
      <c r="U45" s="446">
        <f t="shared" si="10"/>
        <v>346874.98828799999</v>
      </c>
      <c r="V45" s="446">
        <f t="shared" si="11"/>
        <v>906874.98828799999</v>
      </c>
      <c r="W45" s="453">
        <v>12</v>
      </c>
      <c r="X45" s="446">
        <f t="shared" si="12"/>
        <v>75572.915690666705</v>
      </c>
      <c r="Y45" s="449"/>
      <c r="Z45" s="446">
        <f t="shared" si="13"/>
        <v>75572.915690666705</v>
      </c>
      <c r="AA45" s="192">
        <v>75572.915690666705</v>
      </c>
      <c r="AB45" s="192">
        <f t="shared" si="36"/>
        <v>0</v>
      </c>
      <c r="AC45" s="192"/>
      <c r="AD45" s="192"/>
      <c r="AE45" s="192"/>
    </row>
    <row r="46" spans="1:31" ht="18">
      <c r="A46" s="520">
        <v>41</v>
      </c>
      <c r="B46" s="13" t="s">
        <v>313</v>
      </c>
      <c r="C46" s="446">
        <v>413333.03525000002</v>
      </c>
      <c r="D46" s="445">
        <v>12</v>
      </c>
      <c r="E46" s="446">
        <f t="shared" si="35"/>
        <v>4959996.4230000004</v>
      </c>
      <c r="F46" s="446"/>
      <c r="G46" s="449"/>
      <c r="H46" s="449"/>
      <c r="I46" s="446">
        <f t="shared" si="0"/>
        <v>4959996.4230000004</v>
      </c>
      <c r="J46" s="446">
        <v>200000</v>
      </c>
      <c r="K46" s="446">
        <v>0.2</v>
      </c>
      <c r="L46" s="446">
        <f t="shared" si="1"/>
        <v>991999.28460000001</v>
      </c>
      <c r="M46" s="446">
        <f t="shared" si="2"/>
        <v>1191999.2845999999</v>
      </c>
      <c r="N46" s="446">
        <f t="shared" si="3"/>
        <v>1191999.2845999999</v>
      </c>
      <c r="O46" s="446">
        <f t="shared" si="4"/>
        <v>3767997.1384000001</v>
      </c>
      <c r="P46" s="446">
        <f t="shared" si="5"/>
        <v>21000</v>
      </c>
      <c r="Q46" s="446">
        <f t="shared" si="6"/>
        <v>33000</v>
      </c>
      <c r="R46" s="446">
        <f t="shared" si="7"/>
        <v>75000</v>
      </c>
      <c r="S46" s="446">
        <f t="shared" si="8"/>
        <v>95000</v>
      </c>
      <c r="T46" s="446">
        <f t="shared" si="9"/>
        <v>336000</v>
      </c>
      <c r="U46" s="446">
        <f t="shared" si="10"/>
        <v>136319.31321600001</v>
      </c>
      <c r="V46" s="446">
        <f t="shared" si="11"/>
        <v>696319.31321599998</v>
      </c>
      <c r="W46" s="453">
        <v>12</v>
      </c>
      <c r="X46" s="446">
        <f t="shared" si="12"/>
        <v>58026.609434666701</v>
      </c>
      <c r="Y46" s="449"/>
      <c r="Z46" s="446">
        <f t="shared" si="13"/>
        <v>58026.609434666701</v>
      </c>
      <c r="AA46" s="192">
        <v>58026.609434666701</v>
      </c>
      <c r="AB46" s="192">
        <f t="shared" si="36"/>
        <v>0</v>
      </c>
      <c r="AC46" s="192"/>
      <c r="AD46" s="192"/>
      <c r="AE46" s="192"/>
    </row>
    <row r="47" spans="1:31" ht="18">
      <c r="A47" s="520">
        <v>42</v>
      </c>
      <c r="B47" s="10" t="s">
        <v>314</v>
      </c>
      <c r="C47" s="446">
        <v>273169.11749999999</v>
      </c>
      <c r="D47" s="445">
        <v>12</v>
      </c>
      <c r="E47" s="446">
        <f t="shared" si="35"/>
        <v>3278029.41</v>
      </c>
      <c r="F47" s="446"/>
      <c r="G47" s="449"/>
      <c r="H47" s="449"/>
      <c r="I47" s="446">
        <f t="shared" si="0"/>
        <v>3278029.41</v>
      </c>
      <c r="J47" s="446">
        <v>200000</v>
      </c>
      <c r="K47" s="446">
        <v>0.2</v>
      </c>
      <c r="L47" s="446">
        <f t="shared" si="1"/>
        <v>655605.88199999998</v>
      </c>
      <c r="M47" s="446">
        <f t="shared" si="2"/>
        <v>855605.88199999998</v>
      </c>
      <c r="N47" s="446">
        <f t="shared" si="3"/>
        <v>855605.88199999998</v>
      </c>
      <c r="O47" s="446">
        <f t="shared" si="4"/>
        <v>2422423.5279999999</v>
      </c>
      <c r="P47" s="446">
        <f t="shared" si="5"/>
        <v>21000</v>
      </c>
      <c r="Q47" s="446">
        <f t="shared" si="6"/>
        <v>33000</v>
      </c>
      <c r="R47" s="446">
        <f t="shared" si="7"/>
        <v>75000</v>
      </c>
      <c r="S47" s="446">
        <f t="shared" si="8"/>
        <v>95000</v>
      </c>
      <c r="T47" s="446">
        <f t="shared" si="9"/>
        <v>172708.94088000001</v>
      </c>
      <c r="U47" s="446"/>
      <c r="V47" s="446">
        <f t="shared" si="11"/>
        <v>396708.94088000001</v>
      </c>
      <c r="W47" s="453">
        <v>12</v>
      </c>
      <c r="X47" s="446">
        <f t="shared" si="12"/>
        <v>33059.078406666697</v>
      </c>
      <c r="Y47" s="449"/>
      <c r="Z47" s="446">
        <f t="shared" si="13"/>
        <v>33059.078406666697</v>
      </c>
      <c r="AA47" s="192">
        <v>33059.078406666697</v>
      </c>
      <c r="AB47" s="192">
        <f t="shared" si="36"/>
        <v>0</v>
      </c>
      <c r="AC47" s="192"/>
      <c r="AD47" s="192"/>
      <c r="AE47" s="192"/>
    </row>
    <row r="48" spans="1:31" s="516" customFormat="1" ht="18">
      <c r="A48" s="524">
        <v>43</v>
      </c>
      <c r="B48" s="10" t="s">
        <v>315</v>
      </c>
      <c r="C48" s="446">
        <v>249356.04725</v>
      </c>
      <c r="D48" s="445">
        <v>12</v>
      </c>
      <c r="E48" s="446">
        <f t="shared" si="35"/>
        <v>2992272.5669999998</v>
      </c>
      <c r="F48" s="446"/>
      <c r="G48" s="449"/>
      <c r="H48" s="449"/>
      <c r="I48" s="446">
        <f t="shared" si="0"/>
        <v>2992272.5669999998</v>
      </c>
      <c r="J48" s="446">
        <v>200000</v>
      </c>
      <c r="K48" s="446">
        <v>0.2</v>
      </c>
      <c r="L48" s="446">
        <f t="shared" si="1"/>
        <v>598454.51340000005</v>
      </c>
      <c r="M48" s="446">
        <f t="shared" si="2"/>
        <v>798454.51340000005</v>
      </c>
      <c r="N48" s="446">
        <f t="shared" si="3"/>
        <v>798454.51340000005</v>
      </c>
      <c r="O48" s="446">
        <f t="shared" si="4"/>
        <v>2193818.0536000002</v>
      </c>
      <c r="P48" s="446">
        <f t="shared" si="5"/>
        <v>21000</v>
      </c>
      <c r="Q48" s="446">
        <f t="shared" si="6"/>
        <v>33000</v>
      </c>
      <c r="R48" s="446">
        <f t="shared" si="7"/>
        <v>75000</v>
      </c>
      <c r="S48" s="446">
        <f t="shared" si="8"/>
        <v>95000</v>
      </c>
      <c r="T48" s="446">
        <f t="shared" si="9"/>
        <v>124701.791256</v>
      </c>
      <c r="U48" s="446"/>
      <c r="V48" s="446">
        <f t="shared" si="11"/>
        <v>348701.791256</v>
      </c>
      <c r="W48" s="453">
        <v>12</v>
      </c>
      <c r="X48" s="446">
        <f t="shared" si="12"/>
        <v>29058.4826046667</v>
      </c>
      <c r="Y48" s="449"/>
      <c r="Z48" s="446">
        <f t="shared" si="13"/>
        <v>29058.4826046667</v>
      </c>
      <c r="AA48" s="533">
        <v>29058.4826046667</v>
      </c>
      <c r="AB48" s="192">
        <f t="shared" si="36"/>
        <v>0</v>
      </c>
      <c r="AC48" s="533"/>
      <c r="AD48" s="533"/>
      <c r="AE48" s="533"/>
    </row>
    <row r="49" spans="1:31" ht="18">
      <c r="A49" s="520">
        <v>44</v>
      </c>
      <c r="B49" s="10" t="s">
        <v>316</v>
      </c>
      <c r="C49" s="446">
        <v>249356.04725</v>
      </c>
      <c r="D49" s="445">
        <v>12</v>
      </c>
      <c r="E49" s="446">
        <f t="shared" si="35"/>
        <v>2992272.5669999998</v>
      </c>
      <c r="F49" s="446"/>
      <c r="G49" s="449"/>
      <c r="H49" s="449"/>
      <c r="I49" s="446">
        <f t="shared" si="0"/>
        <v>2992272.5669999998</v>
      </c>
      <c r="J49" s="446">
        <v>200000</v>
      </c>
      <c r="K49" s="446">
        <v>0.2</v>
      </c>
      <c r="L49" s="446">
        <f t="shared" si="1"/>
        <v>598454.51340000005</v>
      </c>
      <c r="M49" s="446">
        <f t="shared" si="2"/>
        <v>798454.51340000005</v>
      </c>
      <c r="N49" s="446">
        <f t="shared" si="3"/>
        <v>798454.51340000005</v>
      </c>
      <c r="O49" s="446">
        <f t="shared" si="4"/>
        <v>2193818.0536000002</v>
      </c>
      <c r="P49" s="446">
        <f t="shared" si="5"/>
        <v>21000</v>
      </c>
      <c r="Q49" s="446">
        <f t="shared" si="6"/>
        <v>33000</v>
      </c>
      <c r="R49" s="446">
        <f t="shared" si="7"/>
        <v>75000</v>
      </c>
      <c r="S49" s="446">
        <f t="shared" si="8"/>
        <v>95000</v>
      </c>
      <c r="T49" s="446">
        <f t="shared" si="9"/>
        <v>124701.791256</v>
      </c>
      <c r="U49" s="446"/>
      <c r="V49" s="446">
        <f t="shared" si="11"/>
        <v>348701.791256</v>
      </c>
      <c r="W49" s="453">
        <v>12</v>
      </c>
      <c r="X49" s="446">
        <v>28360.952862666702</v>
      </c>
      <c r="Y49" s="449"/>
      <c r="Z49" s="446">
        <f t="shared" si="13"/>
        <v>28360.952862666702</v>
      </c>
      <c r="AA49" s="192">
        <v>28360.952862666702</v>
      </c>
      <c r="AB49" s="192">
        <f t="shared" si="36"/>
        <v>0</v>
      </c>
      <c r="AC49" s="192"/>
      <c r="AD49" s="192"/>
      <c r="AE49" s="192"/>
    </row>
    <row r="50" spans="1:31" ht="18">
      <c r="A50" s="520">
        <v>45</v>
      </c>
      <c r="B50" s="10" t="s">
        <v>317</v>
      </c>
      <c r="C50" s="446">
        <v>249356.04725</v>
      </c>
      <c r="D50" s="445">
        <v>12</v>
      </c>
      <c r="E50" s="446">
        <f t="shared" si="35"/>
        <v>2992272.5669999998</v>
      </c>
      <c r="F50" s="446"/>
      <c r="G50" s="449"/>
      <c r="H50" s="449"/>
      <c r="I50" s="446">
        <f t="shared" si="0"/>
        <v>2992272.5669999998</v>
      </c>
      <c r="J50" s="446">
        <v>200000</v>
      </c>
      <c r="K50" s="446">
        <v>0.2</v>
      </c>
      <c r="L50" s="446">
        <f t="shared" si="1"/>
        <v>598454.51340000005</v>
      </c>
      <c r="M50" s="446">
        <f t="shared" si="2"/>
        <v>798454.51340000005</v>
      </c>
      <c r="N50" s="446">
        <f t="shared" si="3"/>
        <v>798454.51340000005</v>
      </c>
      <c r="O50" s="446">
        <f t="shared" si="4"/>
        <v>2193818.0536000002</v>
      </c>
      <c r="P50" s="446">
        <f t="shared" si="5"/>
        <v>21000</v>
      </c>
      <c r="Q50" s="446">
        <f t="shared" si="6"/>
        <v>33000</v>
      </c>
      <c r="R50" s="446">
        <f t="shared" si="7"/>
        <v>75000</v>
      </c>
      <c r="S50" s="446">
        <f t="shared" si="8"/>
        <v>95000</v>
      </c>
      <c r="T50" s="446">
        <f t="shared" si="9"/>
        <v>124701.791256</v>
      </c>
      <c r="U50" s="446"/>
      <c r="V50" s="446">
        <f t="shared" si="11"/>
        <v>348701.791256</v>
      </c>
      <c r="W50" s="453">
        <v>12</v>
      </c>
      <c r="X50" s="446">
        <f t="shared" si="12"/>
        <v>29058.4826046667</v>
      </c>
      <c r="Y50" s="449"/>
      <c r="Z50" s="446">
        <f t="shared" si="13"/>
        <v>29058.4826046667</v>
      </c>
      <c r="AA50" s="192">
        <v>29058.4826046667</v>
      </c>
      <c r="AB50" s="192">
        <f t="shared" si="36"/>
        <v>0</v>
      </c>
      <c r="AC50" s="192"/>
      <c r="AD50" s="192"/>
      <c r="AE50" s="192"/>
    </row>
    <row r="51" spans="1:31" ht="17.5">
      <c r="A51" s="520"/>
      <c r="B51" s="21"/>
      <c r="C51" s="446"/>
      <c r="D51" s="445"/>
      <c r="E51" s="446"/>
      <c r="F51" s="446"/>
      <c r="G51" s="449"/>
      <c r="H51" s="449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53"/>
      <c r="X51" s="446"/>
      <c r="Y51" s="449"/>
      <c r="Z51" s="446"/>
      <c r="AA51" s="192"/>
      <c r="AB51" s="192"/>
      <c r="AC51" s="192"/>
      <c r="AD51" s="192"/>
      <c r="AE51" s="192"/>
    </row>
    <row r="52" spans="1:31" ht="17.5">
      <c r="A52" s="520"/>
      <c r="B52" s="19" t="s">
        <v>318</v>
      </c>
      <c r="C52" s="446"/>
      <c r="D52" s="445"/>
      <c r="E52" s="446"/>
      <c r="F52" s="446"/>
      <c r="G52" s="449"/>
      <c r="H52" s="449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53"/>
      <c r="X52" s="446"/>
      <c r="Y52" s="449"/>
      <c r="Z52" s="446"/>
      <c r="AA52" s="192"/>
      <c r="AB52" s="192"/>
      <c r="AC52" s="192"/>
      <c r="AD52" s="192"/>
      <c r="AE52" s="192"/>
    </row>
    <row r="53" spans="1:31" ht="18">
      <c r="A53" s="520">
        <v>47</v>
      </c>
      <c r="B53" s="10" t="s">
        <v>319</v>
      </c>
      <c r="C53" s="446">
        <v>1050209.0634999999</v>
      </c>
      <c r="D53" s="445">
        <v>12</v>
      </c>
      <c r="E53" s="446">
        <f>C53*D53</f>
        <v>12602508.762</v>
      </c>
      <c r="F53" s="446"/>
      <c r="G53" s="449"/>
      <c r="H53" s="449"/>
      <c r="I53" s="446">
        <f t="shared" si="0"/>
        <v>12602508.762</v>
      </c>
      <c r="J53" s="446">
        <v>200000</v>
      </c>
      <c r="K53" s="446">
        <v>0.2</v>
      </c>
      <c r="L53" s="446">
        <f t="shared" si="1"/>
        <v>2520501.7524000001</v>
      </c>
      <c r="M53" s="446">
        <f t="shared" si="2"/>
        <v>2720501.7524000001</v>
      </c>
      <c r="N53" s="446">
        <f t="shared" si="3"/>
        <v>2720501.7524000001</v>
      </c>
      <c r="O53" s="446">
        <f t="shared" si="4"/>
        <v>9882007.0096000005</v>
      </c>
      <c r="P53" s="446">
        <f t="shared" si="5"/>
        <v>21000</v>
      </c>
      <c r="Q53" s="446">
        <f t="shared" si="6"/>
        <v>33000</v>
      </c>
      <c r="R53" s="446">
        <f t="shared" si="7"/>
        <v>75000</v>
      </c>
      <c r="S53" s="446">
        <f t="shared" si="8"/>
        <v>95000</v>
      </c>
      <c r="T53" s="446">
        <f t="shared" si="9"/>
        <v>336000</v>
      </c>
      <c r="U53" s="446">
        <f t="shared" si="10"/>
        <v>1603681.682304</v>
      </c>
      <c r="V53" s="446">
        <f t="shared" si="11"/>
        <v>2163681.682304</v>
      </c>
      <c r="W53" s="453">
        <v>12</v>
      </c>
      <c r="X53" s="446">
        <f t="shared" si="12"/>
        <v>180306.806858667</v>
      </c>
      <c r="Y53" s="449"/>
      <c r="Z53" s="446">
        <f t="shared" si="13"/>
        <v>180306.806858667</v>
      </c>
      <c r="AA53" s="192">
        <v>180306.806858667</v>
      </c>
      <c r="AB53" s="192">
        <f>Z53-AA53</f>
        <v>0</v>
      </c>
      <c r="AC53" s="192"/>
      <c r="AD53" s="192"/>
      <c r="AE53" s="192"/>
    </row>
    <row r="54" spans="1:31" ht="18">
      <c r="A54" s="520">
        <v>48</v>
      </c>
      <c r="B54" s="10" t="s">
        <v>321</v>
      </c>
      <c r="C54" s="446">
        <v>447553.5025</v>
      </c>
      <c r="D54" s="445">
        <v>12</v>
      </c>
      <c r="E54" s="446">
        <f>C54*D54</f>
        <v>5370642.0300000003</v>
      </c>
      <c r="F54" s="446"/>
      <c r="G54" s="449"/>
      <c r="H54" s="449"/>
      <c r="I54" s="446">
        <f t="shared" si="0"/>
        <v>5370642.0300000003</v>
      </c>
      <c r="J54" s="446">
        <v>200000</v>
      </c>
      <c r="K54" s="446">
        <v>0.2</v>
      </c>
      <c r="L54" s="446">
        <f t="shared" si="1"/>
        <v>1074128.406</v>
      </c>
      <c r="M54" s="446">
        <f t="shared" si="2"/>
        <v>1274128.406</v>
      </c>
      <c r="N54" s="446">
        <f t="shared" si="3"/>
        <v>1274128.406</v>
      </c>
      <c r="O54" s="446">
        <f t="shared" si="4"/>
        <v>4096513.6239999998</v>
      </c>
      <c r="P54" s="446">
        <f t="shared" si="5"/>
        <v>21000</v>
      </c>
      <c r="Q54" s="446">
        <f t="shared" si="6"/>
        <v>33000</v>
      </c>
      <c r="R54" s="446">
        <f t="shared" si="7"/>
        <v>75000</v>
      </c>
      <c r="S54" s="446">
        <f t="shared" si="8"/>
        <v>95000</v>
      </c>
      <c r="T54" s="446">
        <f t="shared" si="9"/>
        <v>336000</v>
      </c>
      <c r="U54" s="446">
        <f t="shared" si="10"/>
        <v>215163.26976</v>
      </c>
      <c r="V54" s="446">
        <f t="shared" si="11"/>
        <v>775163.26976000005</v>
      </c>
      <c r="W54" s="453">
        <v>12</v>
      </c>
      <c r="X54" s="446">
        <f t="shared" si="12"/>
        <v>64596.9391466667</v>
      </c>
      <c r="Y54" s="449"/>
      <c r="Z54" s="446">
        <f t="shared" si="13"/>
        <v>64596.9391466667</v>
      </c>
      <c r="AA54" s="192">
        <v>64596.9391466667</v>
      </c>
      <c r="AB54" s="192">
        <f>Z54-AA54</f>
        <v>0</v>
      </c>
      <c r="AC54" s="192"/>
      <c r="AD54" s="192"/>
      <c r="AE54" s="192"/>
    </row>
    <row r="55" spans="1:31" ht="17.5">
      <c r="A55" s="520"/>
      <c r="B55" s="19"/>
      <c r="C55" s="446"/>
      <c r="D55" s="445"/>
      <c r="E55" s="446"/>
      <c r="F55" s="446"/>
      <c r="G55" s="449"/>
      <c r="H55" s="449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53"/>
      <c r="X55" s="446"/>
      <c r="Y55" s="449"/>
      <c r="Z55" s="446"/>
      <c r="AA55" s="192"/>
      <c r="AB55" s="192"/>
      <c r="AC55" s="192"/>
      <c r="AD55" s="192"/>
      <c r="AE55" s="192"/>
    </row>
    <row r="56" spans="1:31" ht="35">
      <c r="A56" s="520">
        <v>49</v>
      </c>
      <c r="B56" s="19" t="s">
        <v>45</v>
      </c>
      <c r="C56" s="446"/>
      <c r="D56" s="445"/>
      <c r="E56" s="446"/>
      <c r="F56" s="446"/>
      <c r="G56" s="449"/>
      <c r="H56" s="449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53"/>
      <c r="X56" s="446"/>
      <c r="Y56" s="449"/>
      <c r="Z56" s="446"/>
      <c r="AA56" s="192"/>
      <c r="AB56" s="192"/>
      <c r="AC56" s="192"/>
      <c r="AD56" s="192"/>
      <c r="AE56" s="192"/>
    </row>
    <row r="57" spans="1:31" ht="18">
      <c r="A57" s="520">
        <v>50</v>
      </c>
      <c r="B57" s="10" t="s">
        <v>323</v>
      </c>
      <c r="C57" s="446">
        <v>1050209.0634999999</v>
      </c>
      <c r="D57" s="445">
        <v>12</v>
      </c>
      <c r="E57" s="446">
        <f>C57*D57</f>
        <v>12602508.762</v>
      </c>
      <c r="F57" s="446"/>
      <c r="G57" s="449"/>
      <c r="H57" s="449"/>
      <c r="I57" s="446">
        <f t="shared" si="0"/>
        <v>12602508.762</v>
      </c>
      <c r="J57" s="446">
        <v>200000</v>
      </c>
      <c r="K57" s="446">
        <v>0.2</v>
      </c>
      <c r="L57" s="446">
        <f t="shared" si="1"/>
        <v>2520501.7524000001</v>
      </c>
      <c r="M57" s="446">
        <f t="shared" si="2"/>
        <v>2720501.7524000001</v>
      </c>
      <c r="N57" s="446">
        <f t="shared" si="3"/>
        <v>2720501.7524000001</v>
      </c>
      <c r="O57" s="446">
        <f t="shared" si="4"/>
        <v>9882007.0096000005</v>
      </c>
      <c r="P57" s="446">
        <f t="shared" si="5"/>
        <v>21000</v>
      </c>
      <c r="Q57" s="446">
        <f t="shared" si="6"/>
        <v>33000</v>
      </c>
      <c r="R57" s="446">
        <f t="shared" si="7"/>
        <v>75000</v>
      </c>
      <c r="S57" s="446">
        <f t="shared" si="8"/>
        <v>95000</v>
      </c>
      <c r="T57" s="446">
        <f t="shared" si="9"/>
        <v>336000</v>
      </c>
      <c r="U57" s="446">
        <f t="shared" si="10"/>
        <v>1603681.682304</v>
      </c>
      <c r="V57" s="446">
        <f t="shared" si="11"/>
        <v>2163681.682304</v>
      </c>
      <c r="W57" s="453">
        <v>12</v>
      </c>
      <c r="X57" s="446">
        <f t="shared" si="12"/>
        <v>180306.806858667</v>
      </c>
      <c r="Y57" s="449"/>
      <c r="Z57" s="446">
        <f t="shared" si="13"/>
        <v>180306.806858667</v>
      </c>
      <c r="AA57" s="192">
        <v>180306.806858667</v>
      </c>
      <c r="AB57" s="192">
        <f>Z57-AA57</f>
        <v>0</v>
      </c>
      <c r="AC57" s="192"/>
      <c r="AD57" s="192"/>
      <c r="AE57" s="192"/>
    </row>
    <row r="58" spans="1:31" s="516" customFormat="1" ht="15.5">
      <c r="A58" s="524">
        <v>51</v>
      </c>
      <c r="B58" s="328" t="s">
        <v>325</v>
      </c>
      <c r="C58" s="446">
        <v>516137.05</v>
      </c>
      <c r="D58" s="445">
        <v>12</v>
      </c>
      <c r="E58" s="446">
        <f t="shared" ref="E58:E66" si="37">C58*D58</f>
        <v>6193644.5999999996</v>
      </c>
      <c r="F58" s="446"/>
      <c r="G58" s="449"/>
      <c r="H58" s="449"/>
      <c r="I58" s="446">
        <f t="shared" si="0"/>
        <v>6193644.5999999996</v>
      </c>
      <c r="J58" s="446">
        <v>200000</v>
      </c>
      <c r="K58" s="446">
        <v>0.2</v>
      </c>
      <c r="L58" s="446">
        <f t="shared" si="1"/>
        <v>1238728.92</v>
      </c>
      <c r="M58" s="446">
        <f t="shared" si="2"/>
        <v>1438728.92</v>
      </c>
      <c r="N58" s="446">
        <f t="shared" si="3"/>
        <v>1438728.92</v>
      </c>
      <c r="O58" s="446">
        <f t="shared" si="4"/>
        <v>4754915.68</v>
      </c>
      <c r="P58" s="446">
        <f t="shared" si="5"/>
        <v>21000</v>
      </c>
      <c r="Q58" s="446">
        <f t="shared" si="6"/>
        <v>33000</v>
      </c>
      <c r="R58" s="446">
        <f t="shared" si="7"/>
        <v>75000</v>
      </c>
      <c r="S58" s="446">
        <f t="shared" si="8"/>
        <v>95000</v>
      </c>
      <c r="T58" s="446">
        <f t="shared" si="9"/>
        <v>336000</v>
      </c>
      <c r="U58" s="446">
        <f t="shared" si="10"/>
        <v>373179.76319999999</v>
      </c>
      <c r="V58" s="446">
        <f t="shared" si="11"/>
        <v>933179.76320000004</v>
      </c>
      <c r="W58" s="453">
        <v>12</v>
      </c>
      <c r="X58" s="446">
        <f t="shared" si="12"/>
        <v>77764.980266666695</v>
      </c>
      <c r="Y58" s="449"/>
      <c r="Z58" s="446">
        <f t="shared" si="13"/>
        <v>77764.980266666695</v>
      </c>
      <c r="AA58" s="533">
        <v>77764.980266666695</v>
      </c>
      <c r="AB58" s="192">
        <f t="shared" ref="AB58:AB66" si="38">Z58-AA58</f>
        <v>0</v>
      </c>
      <c r="AC58" s="533"/>
      <c r="AD58" s="533"/>
      <c r="AE58" s="533"/>
    </row>
    <row r="59" spans="1:31" ht="18">
      <c r="A59" s="520">
        <v>52</v>
      </c>
      <c r="B59" s="10" t="s">
        <v>328</v>
      </c>
      <c r="C59" s="446">
        <v>397211.36749999999</v>
      </c>
      <c r="D59" s="445">
        <v>12</v>
      </c>
      <c r="E59" s="446">
        <f t="shared" si="37"/>
        <v>4766536.41</v>
      </c>
      <c r="F59" s="446"/>
      <c r="G59" s="449"/>
      <c r="H59" s="449"/>
      <c r="I59" s="446">
        <f t="shared" si="0"/>
        <v>4766536.41</v>
      </c>
      <c r="J59" s="446">
        <v>200000</v>
      </c>
      <c r="K59" s="446">
        <v>0.2</v>
      </c>
      <c r="L59" s="446">
        <f t="shared" si="1"/>
        <v>953307.28200000001</v>
      </c>
      <c r="M59" s="446">
        <f t="shared" si="2"/>
        <v>1153307.2819999999</v>
      </c>
      <c r="N59" s="446">
        <f t="shared" si="3"/>
        <v>1153307.2819999999</v>
      </c>
      <c r="O59" s="446">
        <f t="shared" si="4"/>
        <v>3613229.128</v>
      </c>
      <c r="P59" s="446">
        <f t="shared" si="5"/>
        <v>21000</v>
      </c>
      <c r="Q59" s="446">
        <f t="shared" si="6"/>
        <v>33000</v>
      </c>
      <c r="R59" s="446">
        <f t="shared" si="7"/>
        <v>75000</v>
      </c>
      <c r="S59" s="446">
        <f t="shared" si="8"/>
        <v>95000</v>
      </c>
      <c r="T59" s="446">
        <f t="shared" si="9"/>
        <v>336000</v>
      </c>
      <c r="U59" s="446">
        <f t="shared" si="10"/>
        <v>99174.990720000002</v>
      </c>
      <c r="V59" s="446">
        <f t="shared" si="11"/>
        <v>659174.99072</v>
      </c>
      <c r="W59" s="453">
        <v>12</v>
      </c>
      <c r="X59" s="446">
        <f t="shared" si="12"/>
        <v>54931.249226666703</v>
      </c>
      <c r="Y59" s="449"/>
      <c r="Z59" s="446">
        <f t="shared" si="13"/>
        <v>54931.249226666703</v>
      </c>
      <c r="AA59" s="192">
        <v>54931.249226666703</v>
      </c>
      <c r="AB59" s="192">
        <f t="shared" si="38"/>
        <v>0</v>
      </c>
      <c r="AC59" s="192"/>
      <c r="AD59" s="192"/>
      <c r="AE59" s="192"/>
    </row>
    <row r="60" spans="1:31" ht="18">
      <c r="A60" s="520">
        <v>53</v>
      </c>
      <c r="B60" s="17" t="s">
        <v>329</v>
      </c>
      <c r="C60" s="446">
        <v>369177.65375</v>
      </c>
      <c r="D60" s="445">
        <v>12</v>
      </c>
      <c r="E60" s="446">
        <f t="shared" si="37"/>
        <v>4430131.8449999997</v>
      </c>
      <c r="F60" s="446"/>
      <c r="G60" s="449"/>
      <c r="H60" s="449"/>
      <c r="I60" s="446">
        <f t="shared" si="0"/>
        <v>4430131.8449999997</v>
      </c>
      <c r="J60" s="446">
        <v>200000</v>
      </c>
      <c r="K60" s="446">
        <v>0.2</v>
      </c>
      <c r="L60" s="446">
        <f t="shared" si="1"/>
        <v>886026.36899999995</v>
      </c>
      <c r="M60" s="446">
        <f t="shared" si="2"/>
        <v>1086026.3689999999</v>
      </c>
      <c r="N60" s="446">
        <f t="shared" si="3"/>
        <v>1086026.3689999999</v>
      </c>
      <c r="O60" s="446">
        <f t="shared" si="4"/>
        <v>3344105.4759999998</v>
      </c>
      <c r="P60" s="446">
        <f t="shared" si="5"/>
        <v>21000</v>
      </c>
      <c r="Q60" s="446">
        <f t="shared" si="6"/>
        <v>33000</v>
      </c>
      <c r="R60" s="446">
        <f t="shared" si="7"/>
        <v>75000</v>
      </c>
      <c r="S60" s="446">
        <f t="shared" si="8"/>
        <v>95000</v>
      </c>
      <c r="T60" s="446">
        <f t="shared" si="9"/>
        <v>336000</v>
      </c>
      <c r="U60" s="446">
        <f t="shared" si="10"/>
        <v>34585.314239999898</v>
      </c>
      <c r="V60" s="446">
        <f t="shared" si="11"/>
        <v>594585.31423999998</v>
      </c>
      <c r="W60" s="453">
        <v>12</v>
      </c>
      <c r="X60" s="446">
        <f t="shared" si="12"/>
        <v>49548.776186666699</v>
      </c>
      <c r="Y60" s="449"/>
      <c r="Z60" s="446">
        <f t="shared" si="13"/>
        <v>49548.776186666699</v>
      </c>
      <c r="AA60" s="192">
        <v>49548.776186666699</v>
      </c>
      <c r="AB60" s="192">
        <f t="shared" si="38"/>
        <v>0</v>
      </c>
      <c r="AC60" s="192"/>
      <c r="AD60" s="192"/>
      <c r="AE60" s="192"/>
    </row>
    <row r="61" spans="1:31" ht="18">
      <c r="A61" s="520">
        <v>54</v>
      </c>
      <c r="B61" s="13" t="s">
        <v>330</v>
      </c>
      <c r="C61" s="446">
        <v>421394.00675</v>
      </c>
      <c r="D61" s="445">
        <v>12</v>
      </c>
      <c r="E61" s="446">
        <f t="shared" si="37"/>
        <v>5056728.0810000002</v>
      </c>
      <c r="F61" s="446"/>
      <c r="G61" s="449"/>
      <c r="H61" s="449"/>
      <c r="I61" s="446">
        <f t="shared" si="0"/>
        <v>5056728.0810000002</v>
      </c>
      <c r="J61" s="446">
        <v>200000</v>
      </c>
      <c r="K61" s="446">
        <v>0.2</v>
      </c>
      <c r="L61" s="446">
        <f t="shared" si="1"/>
        <v>1011345.6162</v>
      </c>
      <c r="M61" s="446">
        <f t="shared" si="2"/>
        <v>1211345.6162</v>
      </c>
      <c r="N61" s="446">
        <f t="shared" si="3"/>
        <v>1211345.6162</v>
      </c>
      <c r="O61" s="446">
        <f t="shared" si="4"/>
        <v>3845382.4648000002</v>
      </c>
      <c r="P61" s="446">
        <f t="shared" si="5"/>
        <v>21000</v>
      </c>
      <c r="Q61" s="446">
        <f t="shared" si="6"/>
        <v>33000</v>
      </c>
      <c r="R61" s="446">
        <f t="shared" si="7"/>
        <v>75000</v>
      </c>
      <c r="S61" s="446">
        <f t="shared" si="8"/>
        <v>95000</v>
      </c>
      <c r="T61" s="446">
        <f t="shared" si="9"/>
        <v>336000</v>
      </c>
      <c r="U61" s="446">
        <f t="shared" si="10"/>
        <v>154891.79155200001</v>
      </c>
      <c r="V61" s="446">
        <f t="shared" si="11"/>
        <v>714891.79155199998</v>
      </c>
      <c r="W61" s="453">
        <v>12</v>
      </c>
      <c r="X61" s="446">
        <f t="shared" si="12"/>
        <v>59574.315962666697</v>
      </c>
      <c r="Y61" s="449"/>
      <c r="Z61" s="534">
        <f t="shared" si="13"/>
        <v>59574.315962666697</v>
      </c>
      <c r="AA61" s="535">
        <v>46666.666666666701</v>
      </c>
      <c r="AB61" s="535">
        <f t="shared" si="38"/>
        <v>12907.649296</v>
      </c>
      <c r="AC61" s="192"/>
      <c r="AD61" s="192"/>
      <c r="AE61" s="192"/>
    </row>
    <row r="62" spans="1:31" ht="18">
      <c r="A62" s="520">
        <v>55</v>
      </c>
      <c r="B62" s="10" t="s">
        <v>331</v>
      </c>
      <c r="C62" s="446">
        <v>322454.07400000002</v>
      </c>
      <c r="D62" s="445">
        <v>12</v>
      </c>
      <c r="E62" s="446">
        <f t="shared" si="37"/>
        <v>3869448.8879999998</v>
      </c>
      <c r="F62" s="446"/>
      <c r="G62" s="449"/>
      <c r="H62" s="449"/>
      <c r="I62" s="446">
        <f t="shared" si="0"/>
        <v>3869448.8879999998</v>
      </c>
      <c r="J62" s="446">
        <v>200000</v>
      </c>
      <c r="K62" s="446">
        <v>0.2</v>
      </c>
      <c r="L62" s="446">
        <f t="shared" si="1"/>
        <v>773889.77760000003</v>
      </c>
      <c r="M62" s="446">
        <f t="shared" si="2"/>
        <v>973889.77760000003</v>
      </c>
      <c r="N62" s="446">
        <f t="shared" si="3"/>
        <v>973889.77760000003</v>
      </c>
      <c r="O62" s="446">
        <f t="shared" si="4"/>
        <v>2895559.1104000001</v>
      </c>
      <c r="P62" s="446">
        <f t="shared" si="5"/>
        <v>21000</v>
      </c>
      <c r="Q62" s="446">
        <f t="shared" si="6"/>
        <v>33000</v>
      </c>
      <c r="R62" s="446">
        <f t="shared" si="7"/>
        <v>75000</v>
      </c>
      <c r="S62" s="446">
        <f t="shared" si="8"/>
        <v>95000</v>
      </c>
      <c r="T62" s="446">
        <f t="shared" si="9"/>
        <v>272067.413184</v>
      </c>
      <c r="U62" s="446"/>
      <c r="V62" s="446">
        <f t="shared" si="11"/>
        <v>496067.413184</v>
      </c>
      <c r="W62" s="453">
        <v>12</v>
      </c>
      <c r="X62" s="446">
        <f t="shared" si="12"/>
        <v>41338.951098666701</v>
      </c>
      <c r="Y62" s="449"/>
      <c r="Z62" s="446">
        <f t="shared" si="13"/>
        <v>41338.951098666701</v>
      </c>
      <c r="AA62" s="192">
        <v>41338.951098666701</v>
      </c>
      <c r="AB62" s="192">
        <f t="shared" si="38"/>
        <v>0</v>
      </c>
      <c r="AC62" s="192"/>
      <c r="AD62" s="192"/>
      <c r="AE62" s="192"/>
    </row>
    <row r="63" spans="1:31" ht="18">
      <c r="A63" s="520">
        <v>56</v>
      </c>
      <c r="B63" s="10" t="s">
        <v>333</v>
      </c>
      <c r="C63" s="446">
        <v>322454.07400000002</v>
      </c>
      <c r="D63" s="445">
        <v>12</v>
      </c>
      <c r="E63" s="446">
        <f t="shared" si="37"/>
        <v>3869448.8879999998</v>
      </c>
      <c r="F63" s="446"/>
      <c r="G63" s="449"/>
      <c r="H63" s="449"/>
      <c r="I63" s="446">
        <f t="shared" si="0"/>
        <v>3869448.8879999998</v>
      </c>
      <c r="J63" s="446">
        <v>200000</v>
      </c>
      <c r="K63" s="446">
        <v>0.2</v>
      </c>
      <c r="L63" s="446">
        <f t="shared" si="1"/>
        <v>773889.77760000003</v>
      </c>
      <c r="M63" s="446">
        <f t="shared" si="2"/>
        <v>973889.77760000003</v>
      </c>
      <c r="N63" s="446">
        <f t="shared" si="3"/>
        <v>973889.77760000003</v>
      </c>
      <c r="O63" s="446">
        <f t="shared" si="4"/>
        <v>2895559.1104000001</v>
      </c>
      <c r="P63" s="446">
        <f t="shared" si="5"/>
        <v>21000</v>
      </c>
      <c r="Q63" s="446">
        <f t="shared" si="6"/>
        <v>33000</v>
      </c>
      <c r="R63" s="446">
        <f t="shared" si="7"/>
        <v>75000</v>
      </c>
      <c r="S63" s="446">
        <f t="shared" si="8"/>
        <v>95000</v>
      </c>
      <c r="T63" s="446">
        <f t="shared" si="9"/>
        <v>272067.413184</v>
      </c>
      <c r="U63" s="446"/>
      <c r="V63" s="446">
        <f t="shared" si="11"/>
        <v>496067.413184</v>
      </c>
      <c r="W63" s="453">
        <v>12</v>
      </c>
      <c r="X63" s="446">
        <f t="shared" si="12"/>
        <v>41338.951098666701</v>
      </c>
      <c r="Y63" s="449"/>
      <c r="Z63" s="446">
        <f t="shared" si="13"/>
        <v>41338.951098666701</v>
      </c>
      <c r="AA63" s="192">
        <v>41338.951098666701</v>
      </c>
      <c r="AB63" s="192">
        <f t="shared" si="38"/>
        <v>0</v>
      </c>
      <c r="AC63" s="192"/>
      <c r="AD63" s="192"/>
      <c r="AE63" s="192"/>
    </row>
    <row r="64" spans="1:31" ht="18">
      <c r="A64" s="520">
        <v>57</v>
      </c>
      <c r="B64" s="10" t="s">
        <v>334</v>
      </c>
      <c r="C64" s="446">
        <v>322454.07400000002</v>
      </c>
      <c r="D64" s="445">
        <v>12</v>
      </c>
      <c r="E64" s="446">
        <f t="shared" si="37"/>
        <v>3869448.8879999998</v>
      </c>
      <c r="F64" s="446"/>
      <c r="G64" s="449"/>
      <c r="H64" s="449"/>
      <c r="I64" s="446">
        <f t="shared" si="0"/>
        <v>3869448.8879999998</v>
      </c>
      <c r="J64" s="446">
        <v>200000</v>
      </c>
      <c r="K64" s="446">
        <v>0.2</v>
      </c>
      <c r="L64" s="446">
        <f t="shared" si="1"/>
        <v>773889.77760000003</v>
      </c>
      <c r="M64" s="446">
        <f t="shared" si="2"/>
        <v>973889.77760000003</v>
      </c>
      <c r="N64" s="446">
        <f t="shared" si="3"/>
        <v>973889.77760000003</v>
      </c>
      <c r="O64" s="446">
        <f t="shared" si="4"/>
        <v>2895559.1104000001</v>
      </c>
      <c r="P64" s="446">
        <f t="shared" si="5"/>
        <v>21000</v>
      </c>
      <c r="Q64" s="446">
        <f t="shared" si="6"/>
        <v>33000</v>
      </c>
      <c r="R64" s="446">
        <f t="shared" si="7"/>
        <v>75000</v>
      </c>
      <c r="S64" s="446">
        <f t="shared" si="8"/>
        <v>95000</v>
      </c>
      <c r="T64" s="446">
        <f t="shared" si="9"/>
        <v>272067.413184</v>
      </c>
      <c r="U64" s="446"/>
      <c r="V64" s="446">
        <f t="shared" si="11"/>
        <v>496067.413184</v>
      </c>
      <c r="W64" s="453">
        <v>12</v>
      </c>
      <c r="X64" s="446">
        <f t="shared" si="12"/>
        <v>41338.951098666701</v>
      </c>
      <c r="Y64" s="449"/>
      <c r="Z64" s="446">
        <f t="shared" si="13"/>
        <v>41338.951098666701</v>
      </c>
      <c r="AA64" s="192">
        <v>41338.951098666701</v>
      </c>
      <c r="AB64" s="192">
        <f t="shared" si="38"/>
        <v>0</v>
      </c>
      <c r="AC64" s="192"/>
      <c r="AD64" s="192"/>
      <c r="AE64" s="192"/>
    </row>
    <row r="65" spans="1:31" ht="18">
      <c r="A65" s="520">
        <v>58</v>
      </c>
      <c r="B65" s="10" t="s">
        <v>335</v>
      </c>
      <c r="C65" s="446">
        <v>334536.99849999999</v>
      </c>
      <c r="D65" s="445">
        <v>12</v>
      </c>
      <c r="E65" s="446">
        <f t="shared" si="37"/>
        <v>4014443.9819999998</v>
      </c>
      <c r="F65" s="446"/>
      <c r="G65" s="449"/>
      <c r="H65" s="449"/>
      <c r="I65" s="446">
        <f t="shared" si="0"/>
        <v>4014443.9819999998</v>
      </c>
      <c r="J65" s="446">
        <v>200000</v>
      </c>
      <c r="K65" s="446">
        <v>0.2</v>
      </c>
      <c r="L65" s="446">
        <f t="shared" si="1"/>
        <v>802888.79639999999</v>
      </c>
      <c r="M65" s="446">
        <f t="shared" si="2"/>
        <v>1002888.7964</v>
      </c>
      <c r="N65" s="446">
        <f t="shared" si="3"/>
        <v>1002888.7964</v>
      </c>
      <c r="O65" s="446">
        <f t="shared" si="4"/>
        <v>3011555.1856</v>
      </c>
      <c r="P65" s="446">
        <f t="shared" si="5"/>
        <v>21000</v>
      </c>
      <c r="Q65" s="446">
        <f t="shared" si="6"/>
        <v>33000</v>
      </c>
      <c r="R65" s="446">
        <f t="shared" si="7"/>
        <v>75000</v>
      </c>
      <c r="S65" s="446">
        <f t="shared" si="8"/>
        <v>95000</v>
      </c>
      <c r="T65" s="446">
        <f t="shared" si="9"/>
        <v>296426.58897600003</v>
      </c>
      <c r="U65" s="446"/>
      <c r="V65" s="446">
        <f t="shared" si="11"/>
        <v>520426.58897600003</v>
      </c>
      <c r="W65" s="453">
        <v>12</v>
      </c>
      <c r="X65" s="446">
        <f t="shared" si="12"/>
        <v>43368.882414666703</v>
      </c>
      <c r="Y65" s="449"/>
      <c r="Z65" s="446">
        <f t="shared" si="13"/>
        <v>43368.882414666703</v>
      </c>
      <c r="AA65" s="192">
        <v>43368.882414666703</v>
      </c>
      <c r="AB65" s="192">
        <f t="shared" si="38"/>
        <v>0</v>
      </c>
      <c r="AC65" s="192"/>
      <c r="AD65" s="192"/>
      <c r="AE65" s="192"/>
    </row>
    <row r="66" spans="1:31" ht="18">
      <c r="A66" s="520">
        <v>59</v>
      </c>
      <c r="B66" s="10" t="s">
        <v>337</v>
      </c>
      <c r="C66" s="446">
        <v>277734.04700000002</v>
      </c>
      <c r="D66" s="445">
        <v>12</v>
      </c>
      <c r="E66" s="446">
        <f t="shared" si="37"/>
        <v>3332808.5639999998</v>
      </c>
      <c r="F66" s="446"/>
      <c r="G66" s="449"/>
      <c r="H66" s="449"/>
      <c r="I66" s="446">
        <f t="shared" si="0"/>
        <v>3332808.5639999998</v>
      </c>
      <c r="J66" s="446">
        <v>200000</v>
      </c>
      <c r="K66" s="446">
        <v>0.2</v>
      </c>
      <c r="L66" s="446">
        <f t="shared" si="1"/>
        <v>666561.71279999998</v>
      </c>
      <c r="M66" s="446">
        <f t="shared" si="2"/>
        <v>866561.71279999998</v>
      </c>
      <c r="N66" s="446">
        <f t="shared" si="3"/>
        <v>866561.71279999998</v>
      </c>
      <c r="O66" s="446">
        <f t="shared" si="4"/>
        <v>2466246.8511999999</v>
      </c>
      <c r="P66" s="446">
        <f t="shared" si="5"/>
        <v>21000</v>
      </c>
      <c r="Q66" s="446">
        <f t="shared" si="6"/>
        <v>33000</v>
      </c>
      <c r="R66" s="446">
        <f t="shared" si="7"/>
        <v>75000</v>
      </c>
      <c r="S66" s="446">
        <f t="shared" si="8"/>
        <v>95000</v>
      </c>
      <c r="T66" s="446">
        <f t="shared" si="9"/>
        <v>181911.83875200001</v>
      </c>
      <c r="U66" s="446"/>
      <c r="V66" s="446">
        <f t="shared" si="11"/>
        <v>405911.83875200001</v>
      </c>
      <c r="W66" s="453">
        <v>12</v>
      </c>
      <c r="X66" s="446">
        <f t="shared" si="12"/>
        <v>33825.986562666702</v>
      </c>
      <c r="Y66" s="449"/>
      <c r="Z66" s="446">
        <f t="shared" si="13"/>
        <v>33825.986562666702</v>
      </c>
      <c r="AA66" s="192">
        <v>33825.986562666702</v>
      </c>
      <c r="AB66" s="192">
        <f t="shared" si="38"/>
        <v>0</v>
      </c>
      <c r="AC66" s="192"/>
      <c r="AD66" s="192"/>
      <c r="AE66" s="192"/>
    </row>
    <row r="67" spans="1:31" ht="17.5">
      <c r="A67" s="520">
        <v>60</v>
      </c>
      <c r="B67" s="19"/>
      <c r="C67" s="446"/>
      <c r="D67" s="445"/>
      <c r="E67" s="446"/>
      <c r="F67" s="446"/>
      <c r="G67" s="449"/>
      <c r="H67" s="449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53"/>
      <c r="X67" s="446"/>
      <c r="Y67" s="449"/>
      <c r="Z67" s="446"/>
      <c r="AA67" s="192"/>
      <c r="AB67" s="192"/>
      <c r="AC67" s="192"/>
      <c r="AD67" s="192"/>
      <c r="AE67" s="192"/>
    </row>
    <row r="68" spans="1:31" ht="17.5">
      <c r="A68" s="520">
        <v>61</v>
      </c>
      <c r="B68" s="21"/>
      <c r="C68" s="446"/>
      <c r="D68" s="445"/>
      <c r="E68" s="446"/>
      <c r="F68" s="446"/>
      <c r="G68" s="449"/>
      <c r="H68" s="449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53"/>
      <c r="X68" s="446"/>
      <c r="Y68" s="449"/>
      <c r="Z68" s="446"/>
      <c r="AA68" s="192"/>
      <c r="AB68" s="192"/>
      <c r="AC68" s="192"/>
      <c r="AD68" s="192"/>
      <c r="AE68" s="192"/>
    </row>
    <row r="69" spans="1:31" ht="17.5">
      <c r="A69" s="520"/>
      <c r="B69" s="19" t="s">
        <v>51</v>
      </c>
      <c r="C69" s="446"/>
      <c r="D69" s="445"/>
      <c r="E69" s="446"/>
      <c r="F69" s="446"/>
      <c r="G69" s="449"/>
      <c r="H69" s="449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53"/>
      <c r="X69" s="446"/>
      <c r="Y69" s="449"/>
      <c r="Z69" s="446"/>
      <c r="AA69" s="192"/>
      <c r="AB69" s="192"/>
      <c r="AC69" s="192"/>
      <c r="AD69" s="192"/>
      <c r="AE69" s="192"/>
    </row>
    <row r="70" spans="1:31" ht="18">
      <c r="A70" s="520"/>
      <c r="B70" s="10" t="s">
        <v>338</v>
      </c>
      <c r="C70" s="446">
        <v>1050209.0634999999</v>
      </c>
      <c r="D70" s="445">
        <v>12</v>
      </c>
      <c r="E70" s="446">
        <f>C70*D70</f>
        <v>12602508.762</v>
      </c>
      <c r="F70" s="446"/>
      <c r="G70" s="449"/>
      <c r="H70" s="449"/>
      <c r="I70" s="446">
        <f t="shared" ref="I70" si="39">E70-F70-G70-H70</f>
        <v>12602508.762</v>
      </c>
      <c r="J70" s="446">
        <v>200000</v>
      </c>
      <c r="K70" s="446">
        <v>0.2</v>
      </c>
      <c r="L70" s="446">
        <f t="shared" ref="L70" si="40">I70*K70</f>
        <v>2520501.7524000001</v>
      </c>
      <c r="M70" s="446">
        <f t="shared" ref="M70" si="41">J70+L70</f>
        <v>2720501.7524000001</v>
      </c>
      <c r="N70" s="446">
        <f t="shared" ref="N70" si="42">F70+G70+H70+M70</f>
        <v>2720501.7524000001</v>
      </c>
      <c r="O70" s="446">
        <f t="shared" ref="O70" si="43">E70-N70</f>
        <v>9882007.0096000005</v>
      </c>
      <c r="P70" s="446">
        <f t="shared" ref="P70" si="44">IF(O70&lt;300000,0.07*O70,21000)</f>
        <v>21000</v>
      </c>
      <c r="Q70" s="446">
        <f t="shared" ref="Q70" si="45">IF((O70-300000)&lt;0,0,IF((O70-300000)&lt;300000,0.11*(O70-300000),33000))</f>
        <v>33000</v>
      </c>
      <c r="R70" s="446">
        <f t="shared" ref="R70" si="46">IF((O70-600000)&lt;0,0,IF((O70-600000)&lt;500000,0.15*(O70-600000),75000))</f>
        <v>75000</v>
      </c>
      <c r="S70" s="446">
        <f t="shared" ref="S70" si="47">IF((O70-1100000)&lt;0,0,IF((O70-1100000)&lt;500000,0.19*(O70-1100000),95000))</f>
        <v>95000</v>
      </c>
      <c r="T70" s="446">
        <f t="shared" ref="T70" si="48">IF((O70-1600000)&lt;0,0,IF((O70-1600000)&lt;1600000,0.21*(O70-1600000),336000))</f>
        <v>336000</v>
      </c>
      <c r="U70" s="446">
        <f t="shared" ref="U70" si="49">24%*(O70-3200000)</f>
        <v>1603681.682304</v>
      </c>
      <c r="V70" s="446">
        <f t="shared" ref="V70" si="50">P70+Q70+R70+S70+T70+U70</f>
        <v>2163681.682304</v>
      </c>
      <c r="W70" s="453">
        <v>12</v>
      </c>
      <c r="X70" s="446">
        <f t="shared" ref="X70" si="51">V70/W70</f>
        <v>180306.806858667</v>
      </c>
      <c r="Y70" s="449"/>
      <c r="Z70" s="446">
        <f t="shared" ref="Z70" si="52">X70</f>
        <v>180306.806858667</v>
      </c>
      <c r="AA70" s="192">
        <v>180306.806858667</v>
      </c>
      <c r="AB70" s="192">
        <f>Z70-AA70</f>
        <v>0</v>
      </c>
      <c r="AC70" s="192"/>
      <c r="AD70" s="192"/>
      <c r="AE70" s="192"/>
    </row>
    <row r="71" spans="1:31" ht="18">
      <c r="A71" s="520">
        <v>62</v>
      </c>
      <c r="B71" s="13" t="s">
        <v>220</v>
      </c>
      <c r="C71" s="446">
        <v>516137.05</v>
      </c>
      <c r="D71" s="445">
        <v>12</v>
      </c>
      <c r="E71" s="446">
        <f t="shared" ref="E71:E76" si="53">C71*D71</f>
        <v>6193644.5999999996</v>
      </c>
      <c r="F71" s="446"/>
      <c r="G71" s="449"/>
      <c r="H71" s="449"/>
      <c r="I71" s="446">
        <f t="shared" si="0"/>
        <v>6193644.5999999996</v>
      </c>
      <c r="J71" s="446">
        <v>200000</v>
      </c>
      <c r="K71" s="446">
        <v>0.2</v>
      </c>
      <c r="L71" s="446">
        <f t="shared" si="1"/>
        <v>1238728.92</v>
      </c>
      <c r="M71" s="446">
        <f t="shared" si="2"/>
        <v>1438728.92</v>
      </c>
      <c r="N71" s="446">
        <f t="shared" si="3"/>
        <v>1438728.92</v>
      </c>
      <c r="O71" s="446">
        <f t="shared" si="4"/>
        <v>4754915.68</v>
      </c>
      <c r="P71" s="446">
        <f t="shared" si="5"/>
        <v>21000</v>
      </c>
      <c r="Q71" s="446">
        <f t="shared" si="6"/>
        <v>33000</v>
      </c>
      <c r="R71" s="446">
        <f t="shared" si="7"/>
        <v>75000</v>
      </c>
      <c r="S71" s="446">
        <f t="shared" si="8"/>
        <v>95000</v>
      </c>
      <c r="T71" s="446">
        <f t="shared" si="9"/>
        <v>336000</v>
      </c>
      <c r="U71" s="446">
        <f t="shared" si="10"/>
        <v>373179.76319999999</v>
      </c>
      <c r="V71" s="446">
        <f t="shared" si="11"/>
        <v>933179.76320000004</v>
      </c>
      <c r="W71" s="453">
        <v>12</v>
      </c>
      <c r="X71" s="446">
        <f t="shared" si="12"/>
        <v>77764.980266666695</v>
      </c>
      <c r="Y71" s="449"/>
      <c r="Z71" s="446">
        <f t="shared" si="13"/>
        <v>77764.980266666695</v>
      </c>
      <c r="AA71" s="192">
        <v>77764.980266666695</v>
      </c>
      <c r="AB71" s="192">
        <f t="shared" ref="AB71:AB76" si="54">Z71-AA71</f>
        <v>0</v>
      </c>
      <c r="AC71" s="192"/>
      <c r="AD71" s="192"/>
      <c r="AE71" s="192"/>
    </row>
    <row r="72" spans="1:31" ht="36">
      <c r="A72" s="520">
        <v>63</v>
      </c>
      <c r="B72" s="17" t="s">
        <v>223</v>
      </c>
      <c r="C72" s="446">
        <v>447553.5025</v>
      </c>
      <c r="D72" s="445">
        <v>12</v>
      </c>
      <c r="E72" s="446">
        <f t="shared" si="53"/>
        <v>5370642.0300000003</v>
      </c>
      <c r="F72" s="446"/>
      <c r="G72" s="449"/>
      <c r="H72" s="449"/>
      <c r="I72" s="446">
        <f t="shared" si="0"/>
        <v>5370642.0300000003</v>
      </c>
      <c r="J72" s="446">
        <v>200000</v>
      </c>
      <c r="K72" s="446">
        <v>0.2</v>
      </c>
      <c r="L72" s="446">
        <f t="shared" si="1"/>
        <v>1074128.406</v>
      </c>
      <c r="M72" s="446">
        <f t="shared" si="2"/>
        <v>1274128.406</v>
      </c>
      <c r="N72" s="446">
        <f t="shared" si="3"/>
        <v>1274128.406</v>
      </c>
      <c r="O72" s="446">
        <f t="shared" si="4"/>
        <v>4096513.6239999998</v>
      </c>
      <c r="P72" s="446">
        <f t="shared" si="5"/>
        <v>21000</v>
      </c>
      <c r="Q72" s="446">
        <f t="shared" si="6"/>
        <v>33000</v>
      </c>
      <c r="R72" s="446">
        <f t="shared" si="7"/>
        <v>75000</v>
      </c>
      <c r="S72" s="446">
        <f t="shared" si="8"/>
        <v>95000</v>
      </c>
      <c r="T72" s="446">
        <f t="shared" si="9"/>
        <v>336000</v>
      </c>
      <c r="U72" s="446">
        <f t="shared" si="10"/>
        <v>215163.26976</v>
      </c>
      <c r="V72" s="446">
        <f t="shared" si="11"/>
        <v>775163.26976000005</v>
      </c>
      <c r="W72" s="453">
        <v>12</v>
      </c>
      <c r="X72" s="446">
        <f t="shared" si="12"/>
        <v>64596.9391466667</v>
      </c>
      <c r="Y72" s="449"/>
      <c r="Z72" s="446">
        <f t="shared" si="13"/>
        <v>64596.9391466667</v>
      </c>
      <c r="AA72" s="192">
        <v>64596.9391466667</v>
      </c>
      <c r="AB72" s="192">
        <f t="shared" si="54"/>
        <v>0</v>
      </c>
      <c r="AC72" s="192"/>
      <c r="AD72" s="192"/>
      <c r="AE72" s="192"/>
    </row>
    <row r="73" spans="1:31" ht="18">
      <c r="A73" s="520">
        <v>64</v>
      </c>
      <c r="B73" s="10" t="s">
        <v>340</v>
      </c>
      <c r="C73" s="446">
        <v>405272.06374999997</v>
      </c>
      <c r="D73" s="445">
        <v>12</v>
      </c>
      <c r="E73" s="446">
        <f t="shared" si="53"/>
        <v>4863264.7649999997</v>
      </c>
      <c r="F73" s="446">
        <f>'[5]JANUARY 2024'!$V$78*12</f>
        <v>8019.7950000000001</v>
      </c>
      <c r="G73" s="449"/>
      <c r="H73" s="449"/>
      <c r="I73" s="446">
        <f t="shared" si="0"/>
        <v>4855244.97</v>
      </c>
      <c r="J73" s="446">
        <v>200000</v>
      </c>
      <c r="K73" s="446">
        <v>0.2</v>
      </c>
      <c r="L73" s="446">
        <f t="shared" si="1"/>
        <v>971048.99399999995</v>
      </c>
      <c r="M73" s="446">
        <f t="shared" si="2"/>
        <v>1171048.9939999999</v>
      </c>
      <c r="N73" s="446">
        <f t="shared" si="3"/>
        <v>1179068.7890000001</v>
      </c>
      <c r="O73" s="446">
        <f t="shared" si="4"/>
        <v>3684195.9759999998</v>
      </c>
      <c r="P73" s="446">
        <f t="shared" si="5"/>
        <v>21000</v>
      </c>
      <c r="Q73" s="446">
        <f t="shared" si="6"/>
        <v>33000</v>
      </c>
      <c r="R73" s="446">
        <f t="shared" si="7"/>
        <v>75000</v>
      </c>
      <c r="S73" s="446">
        <f t="shared" si="8"/>
        <v>95000</v>
      </c>
      <c r="T73" s="446">
        <f t="shared" si="9"/>
        <v>336000</v>
      </c>
      <c r="U73" s="446">
        <f t="shared" si="10"/>
        <v>116207.03423999999</v>
      </c>
      <c r="V73" s="446">
        <f t="shared" si="11"/>
        <v>676207.03423999995</v>
      </c>
      <c r="W73" s="453">
        <v>12</v>
      </c>
      <c r="X73" s="446">
        <f t="shared" si="12"/>
        <v>56350.586186666696</v>
      </c>
      <c r="Y73" s="449"/>
      <c r="Z73" s="446">
        <f t="shared" si="13"/>
        <v>56350.586186666696</v>
      </c>
      <c r="AA73" s="192">
        <v>56350.586186666696</v>
      </c>
      <c r="AB73" s="192">
        <f t="shared" si="54"/>
        <v>0</v>
      </c>
      <c r="AC73" s="192"/>
      <c r="AD73" s="192"/>
      <c r="AE73" s="192"/>
    </row>
    <row r="74" spans="1:31" s="516" customFormat="1" ht="18">
      <c r="A74" s="524">
        <v>65</v>
      </c>
      <c r="B74" s="10" t="s">
        <v>343</v>
      </c>
      <c r="C74" s="446">
        <v>273169.11749999999</v>
      </c>
      <c r="D74" s="445">
        <v>12</v>
      </c>
      <c r="E74" s="446">
        <f t="shared" si="53"/>
        <v>3278029.41</v>
      </c>
      <c r="F74" s="446"/>
      <c r="G74" s="449"/>
      <c r="H74" s="449"/>
      <c r="I74" s="446">
        <f t="shared" si="0"/>
        <v>3278029.41</v>
      </c>
      <c r="J74" s="446">
        <v>200000</v>
      </c>
      <c r="K74" s="446">
        <v>0.2</v>
      </c>
      <c r="L74" s="446">
        <f t="shared" si="1"/>
        <v>655605.88199999998</v>
      </c>
      <c r="M74" s="446">
        <f t="shared" si="2"/>
        <v>855605.88199999998</v>
      </c>
      <c r="N74" s="446">
        <f t="shared" si="3"/>
        <v>855605.88199999998</v>
      </c>
      <c r="O74" s="446">
        <f t="shared" si="4"/>
        <v>2422423.5279999999</v>
      </c>
      <c r="P74" s="446">
        <f t="shared" si="5"/>
        <v>21000</v>
      </c>
      <c r="Q74" s="446">
        <f t="shared" si="6"/>
        <v>33000</v>
      </c>
      <c r="R74" s="446">
        <f t="shared" si="7"/>
        <v>75000</v>
      </c>
      <c r="S74" s="446">
        <f t="shared" si="8"/>
        <v>95000</v>
      </c>
      <c r="T74" s="446">
        <f t="shared" si="9"/>
        <v>172708.94088000001</v>
      </c>
      <c r="U74" s="446"/>
      <c r="V74" s="446">
        <f t="shared" si="11"/>
        <v>396708.94088000001</v>
      </c>
      <c r="W74" s="453">
        <v>12</v>
      </c>
      <c r="X74" s="446">
        <f t="shared" si="12"/>
        <v>33059.078406666697</v>
      </c>
      <c r="Y74" s="449"/>
      <c r="Z74" s="528">
        <f t="shared" si="13"/>
        <v>33059.078406666697</v>
      </c>
      <c r="AA74" s="535">
        <v>17507.548966666702</v>
      </c>
      <c r="AB74" s="535">
        <f t="shared" si="54"/>
        <v>15551.52944</v>
      </c>
      <c r="AC74" s="533"/>
      <c r="AD74" s="533"/>
      <c r="AE74" s="533"/>
    </row>
    <row r="75" spans="1:31" ht="18">
      <c r="A75" s="520"/>
      <c r="B75" s="10" t="s">
        <v>346</v>
      </c>
      <c r="C75" s="446">
        <v>249356.04725</v>
      </c>
      <c r="D75" s="445">
        <v>12</v>
      </c>
      <c r="E75" s="446">
        <f t="shared" si="53"/>
        <v>2992272.5669999998</v>
      </c>
      <c r="F75" s="446"/>
      <c r="G75" s="449"/>
      <c r="H75" s="449"/>
      <c r="I75" s="446">
        <f t="shared" si="0"/>
        <v>2992272.5669999998</v>
      </c>
      <c r="J75" s="446">
        <v>200000</v>
      </c>
      <c r="K75" s="446">
        <v>0.2</v>
      </c>
      <c r="L75" s="446">
        <f t="shared" si="1"/>
        <v>598454.51340000005</v>
      </c>
      <c r="M75" s="446">
        <f t="shared" si="2"/>
        <v>798454.51340000005</v>
      </c>
      <c r="N75" s="446">
        <f t="shared" si="3"/>
        <v>798454.51340000005</v>
      </c>
      <c r="O75" s="446">
        <f t="shared" si="4"/>
        <v>2193818.0536000002</v>
      </c>
      <c r="P75" s="446">
        <f t="shared" si="5"/>
        <v>21000</v>
      </c>
      <c r="Q75" s="446">
        <f t="shared" si="6"/>
        <v>33000</v>
      </c>
      <c r="R75" s="446">
        <f t="shared" si="7"/>
        <v>75000</v>
      </c>
      <c r="S75" s="446">
        <f t="shared" si="8"/>
        <v>95000</v>
      </c>
      <c r="T75" s="446">
        <f t="shared" si="9"/>
        <v>124701.791256</v>
      </c>
      <c r="U75" s="446"/>
      <c r="V75" s="446">
        <f t="shared" si="11"/>
        <v>348701.791256</v>
      </c>
      <c r="W75" s="453">
        <v>12</v>
      </c>
      <c r="X75" s="446">
        <f t="shared" si="12"/>
        <v>29058.4826046667</v>
      </c>
      <c r="Y75" s="449"/>
      <c r="Z75" s="446">
        <f t="shared" si="13"/>
        <v>29058.4826046667</v>
      </c>
      <c r="AA75" s="192">
        <v>29058.4826046667</v>
      </c>
      <c r="AB75" s="192">
        <f t="shared" si="54"/>
        <v>0</v>
      </c>
      <c r="AC75" s="192"/>
      <c r="AD75" s="192"/>
      <c r="AE75" s="192"/>
    </row>
    <row r="76" spans="1:31" ht="18">
      <c r="A76" s="520"/>
      <c r="B76" s="10" t="s">
        <v>347</v>
      </c>
      <c r="C76" s="446">
        <v>223717.28450000001</v>
      </c>
      <c r="D76" s="445">
        <v>12</v>
      </c>
      <c r="E76" s="446">
        <f t="shared" si="53"/>
        <v>2684607.4139999999</v>
      </c>
      <c r="F76" s="446"/>
      <c r="G76" s="449"/>
      <c r="H76" s="449"/>
      <c r="I76" s="446">
        <f t="shared" ref="I76" si="55">E76-F76-G76-H76</f>
        <v>2684607.4139999999</v>
      </c>
      <c r="J76" s="446">
        <v>200000</v>
      </c>
      <c r="K76" s="446">
        <v>0.2</v>
      </c>
      <c r="L76" s="446">
        <f t="shared" ref="L76" si="56">I76*K76</f>
        <v>536921.4828</v>
      </c>
      <c r="M76" s="446">
        <f t="shared" ref="M76" si="57">J76+L76</f>
        <v>736921.4828</v>
      </c>
      <c r="N76" s="446">
        <f t="shared" ref="N76" si="58">F76+G76+H76+M76</f>
        <v>736921.4828</v>
      </c>
      <c r="O76" s="446">
        <f t="shared" ref="O76" si="59">E76-N76</f>
        <v>1947685.9312</v>
      </c>
      <c r="P76" s="446">
        <f t="shared" ref="P76" si="60">IF(O76&lt;300000,0.07*O76,21000)</f>
        <v>21000</v>
      </c>
      <c r="Q76" s="446">
        <f t="shared" ref="Q76" si="61">IF((O76-300000)&lt;0,0,IF((O76-300000)&lt;300000,0.11*(O76-300000),33000))</f>
        <v>33000</v>
      </c>
      <c r="R76" s="446">
        <f t="shared" ref="R76" si="62">IF((O76-600000)&lt;0,0,IF((O76-600000)&lt;500000,0.15*(O76-600000),75000))</f>
        <v>75000</v>
      </c>
      <c r="S76" s="446">
        <f t="shared" ref="S76" si="63">IF((O76-1100000)&lt;0,0,IF((O76-1100000)&lt;500000,0.19*(O76-1100000),95000))</f>
        <v>95000</v>
      </c>
      <c r="T76" s="446">
        <f t="shared" ref="T76" si="64">IF((O76-1600000)&lt;0,0,IF((O76-1600000)&lt;1600000,0.21*(O76-1600000),336000))</f>
        <v>73014.045551999996</v>
      </c>
      <c r="U76" s="446">
        <v>0</v>
      </c>
      <c r="V76" s="446">
        <f t="shared" ref="V76" si="65">P76+Q76+R76+S76+T76+U76</f>
        <v>297014.045552</v>
      </c>
      <c r="W76" s="453">
        <v>12</v>
      </c>
      <c r="X76" s="446">
        <f t="shared" ref="X76" si="66">V76/W76</f>
        <v>24751.170462666701</v>
      </c>
      <c r="Y76" s="449"/>
      <c r="Z76" s="446">
        <f t="shared" ref="Z76" si="67">X76</f>
        <v>24751.170462666701</v>
      </c>
      <c r="AA76" s="192">
        <v>24751.170462666701</v>
      </c>
      <c r="AB76" s="192">
        <f t="shared" si="54"/>
        <v>0</v>
      </c>
      <c r="AC76" s="192"/>
      <c r="AD76" s="192"/>
      <c r="AE76" s="192"/>
    </row>
    <row r="77" spans="1:31" ht="17.5">
      <c r="A77" s="520"/>
      <c r="B77" s="19" t="s">
        <v>34</v>
      </c>
      <c r="C77" s="446"/>
      <c r="D77" s="445"/>
      <c r="E77" s="446"/>
      <c r="F77" s="446"/>
      <c r="G77" s="449"/>
      <c r="H77" s="449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53"/>
      <c r="X77" s="446"/>
      <c r="Y77" s="449"/>
      <c r="Z77" s="446"/>
      <c r="AA77" s="192"/>
      <c r="AB77" s="536">
        <f>SUM(AB70:AB76)</f>
        <v>15551.52944</v>
      </c>
      <c r="AC77" s="192"/>
      <c r="AD77" s="192"/>
      <c r="AE77" s="192"/>
    </row>
    <row r="78" spans="1:31" ht="17.5">
      <c r="A78" s="520">
        <v>66</v>
      </c>
      <c r="B78" s="19"/>
      <c r="C78" s="446"/>
      <c r="D78" s="445"/>
      <c r="E78" s="446"/>
      <c r="F78" s="446"/>
      <c r="G78" s="449"/>
      <c r="H78" s="449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53"/>
      <c r="X78" s="446"/>
      <c r="Y78" s="449"/>
      <c r="Z78" s="446"/>
      <c r="AA78" s="192"/>
      <c r="AB78" s="192"/>
      <c r="AC78" s="192"/>
      <c r="AD78" s="192"/>
      <c r="AE78" s="192"/>
    </row>
    <row r="79" spans="1:31" ht="35">
      <c r="A79" s="520">
        <v>67</v>
      </c>
      <c r="B79" s="19" t="s">
        <v>56</v>
      </c>
      <c r="C79" s="446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B79" t="s">
        <v>522</v>
      </c>
      <c r="AC79" s="192"/>
      <c r="AD79" s="192"/>
      <c r="AE79" s="192"/>
    </row>
    <row r="80" spans="1:31" ht="18">
      <c r="A80" s="520">
        <v>68</v>
      </c>
      <c r="B80" s="10" t="s">
        <v>349</v>
      </c>
      <c r="C80" s="446">
        <v>627553.50249999994</v>
      </c>
      <c r="D80" s="445">
        <v>12</v>
      </c>
      <c r="E80" s="446">
        <f>C80*D80</f>
        <v>7530642.0300000003</v>
      </c>
      <c r="F80" s="446"/>
      <c r="G80" s="449"/>
      <c r="H80" s="449"/>
      <c r="I80" s="446">
        <f t="shared" ref="I80:I89" si="68">E80-F80-G80-H80</f>
        <v>7530642.0300000003</v>
      </c>
      <c r="J80" s="446">
        <v>200000</v>
      </c>
      <c r="K80" s="446">
        <v>0.2</v>
      </c>
      <c r="L80" s="446">
        <f t="shared" ref="L80:L89" si="69">I80*K80</f>
        <v>1506128.406</v>
      </c>
      <c r="M80" s="446">
        <f t="shared" ref="M80:M89" si="70">J80+L80</f>
        <v>1706128.406</v>
      </c>
      <c r="N80" s="446">
        <f t="shared" ref="N80:N89" si="71">F80+G80+H80+M80</f>
        <v>1706128.406</v>
      </c>
      <c r="O80" s="446">
        <f t="shared" ref="O80:O89" si="72">E80-N80</f>
        <v>5824513.6239999998</v>
      </c>
      <c r="P80" s="446">
        <f t="shared" ref="P80:P89" si="73">IF(O80&lt;300000,0.07*O80,21000)</f>
        <v>21000</v>
      </c>
      <c r="Q80" s="446">
        <f t="shared" ref="Q80:Q89" si="74">IF((O80-300000)&lt;0,0,IF((O80-300000)&lt;300000,0.11*(O80-300000),33000))</f>
        <v>33000</v>
      </c>
      <c r="R80" s="446">
        <f t="shared" ref="R80:R89" si="75">IF((O80-600000)&lt;0,0,IF((O80-600000)&lt;500000,0.15*(O80-600000),75000))</f>
        <v>75000</v>
      </c>
      <c r="S80" s="446">
        <f t="shared" ref="S80:S89" si="76">IF((O80-1100000)&lt;0,0,IF((O80-1100000)&lt;500000,0.19*(O80-1100000),95000))</f>
        <v>95000</v>
      </c>
      <c r="T80" s="446">
        <f t="shared" ref="T80:T89" si="77">IF((O80-1600000)&lt;0,0,IF((O80-1600000)&lt;1600000,0.21*(O80-1600000),336000))</f>
        <v>336000</v>
      </c>
      <c r="U80" s="446">
        <f t="shared" ref="U80:U85" si="78">24%*(O80-3200000)</f>
        <v>629883.26976000005</v>
      </c>
      <c r="V80" s="446">
        <f t="shared" ref="V80:V89" si="79">P80+Q80+R80+S80+T80+U80</f>
        <v>1189883.2697600001</v>
      </c>
      <c r="W80" s="453">
        <v>12</v>
      </c>
      <c r="X80" s="446">
        <f t="shared" ref="X80:X89" si="80">V80/W80</f>
        <v>99156.9391466667</v>
      </c>
      <c r="Y80" s="449"/>
      <c r="Z80" s="446">
        <f t="shared" ref="Z80:Z89" si="81">X80</f>
        <v>99156.9391466667</v>
      </c>
      <c r="AA80" s="523">
        <v>99156.9391466667</v>
      </c>
      <c r="AB80" s="531">
        <f>Z80-AA80</f>
        <v>0</v>
      </c>
      <c r="AC80" s="192" t="s">
        <v>349</v>
      </c>
      <c r="AD80" s="192"/>
      <c r="AE80" s="192"/>
    </row>
    <row r="81" spans="1:31" s="516" customFormat="1" ht="18">
      <c r="A81" s="524">
        <v>69</v>
      </c>
      <c r="B81" s="10" t="s">
        <v>350</v>
      </c>
      <c r="C81" s="446">
        <v>527553.50249999994</v>
      </c>
      <c r="D81" s="445">
        <v>12</v>
      </c>
      <c r="E81" s="446">
        <f t="shared" ref="E81:E87" si="82">C81*D81</f>
        <v>6330642.0300000003</v>
      </c>
      <c r="F81" s="446">
        <f>'[5]JANUARY 2024'!$V$86*12</f>
        <v>10052.25</v>
      </c>
      <c r="G81" s="449"/>
      <c r="H81" s="449"/>
      <c r="I81" s="446">
        <f t="shared" si="68"/>
        <v>6320589.7800000003</v>
      </c>
      <c r="J81" s="446">
        <v>200000</v>
      </c>
      <c r="K81" s="446">
        <v>0.2</v>
      </c>
      <c r="L81" s="446">
        <f t="shared" si="69"/>
        <v>1264117.956</v>
      </c>
      <c r="M81" s="446">
        <f t="shared" si="70"/>
        <v>1464117.956</v>
      </c>
      <c r="N81" s="446">
        <f t="shared" si="71"/>
        <v>1474170.206</v>
      </c>
      <c r="O81" s="446">
        <f t="shared" si="72"/>
        <v>4856471.824</v>
      </c>
      <c r="P81" s="446">
        <f t="shared" si="73"/>
        <v>21000</v>
      </c>
      <c r="Q81" s="446">
        <f t="shared" si="74"/>
        <v>33000</v>
      </c>
      <c r="R81" s="446">
        <f t="shared" si="75"/>
        <v>75000</v>
      </c>
      <c r="S81" s="446">
        <f t="shared" si="76"/>
        <v>95000</v>
      </c>
      <c r="T81" s="446">
        <f t="shared" si="77"/>
        <v>336000</v>
      </c>
      <c r="U81" s="446">
        <f t="shared" si="78"/>
        <v>397553.23775999999</v>
      </c>
      <c r="V81" s="446">
        <f t="shared" si="79"/>
        <v>957553.23776000005</v>
      </c>
      <c r="W81" s="453">
        <v>12</v>
      </c>
      <c r="X81" s="446">
        <f t="shared" si="80"/>
        <v>79796.103146666603</v>
      </c>
      <c r="Y81" s="449"/>
      <c r="Z81" s="446">
        <f t="shared" si="81"/>
        <v>79796.103146666603</v>
      </c>
      <c r="AA81" s="523">
        <v>98996.103146666705</v>
      </c>
      <c r="AB81" s="531">
        <f t="shared" ref="AB81:AB87" si="83">Z81-AA81</f>
        <v>-19200</v>
      </c>
      <c r="AC81" s="533" t="s">
        <v>350</v>
      </c>
      <c r="AD81" s="533"/>
      <c r="AE81" s="533"/>
    </row>
    <row r="82" spans="1:31" s="516" customFormat="1" ht="36">
      <c r="A82" s="524">
        <v>70</v>
      </c>
      <c r="B82" s="10" t="s">
        <v>351</v>
      </c>
      <c r="C82" s="446">
        <v>504729.22200000001</v>
      </c>
      <c r="D82" s="445">
        <v>12</v>
      </c>
      <c r="E82" s="446">
        <f t="shared" si="82"/>
        <v>6056750.6639999999</v>
      </c>
      <c r="F82" s="446"/>
      <c r="G82" s="449"/>
      <c r="H82" s="449"/>
      <c r="I82" s="446">
        <f t="shared" si="68"/>
        <v>6056750.6639999999</v>
      </c>
      <c r="J82" s="446">
        <v>200000</v>
      </c>
      <c r="K82" s="446">
        <v>0.2</v>
      </c>
      <c r="L82" s="446">
        <f t="shared" si="69"/>
        <v>1211350.1328</v>
      </c>
      <c r="M82" s="446">
        <f t="shared" si="70"/>
        <v>1411350.1328</v>
      </c>
      <c r="N82" s="446">
        <f t="shared" si="71"/>
        <v>1411350.1328</v>
      </c>
      <c r="O82" s="446">
        <f t="shared" si="72"/>
        <v>4645400.5312000001</v>
      </c>
      <c r="P82" s="446">
        <f t="shared" si="73"/>
        <v>21000</v>
      </c>
      <c r="Q82" s="446">
        <f t="shared" si="74"/>
        <v>33000</v>
      </c>
      <c r="R82" s="446">
        <f t="shared" si="75"/>
        <v>75000</v>
      </c>
      <c r="S82" s="446">
        <f t="shared" si="76"/>
        <v>95000</v>
      </c>
      <c r="T82" s="446">
        <f t="shared" si="77"/>
        <v>336000</v>
      </c>
      <c r="U82" s="446">
        <f t="shared" si="78"/>
        <v>346896.12748800003</v>
      </c>
      <c r="V82" s="446">
        <f t="shared" si="79"/>
        <v>906896.12748799997</v>
      </c>
      <c r="W82" s="453">
        <v>12</v>
      </c>
      <c r="X82" s="446">
        <f t="shared" si="80"/>
        <v>75574.677290666703</v>
      </c>
      <c r="Y82" s="449"/>
      <c r="Z82" s="446">
        <f t="shared" si="81"/>
        <v>75574.677290666703</v>
      </c>
      <c r="AA82" s="537">
        <v>79956.9391466667</v>
      </c>
      <c r="AB82" s="531">
        <f t="shared" si="83"/>
        <v>-4382.2618559999701</v>
      </c>
      <c r="AC82" s="533" t="s">
        <v>351</v>
      </c>
      <c r="AD82" s="533"/>
      <c r="AE82" s="533"/>
    </row>
    <row r="83" spans="1:31" ht="18">
      <c r="A83" s="520">
        <v>71</v>
      </c>
      <c r="B83" s="10" t="s">
        <v>352</v>
      </c>
      <c r="C83" s="446">
        <v>376663.07750000001</v>
      </c>
      <c r="D83" s="445">
        <v>12</v>
      </c>
      <c r="E83" s="446">
        <f t="shared" si="82"/>
        <v>4519956.93</v>
      </c>
      <c r="F83" s="446"/>
      <c r="G83" s="449"/>
      <c r="H83" s="449"/>
      <c r="I83" s="446">
        <f t="shared" si="68"/>
        <v>4519956.93</v>
      </c>
      <c r="J83" s="446">
        <v>200000</v>
      </c>
      <c r="K83" s="446">
        <v>0.2</v>
      </c>
      <c r="L83" s="446">
        <f t="shared" si="69"/>
        <v>903991.38600000006</v>
      </c>
      <c r="M83" s="446">
        <f t="shared" si="70"/>
        <v>1103991.3859999999</v>
      </c>
      <c r="N83" s="446">
        <f t="shared" si="71"/>
        <v>1103991.3859999999</v>
      </c>
      <c r="O83" s="446">
        <f t="shared" si="72"/>
        <v>3415965.5440000002</v>
      </c>
      <c r="P83" s="446">
        <f t="shared" si="73"/>
        <v>21000</v>
      </c>
      <c r="Q83" s="446">
        <f t="shared" si="74"/>
        <v>33000</v>
      </c>
      <c r="R83" s="446">
        <f t="shared" si="75"/>
        <v>75000</v>
      </c>
      <c r="S83" s="446">
        <f t="shared" si="76"/>
        <v>95000</v>
      </c>
      <c r="T83" s="446">
        <f t="shared" si="77"/>
        <v>336000</v>
      </c>
      <c r="U83" s="446">
        <f t="shared" si="78"/>
        <v>51831.730559999902</v>
      </c>
      <c r="V83" s="446">
        <f t="shared" si="79"/>
        <v>611831.73056000005</v>
      </c>
      <c r="W83" s="453">
        <v>12</v>
      </c>
      <c r="X83" s="446">
        <f t="shared" si="80"/>
        <v>50985.977546666698</v>
      </c>
      <c r="Y83" s="449"/>
      <c r="Z83" s="446">
        <f t="shared" si="81"/>
        <v>50985.977546666698</v>
      </c>
      <c r="AA83" s="537">
        <v>75574.677290666703</v>
      </c>
      <c r="AB83" s="531">
        <f t="shared" si="83"/>
        <v>-24588.699744000001</v>
      </c>
      <c r="AC83" s="192" t="s">
        <v>352</v>
      </c>
      <c r="AD83" s="192"/>
      <c r="AE83" s="192"/>
    </row>
    <row r="84" spans="1:31" ht="18">
      <c r="A84" s="520">
        <v>72</v>
      </c>
      <c r="B84" s="10" t="s">
        <v>354</v>
      </c>
      <c r="C84" s="446">
        <v>369177.65375</v>
      </c>
      <c r="D84" s="445">
        <v>12</v>
      </c>
      <c r="E84" s="446">
        <f t="shared" si="82"/>
        <v>4430131.8449999997</v>
      </c>
      <c r="F84" s="446"/>
      <c r="G84" s="449"/>
      <c r="H84" s="449"/>
      <c r="I84" s="446">
        <f t="shared" si="68"/>
        <v>4430131.8449999997</v>
      </c>
      <c r="J84" s="446">
        <v>200000</v>
      </c>
      <c r="K84" s="446">
        <v>0.2</v>
      </c>
      <c r="L84" s="446">
        <f t="shared" si="69"/>
        <v>886026.36899999995</v>
      </c>
      <c r="M84" s="446">
        <f t="shared" si="70"/>
        <v>1086026.3689999999</v>
      </c>
      <c r="N84" s="446">
        <f t="shared" si="71"/>
        <v>1086026.3689999999</v>
      </c>
      <c r="O84" s="446">
        <f t="shared" si="72"/>
        <v>3344105.4759999998</v>
      </c>
      <c r="P84" s="446">
        <f t="shared" si="73"/>
        <v>21000</v>
      </c>
      <c r="Q84" s="446">
        <f t="shared" si="74"/>
        <v>33000</v>
      </c>
      <c r="R84" s="446">
        <f t="shared" si="75"/>
        <v>75000</v>
      </c>
      <c r="S84" s="446">
        <f t="shared" si="76"/>
        <v>95000</v>
      </c>
      <c r="T84" s="446">
        <f t="shared" si="77"/>
        <v>336000</v>
      </c>
      <c r="U84" s="446">
        <f t="shared" si="78"/>
        <v>34585.314239999898</v>
      </c>
      <c r="V84" s="446">
        <f t="shared" si="79"/>
        <v>594585.31423999998</v>
      </c>
      <c r="W84" s="453">
        <v>12</v>
      </c>
      <c r="X84" s="446">
        <f t="shared" si="80"/>
        <v>49548.776186666699</v>
      </c>
      <c r="Y84" s="449"/>
      <c r="Z84" s="446">
        <f t="shared" si="81"/>
        <v>49548.776186666699</v>
      </c>
      <c r="AA84" s="523">
        <v>50985.977546666698</v>
      </c>
      <c r="AB84" s="531">
        <f t="shared" si="83"/>
        <v>-1437.20136</v>
      </c>
      <c r="AC84" s="192" t="s">
        <v>354</v>
      </c>
      <c r="AD84" s="192"/>
      <c r="AE84" s="192"/>
    </row>
    <row r="85" spans="1:31" s="516" customFormat="1" ht="36">
      <c r="A85" s="524">
        <v>73</v>
      </c>
      <c r="B85" s="10" t="s">
        <v>355</v>
      </c>
      <c r="C85" s="446">
        <v>389153.05674999999</v>
      </c>
      <c r="D85" s="445">
        <v>12</v>
      </c>
      <c r="E85" s="446">
        <f t="shared" si="82"/>
        <v>4669836.6809999999</v>
      </c>
      <c r="F85" s="446"/>
      <c r="G85" s="449"/>
      <c r="H85" s="449"/>
      <c r="I85" s="446">
        <f t="shared" si="68"/>
        <v>4669836.6809999999</v>
      </c>
      <c r="J85" s="446">
        <v>200000</v>
      </c>
      <c r="K85" s="446">
        <v>0.2</v>
      </c>
      <c r="L85" s="446">
        <f t="shared" si="69"/>
        <v>933967.33620000002</v>
      </c>
      <c r="M85" s="446">
        <f t="shared" si="70"/>
        <v>1133967.3362</v>
      </c>
      <c r="N85" s="446">
        <f t="shared" si="71"/>
        <v>1133967.3362</v>
      </c>
      <c r="O85" s="446">
        <f t="shared" si="72"/>
        <v>3535869.3448000001</v>
      </c>
      <c r="P85" s="446">
        <f t="shared" si="73"/>
        <v>21000</v>
      </c>
      <c r="Q85" s="446">
        <f t="shared" si="74"/>
        <v>33000</v>
      </c>
      <c r="R85" s="446">
        <f t="shared" si="75"/>
        <v>75000</v>
      </c>
      <c r="S85" s="446">
        <f t="shared" si="76"/>
        <v>95000</v>
      </c>
      <c r="T85" s="446">
        <f t="shared" si="77"/>
        <v>336000</v>
      </c>
      <c r="U85" s="446">
        <f t="shared" si="78"/>
        <v>80608.642752</v>
      </c>
      <c r="V85" s="446">
        <f t="shared" si="79"/>
        <v>640608.64275200001</v>
      </c>
      <c r="W85" s="453">
        <v>12</v>
      </c>
      <c r="X85" s="446">
        <f t="shared" si="80"/>
        <v>53384.053562666697</v>
      </c>
      <c r="Y85" s="449"/>
      <c r="Z85" s="528">
        <f t="shared" si="81"/>
        <v>53384.053562666697</v>
      </c>
      <c r="AA85" s="528">
        <v>49548.776186666699</v>
      </c>
      <c r="AB85" s="529">
        <f t="shared" si="83"/>
        <v>3835.27737600001</v>
      </c>
      <c r="AC85" s="533" t="s">
        <v>355</v>
      </c>
      <c r="AD85" s="533"/>
      <c r="AE85" s="533"/>
    </row>
    <row r="86" spans="1:31" ht="18">
      <c r="A86" s="520">
        <v>74</v>
      </c>
      <c r="B86" s="10" t="s">
        <v>357</v>
      </c>
      <c r="C86" s="446">
        <v>322454.07400000002</v>
      </c>
      <c r="D86" s="445">
        <v>12</v>
      </c>
      <c r="E86" s="446">
        <f t="shared" si="82"/>
        <v>3869448.8879999998</v>
      </c>
      <c r="F86" s="446"/>
      <c r="G86" s="449"/>
      <c r="H86" s="449"/>
      <c r="I86" s="446">
        <f t="shared" si="68"/>
        <v>3869448.8879999998</v>
      </c>
      <c r="J86" s="446">
        <v>200000</v>
      </c>
      <c r="K86" s="446">
        <v>0.2</v>
      </c>
      <c r="L86" s="446">
        <f t="shared" si="69"/>
        <v>773889.77760000003</v>
      </c>
      <c r="M86" s="446">
        <f t="shared" si="70"/>
        <v>973889.77760000003</v>
      </c>
      <c r="N86" s="446">
        <f t="shared" si="71"/>
        <v>973889.77760000003</v>
      </c>
      <c r="O86" s="446">
        <f t="shared" si="72"/>
        <v>2895559.1104000001</v>
      </c>
      <c r="P86" s="446">
        <f t="shared" si="73"/>
        <v>21000</v>
      </c>
      <c r="Q86" s="446">
        <f t="shared" si="74"/>
        <v>33000</v>
      </c>
      <c r="R86" s="446">
        <f t="shared" si="75"/>
        <v>75000</v>
      </c>
      <c r="S86" s="446">
        <f t="shared" si="76"/>
        <v>95000</v>
      </c>
      <c r="T86" s="446">
        <f t="shared" si="77"/>
        <v>272067.413184</v>
      </c>
      <c r="U86" s="446"/>
      <c r="V86" s="446">
        <f t="shared" si="79"/>
        <v>496067.413184</v>
      </c>
      <c r="W86" s="453">
        <v>12</v>
      </c>
      <c r="X86" s="446">
        <f t="shared" si="80"/>
        <v>41338.951098666701</v>
      </c>
      <c r="Y86" s="449"/>
      <c r="Z86" s="446">
        <f t="shared" si="81"/>
        <v>41338.951098666701</v>
      </c>
      <c r="AA86" s="537">
        <v>53384.053562666697</v>
      </c>
      <c r="AB86" s="531">
        <f t="shared" si="83"/>
        <v>-12045.102464</v>
      </c>
      <c r="AC86" s="192" t="s">
        <v>357</v>
      </c>
      <c r="AD86" s="192"/>
      <c r="AE86" s="192"/>
    </row>
    <row r="87" spans="1:31" ht="24" customHeight="1">
      <c r="A87" s="520">
        <v>75</v>
      </c>
      <c r="B87" s="10" t="s">
        <v>358</v>
      </c>
      <c r="C87" s="446">
        <v>346713.03324999998</v>
      </c>
      <c r="D87" s="445">
        <v>12</v>
      </c>
      <c r="E87" s="446">
        <f t="shared" si="82"/>
        <v>4160556.3990000002</v>
      </c>
      <c r="F87" s="446">
        <f>'[5]JANUARY 2024'!$V$92*12</f>
        <v>6922.4970000000003</v>
      </c>
      <c r="G87" s="449"/>
      <c r="H87" s="449"/>
      <c r="I87" s="446">
        <f t="shared" si="68"/>
        <v>4153633.9019999998</v>
      </c>
      <c r="J87" s="446">
        <v>200000</v>
      </c>
      <c r="K87" s="446">
        <v>0.2</v>
      </c>
      <c r="L87" s="446">
        <f t="shared" si="69"/>
        <v>830726.78040000005</v>
      </c>
      <c r="M87" s="446">
        <f t="shared" si="70"/>
        <v>1030726.7804</v>
      </c>
      <c r="N87" s="446">
        <f t="shared" si="71"/>
        <v>1037649.2774</v>
      </c>
      <c r="O87" s="446">
        <f t="shared" si="72"/>
        <v>3122907.1216000002</v>
      </c>
      <c r="P87" s="446">
        <f t="shared" si="73"/>
        <v>21000</v>
      </c>
      <c r="Q87" s="446">
        <f t="shared" si="74"/>
        <v>33000</v>
      </c>
      <c r="R87" s="446">
        <f t="shared" si="75"/>
        <v>75000</v>
      </c>
      <c r="S87" s="446">
        <f t="shared" si="76"/>
        <v>95000</v>
      </c>
      <c r="T87" s="446">
        <f t="shared" si="77"/>
        <v>319810.495536</v>
      </c>
      <c r="U87" s="446"/>
      <c r="V87" s="446">
        <f t="shared" si="79"/>
        <v>543810.495536</v>
      </c>
      <c r="W87" s="453">
        <v>12</v>
      </c>
      <c r="X87" s="446">
        <f t="shared" si="80"/>
        <v>45317.541294666698</v>
      </c>
      <c r="Y87" s="449"/>
      <c r="Z87" s="528">
        <f t="shared" si="81"/>
        <v>45317.541294666698</v>
      </c>
      <c r="AA87" s="528">
        <v>41242.0361406667</v>
      </c>
      <c r="AB87" s="529">
        <f t="shared" si="83"/>
        <v>4075.5051539999999</v>
      </c>
      <c r="AC87" s="192" t="s">
        <v>358</v>
      </c>
      <c r="AD87" s="192"/>
      <c r="AE87" s="192"/>
    </row>
    <row r="88" spans="1:31" ht="18">
      <c r="A88" s="520">
        <v>76</v>
      </c>
      <c r="B88" s="10" t="s">
        <v>359</v>
      </c>
      <c r="C88" s="446">
        <v>277734.04700000002</v>
      </c>
      <c r="D88" s="445">
        <v>12</v>
      </c>
      <c r="E88" s="446">
        <f t="shared" ref="E88:E89" si="84">C88*D88</f>
        <v>3332808.5639999998</v>
      </c>
      <c r="F88" s="446"/>
      <c r="G88" s="449"/>
      <c r="H88" s="449"/>
      <c r="I88" s="446">
        <f t="shared" si="68"/>
        <v>3332808.5639999998</v>
      </c>
      <c r="J88" s="446">
        <v>200000</v>
      </c>
      <c r="K88" s="446">
        <v>0.2</v>
      </c>
      <c r="L88" s="446">
        <f t="shared" si="69"/>
        <v>666561.71279999998</v>
      </c>
      <c r="M88" s="446">
        <f t="shared" si="70"/>
        <v>866561.71279999998</v>
      </c>
      <c r="N88" s="446">
        <f t="shared" si="71"/>
        <v>866561.71279999998</v>
      </c>
      <c r="O88" s="446">
        <f t="shared" si="72"/>
        <v>2466246.8511999999</v>
      </c>
      <c r="P88" s="446">
        <f t="shared" si="73"/>
        <v>21000</v>
      </c>
      <c r="Q88" s="446">
        <f t="shared" si="74"/>
        <v>33000</v>
      </c>
      <c r="R88" s="446">
        <f t="shared" si="75"/>
        <v>75000</v>
      </c>
      <c r="S88" s="446">
        <f t="shared" si="76"/>
        <v>95000</v>
      </c>
      <c r="T88" s="446">
        <f t="shared" si="77"/>
        <v>181911.83875200001</v>
      </c>
      <c r="U88" s="446"/>
      <c r="V88" s="446">
        <f t="shared" si="79"/>
        <v>405911.83875200001</v>
      </c>
      <c r="W88" s="453">
        <v>12</v>
      </c>
      <c r="X88" s="446">
        <f t="shared" si="80"/>
        <v>33825.986562666702</v>
      </c>
      <c r="Y88" s="449"/>
      <c r="Z88" s="446">
        <f t="shared" si="81"/>
        <v>33825.986562666702</v>
      </c>
      <c r="AA88" s="523">
        <v>45414.4562526667</v>
      </c>
      <c r="AB88" s="531">
        <f t="shared" ref="AB88:AB89" si="85">Z88-AA88</f>
        <v>-11588.46969</v>
      </c>
      <c r="AC88" s="192" t="s">
        <v>359</v>
      </c>
      <c r="AD88" s="192"/>
      <c r="AE88" s="192"/>
    </row>
    <row r="89" spans="1:31" ht="18">
      <c r="A89" s="520"/>
      <c r="B89" s="10" t="s">
        <v>361</v>
      </c>
      <c r="C89" s="446">
        <v>254870.26344499999</v>
      </c>
      <c r="D89" s="445">
        <v>12</v>
      </c>
      <c r="E89" s="446">
        <f t="shared" si="84"/>
        <v>3058443.1613400001</v>
      </c>
      <c r="F89" s="446"/>
      <c r="G89" s="449"/>
      <c r="H89" s="449"/>
      <c r="I89" s="446">
        <f t="shared" si="68"/>
        <v>3058443.1613400001</v>
      </c>
      <c r="J89" s="446">
        <v>200000</v>
      </c>
      <c r="K89" s="446">
        <v>0.2</v>
      </c>
      <c r="L89" s="446">
        <f t="shared" si="69"/>
        <v>611688.63226800004</v>
      </c>
      <c r="M89" s="446">
        <f t="shared" si="70"/>
        <v>811688.63226800004</v>
      </c>
      <c r="N89" s="446">
        <f t="shared" si="71"/>
        <v>811688.63226800004</v>
      </c>
      <c r="O89" s="446">
        <f t="shared" si="72"/>
        <v>2246754.5290720002</v>
      </c>
      <c r="P89" s="446">
        <f t="shared" si="73"/>
        <v>21000</v>
      </c>
      <c r="Q89" s="446">
        <f t="shared" si="74"/>
        <v>33000</v>
      </c>
      <c r="R89" s="446">
        <f t="shared" si="75"/>
        <v>75000</v>
      </c>
      <c r="S89" s="446">
        <f t="shared" si="76"/>
        <v>95000</v>
      </c>
      <c r="T89" s="446">
        <f t="shared" si="77"/>
        <v>135818.45110512001</v>
      </c>
      <c r="U89" s="446"/>
      <c r="V89" s="446">
        <f t="shared" si="79"/>
        <v>359818.45110512001</v>
      </c>
      <c r="W89" s="453">
        <v>12</v>
      </c>
      <c r="X89" s="446">
        <f t="shared" si="80"/>
        <v>29984.870925426701</v>
      </c>
      <c r="Y89" s="449"/>
      <c r="Z89" s="446">
        <f t="shared" si="81"/>
        <v>29984.870925426701</v>
      </c>
      <c r="AA89" s="523">
        <v>33825.986562666702</v>
      </c>
      <c r="AB89" s="531">
        <f t="shared" si="85"/>
        <v>-3841.1156372399901</v>
      </c>
      <c r="AC89" s="192" t="s">
        <v>361</v>
      </c>
      <c r="AD89" s="192"/>
      <c r="AE89" s="192"/>
    </row>
    <row r="90" spans="1:31" ht="17.5">
      <c r="A90" s="520"/>
      <c r="B90" s="19"/>
      <c r="C90" s="446"/>
      <c r="D90" s="445"/>
      <c r="E90" s="446"/>
      <c r="F90" s="446"/>
      <c r="G90" s="449"/>
      <c r="H90" s="449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53"/>
      <c r="X90" s="446"/>
      <c r="Y90" s="449"/>
      <c r="Z90" s="446"/>
      <c r="AA90" s="192"/>
      <c r="AB90" s="536">
        <f>SUM(AB80:AB89)</f>
        <v>-69172.068221239999</v>
      </c>
      <c r="AC90" s="192"/>
      <c r="AD90" s="192"/>
      <c r="AE90" s="192"/>
    </row>
    <row r="91" spans="1:31" ht="17.5">
      <c r="A91" s="520"/>
      <c r="B91" s="21"/>
      <c r="C91" s="446"/>
      <c r="D91" s="445"/>
      <c r="E91" s="446"/>
      <c r="F91" s="446"/>
      <c r="G91" s="449"/>
      <c r="H91" s="449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53"/>
      <c r="X91" s="446"/>
      <c r="Y91" s="449"/>
      <c r="Z91" s="446"/>
      <c r="AA91" s="192"/>
      <c r="AB91" s="192"/>
      <c r="AC91" s="192"/>
      <c r="AD91" s="192"/>
      <c r="AE91" s="192"/>
    </row>
    <row r="92" spans="1:31" ht="17.5">
      <c r="A92" s="520">
        <v>78</v>
      </c>
      <c r="B92" s="19" t="s">
        <v>58</v>
      </c>
      <c r="C92" s="446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C92" s="192"/>
      <c r="AD92" s="192"/>
      <c r="AE92" s="192"/>
    </row>
    <row r="93" spans="1:31" s="516" customFormat="1" ht="36">
      <c r="A93" s="524">
        <v>79</v>
      </c>
      <c r="B93" s="13" t="s">
        <v>363</v>
      </c>
      <c r="C93" s="446">
        <v>541465.02474999998</v>
      </c>
      <c r="D93" s="445">
        <v>12</v>
      </c>
      <c r="E93" s="446">
        <f>C93*D93</f>
        <v>6497580.2970000003</v>
      </c>
      <c r="F93" s="446">
        <f>'[5]JANUARY 2024'!$V$98*12</f>
        <v>12795.950999999999</v>
      </c>
      <c r="G93" s="449"/>
      <c r="H93" s="449"/>
      <c r="I93" s="446">
        <f>E93-F93-G93-H93</f>
        <v>6484784.3459999999</v>
      </c>
      <c r="J93" s="446">
        <v>200000</v>
      </c>
      <c r="K93" s="446">
        <v>0.2</v>
      </c>
      <c r="L93" s="446">
        <f>I93*K93</f>
        <v>1296956.8692000001</v>
      </c>
      <c r="M93" s="446">
        <f>J93+L93</f>
        <v>1496956.8692000001</v>
      </c>
      <c r="N93" s="446">
        <f>F93+G93+H93+M93</f>
        <v>1509752.8202</v>
      </c>
      <c r="O93" s="446">
        <f>E93-N93</f>
        <v>4987827.4768000003</v>
      </c>
      <c r="P93" s="446">
        <f>IF(O93&lt;300000,0.07*O93,21000)</f>
        <v>21000</v>
      </c>
      <c r="Q93" s="446">
        <f>IF((O93-300000)&lt;0,0,IF((O93-300000)&lt;300000,0.11*(O93-300000),33000))</f>
        <v>33000</v>
      </c>
      <c r="R93" s="446">
        <f>IF((O93-600000)&lt;0,0,IF((O93-600000)&lt;500000,0.15*(O93-600000),75000))</f>
        <v>75000</v>
      </c>
      <c r="S93" s="446">
        <f>IF((O93-1100000)&lt;0,0,IF((O93-1100000)&lt;500000,0.19*(O93-1100000),95000))</f>
        <v>95000</v>
      </c>
      <c r="T93" s="446">
        <f>IF((O93-1600000)&lt;0,0,IF((O93-1600000)&lt;1600000,0.21*(O93-1600000),336000))</f>
        <v>336000</v>
      </c>
      <c r="U93" s="446">
        <f>24%*(O93-3200000)</f>
        <v>429078.59443200001</v>
      </c>
      <c r="V93" s="446">
        <f>P93+Q93+R93+S93+T93+U93</f>
        <v>989078.59443199995</v>
      </c>
      <c r="W93" s="453">
        <v>12</v>
      </c>
      <c r="X93" s="446">
        <f>V93/W93</f>
        <v>82423.216202666707</v>
      </c>
      <c r="Y93" s="449"/>
      <c r="Z93" s="446">
        <f>X93</f>
        <v>82423.216202666707</v>
      </c>
      <c r="AA93" s="192">
        <v>82423.216202666707</v>
      </c>
      <c r="AB93" s="531">
        <f>Z93-AA93</f>
        <v>0</v>
      </c>
      <c r="AC93" s="533" t="s">
        <v>363</v>
      </c>
      <c r="AD93" s="533"/>
      <c r="AE93" s="533"/>
    </row>
    <row r="94" spans="1:31" ht="18">
      <c r="A94" s="520">
        <v>80</v>
      </c>
      <c r="B94" s="10" t="s">
        <v>366</v>
      </c>
      <c r="C94" s="446">
        <v>335272.06374999997</v>
      </c>
      <c r="D94" s="445">
        <v>12</v>
      </c>
      <c r="E94" s="446">
        <f t="shared" ref="E94:E96" si="86">C94*D94</f>
        <v>4023264.7650000001</v>
      </c>
      <c r="F94" s="446"/>
      <c r="G94" s="449"/>
      <c r="H94" s="449"/>
      <c r="I94" s="446">
        <f>E94-F94-G94-H94</f>
        <v>4023264.7650000001</v>
      </c>
      <c r="J94" s="446">
        <v>200000</v>
      </c>
      <c r="K94" s="446">
        <v>0.2</v>
      </c>
      <c r="L94" s="446">
        <f>I94*K94</f>
        <v>804652.95299999998</v>
      </c>
      <c r="M94" s="446">
        <f>J94+L94</f>
        <v>1004652.953</v>
      </c>
      <c r="N94" s="446">
        <f>F94+G94+H94+M94</f>
        <v>1004652.953</v>
      </c>
      <c r="O94" s="446">
        <f>E94-N94</f>
        <v>3018611.8119999999</v>
      </c>
      <c r="P94" s="446">
        <f>IF(O94&lt;300000,0.07*O94,21000)</f>
        <v>21000</v>
      </c>
      <c r="Q94" s="446">
        <f>IF((O94-300000)&lt;0,0,IF((O94-300000)&lt;300000,0.11*(O94-300000),33000))</f>
        <v>33000</v>
      </c>
      <c r="R94" s="446">
        <f>IF((O94-600000)&lt;0,0,IF((O94-600000)&lt;500000,0.15*(O94-600000),75000))</f>
        <v>75000</v>
      </c>
      <c r="S94" s="446">
        <f>IF((O94-1100000)&lt;0,0,IF((O94-1100000)&lt;500000,0.19*(O94-1100000),95000))</f>
        <v>95000</v>
      </c>
      <c r="T94" s="446">
        <f>IF((O94-1600000)&lt;0,0,IF((O94-1600000)&lt;1600000,0.21*(O94-1600000),336000))</f>
        <v>297908.48051999998</v>
      </c>
      <c r="U94" s="446"/>
      <c r="V94" s="446">
        <f>P94+Q94+R94+S94+T94+U94</f>
        <v>521908.48051999998</v>
      </c>
      <c r="W94" s="453">
        <v>12</v>
      </c>
      <c r="X94" s="446">
        <f>V94/W94</f>
        <v>43492.373376666699</v>
      </c>
      <c r="Y94" s="449"/>
      <c r="Z94" s="446">
        <f>X94</f>
        <v>43492.373376666699</v>
      </c>
      <c r="AA94" s="533">
        <v>82627.951418666693</v>
      </c>
      <c r="AB94" s="531">
        <f t="shared" ref="AB94:AB96" si="87">Z94-AA94</f>
        <v>-39135.578042000001</v>
      </c>
      <c r="AC94" s="192" t="s">
        <v>366</v>
      </c>
      <c r="AD94" s="192"/>
      <c r="AE94" s="192"/>
    </row>
    <row r="95" spans="1:31" ht="36">
      <c r="A95" s="520">
        <v>81</v>
      </c>
      <c r="B95" s="10" t="s">
        <v>368</v>
      </c>
      <c r="C95" s="446">
        <v>284536.99849999999</v>
      </c>
      <c r="D95" s="445">
        <v>12</v>
      </c>
      <c r="E95" s="446">
        <f t="shared" si="86"/>
        <v>3414443.9819999998</v>
      </c>
      <c r="F95" s="446"/>
      <c r="G95" s="449"/>
      <c r="H95" s="449"/>
      <c r="I95" s="446">
        <f>E95-F95-G95-H95</f>
        <v>3414443.9819999998</v>
      </c>
      <c r="J95" s="446">
        <v>200000</v>
      </c>
      <c r="K95" s="446">
        <v>0.2</v>
      </c>
      <c r="L95" s="446">
        <f>I95*K95</f>
        <v>682888.79639999999</v>
      </c>
      <c r="M95" s="446">
        <f>J95+L95</f>
        <v>882888.79639999999</v>
      </c>
      <c r="N95" s="446">
        <f>F95+G95+H95+M95</f>
        <v>882888.79639999999</v>
      </c>
      <c r="O95" s="446">
        <f>E95-N95</f>
        <v>2531555.1856</v>
      </c>
      <c r="P95" s="446">
        <f>IF(O95&lt;300000,0.07*O95,21000)</f>
        <v>21000</v>
      </c>
      <c r="Q95" s="446">
        <f>IF((O95-300000)&lt;0,0,IF((O95-300000)&lt;300000,0.11*(O95-300000),33000))</f>
        <v>33000</v>
      </c>
      <c r="R95" s="446">
        <f>IF((O95-600000)&lt;0,0,IF((O95-600000)&lt;500000,0.15*(O95-600000),75000))</f>
        <v>75000</v>
      </c>
      <c r="S95" s="446">
        <f>IF((O95-1100000)&lt;0,0,IF((O95-1100000)&lt;500000,0.19*(O95-1100000),95000))</f>
        <v>95000</v>
      </c>
      <c r="T95" s="446">
        <f>IF((O95-1600000)&lt;0,0,IF((O95-1600000)&lt;1600000,0.21*(O95-1600000),336000))</f>
        <v>195626.588976</v>
      </c>
      <c r="U95" s="446"/>
      <c r="V95" s="446">
        <f>P95+Q95+R95+S95+T95+U95</f>
        <v>419626.58897600003</v>
      </c>
      <c r="W95" s="453">
        <v>12</v>
      </c>
      <c r="X95" s="446">
        <f>V95/W95</f>
        <v>34968.882414666703</v>
      </c>
      <c r="Y95" s="449"/>
      <c r="Z95" s="446">
        <f>X95</f>
        <v>34968.882414666703</v>
      </c>
      <c r="AA95" s="192">
        <v>43492.373376666699</v>
      </c>
      <c r="AB95" s="531">
        <f t="shared" si="87"/>
        <v>-8523.4909619999999</v>
      </c>
      <c r="AC95" s="192" t="s">
        <v>368</v>
      </c>
      <c r="AD95" s="192"/>
      <c r="AE95" s="192"/>
    </row>
    <row r="96" spans="1:31" ht="18">
      <c r="A96" s="520"/>
      <c r="B96" s="10" t="s">
        <v>370</v>
      </c>
      <c r="C96" s="446">
        <v>237734.04699999999</v>
      </c>
      <c r="D96" s="445">
        <v>12</v>
      </c>
      <c r="E96" s="446">
        <f t="shared" si="86"/>
        <v>2852808.5639999998</v>
      </c>
      <c r="F96" s="446"/>
      <c r="G96" s="449"/>
      <c r="H96" s="449"/>
      <c r="I96" s="446">
        <f>E96-F96-G96-H96</f>
        <v>2852808.5639999998</v>
      </c>
      <c r="J96" s="446">
        <v>200000</v>
      </c>
      <c r="K96" s="446">
        <v>0.2</v>
      </c>
      <c r="L96" s="446">
        <f>I96*K96</f>
        <v>570561.71279999998</v>
      </c>
      <c r="M96" s="446">
        <f>J96+L96</f>
        <v>770561.71279999998</v>
      </c>
      <c r="N96" s="446">
        <f>F96+G96+H96+M96</f>
        <v>770561.71279999998</v>
      </c>
      <c r="O96" s="446">
        <f>E96-N96</f>
        <v>2082246.8511999999</v>
      </c>
      <c r="P96" s="446">
        <f>IF(O96&lt;300000,0.07*O96,21000)</f>
        <v>21000</v>
      </c>
      <c r="Q96" s="446">
        <f>IF((O96-300000)&lt;0,0,IF((O96-300000)&lt;300000,0.11*(O96-300000),33000))</f>
        <v>33000</v>
      </c>
      <c r="R96" s="446">
        <f>IF((O96-600000)&lt;0,0,IF((O96-600000)&lt;500000,0.15*(O96-600000),75000))</f>
        <v>75000</v>
      </c>
      <c r="S96" s="446">
        <f>IF((O96-1100000)&lt;0,0,IF((O96-1100000)&lt;500000,0.19*(O96-1100000),95000))</f>
        <v>95000</v>
      </c>
      <c r="T96" s="446">
        <f>IF((O96-1600000)&lt;0,0,IF((O96-1600000)&lt;1600000,0.21*(O96-1600000),336000))</f>
        <v>101271.838752</v>
      </c>
      <c r="U96" s="446"/>
      <c r="V96" s="446">
        <f>P96+Q96+R96+S96+T96+U96</f>
        <v>325271.83875200001</v>
      </c>
      <c r="W96" s="453">
        <v>12</v>
      </c>
      <c r="X96" s="446">
        <f>V96/W96</f>
        <v>27105.986562666702</v>
      </c>
      <c r="Y96" s="449"/>
      <c r="Z96" s="446">
        <f>X96</f>
        <v>27105.986562666702</v>
      </c>
      <c r="AA96" s="192">
        <v>34968.882414666703</v>
      </c>
      <c r="AB96" s="531">
        <f t="shared" si="87"/>
        <v>-7862.8958520000097</v>
      </c>
      <c r="AC96" s="192" t="s">
        <v>370</v>
      </c>
      <c r="AD96" s="192"/>
      <c r="AE96" s="192"/>
    </row>
    <row r="97" spans="1:31" ht="17.5">
      <c r="A97" s="520"/>
      <c r="B97" s="19" t="s">
        <v>34</v>
      </c>
      <c r="C97" s="446"/>
      <c r="D97" s="445"/>
      <c r="E97" s="446"/>
      <c r="F97" s="446"/>
      <c r="G97" s="449"/>
      <c r="H97" s="449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53"/>
      <c r="X97" s="446"/>
      <c r="Y97" s="449"/>
      <c r="Z97" s="446"/>
      <c r="AA97" s="192"/>
      <c r="AB97" s="536">
        <f>SUM(AB93:AB96)</f>
        <v>-55521.964855999999</v>
      </c>
      <c r="AC97" s="192"/>
      <c r="AD97" s="192"/>
      <c r="AE97" s="192"/>
    </row>
    <row r="98" spans="1:31" ht="17.5">
      <c r="A98" s="520">
        <v>83</v>
      </c>
      <c r="B98" s="21"/>
      <c r="C98" s="446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C98" s="192"/>
      <c r="AD98" s="192"/>
      <c r="AE98" s="192"/>
    </row>
    <row r="99" spans="1:31" ht="35">
      <c r="A99" s="520">
        <v>84</v>
      </c>
      <c r="B99" s="19" t="s">
        <v>372</v>
      </c>
      <c r="C99" s="446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B99" t="s">
        <v>520</v>
      </c>
      <c r="AC99" s="192"/>
      <c r="AD99" s="192"/>
      <c r="AE99" s="192"/>
    </row>
    <row r="100" spans="1:31" ht="18">
      <c r="A100" s="520">
        <v>85</v>
      </c>
      <c r="B100" s="10" t="s">
        <v>373</v>
      </c>
      <c r="C100" s="446">
        <v>1050209.0634999999</v>
      </c>
      <c r="D100" s="445">
        <v>12</v>
      </c>
      <c r="E100" s="446">
        <f>C100*D100</f>
        <v>12602508.762</v>
      </c>
      <c r="F100" s="446"/>
      <c r="G100" s="449"/>
      <c r="H100" s="449"/>
      <c r="I100" s="446">
        <f t="shared" ref="I100:I105" si="88">E100-F100-G100-H100</f>
        <v>12602508.762</v>
      </c>
      <c r="J100" s="446">
        <v>200000</v>
      </c>
      <c r="K100" s="446">
        <v>0.2</v>
      </c>
      <c r="L100" s="446">
        <f t="shared" ref="L100:L106" si="89">I100*K100</f>
        <v>2520501.7524000001</v>
      </c>
      <c r="M100" s="446">
        <f t="shared" ref="M100:M106" si="90">J100+L100</f>
        <v>2720501.7524000001</v>
      </c>
      <c r="N100" s="446">
        <f t="shared" ref="N100:N105" si="91">F100+G100+H100+M100</f>
        <v>2720501.7524000001</v>
      </c>
      <c r="O100" s="446">
        <f t="shared" ref="O100:O106" si="92">E100-N100</f>
        <v>9882007.0096000005</v>
      </c>
      <c r="P100" s="446">
        <f t="shared" ref="P100:P106" si="93">IF(O100&lt;300000,0.07*O100,21000)</f>
        <v>21000</v>
      </c>
      <c r="Q100" s="446">
        <f t="shared" ref="Q100:Q106" si="94">IF((O100-300000)&lt;0,0,IF((O100-300000)&lt;300000,0.11*(O100-300000),33000))</f>
        <v>33000</v>
      </c>
      <c r="R100" s="446">
        <f t="shared" ref="R100:R106" si="95">IF((O100-600000)&lt;0,0,IF((O100-600000)&lt;500000,0.15*(O100-600000),75000))</f>
        <v>75000</v>
      </c>
      <c r="S100" s="446">
        <f t="shared" ref="S100:S106" si="96">IF((O100-1100000)&lt;0,0,IF((O100-1100000)&lt;500000,0.19*(O100-1100000),95000))</f>
        <v>95000</v>
      </c>
      <c r="T100" s="446">
        <f t="shared" ref="T100:T106" si="97">IF((O100-1600000)&lt;0,0,IF((O100-1600000)&lt;1600000,0.21*(O100-1600000),336000))</f>
        <v>336000</v>
      </c>
      <c r="U100" s="446">
        <f>24%*(O100-3200000)</f>
        <v>1603681.682304</v>
      </c>
      <c r="V100" s="446">
        <f t="shared" ref="V100:V106" si="98">P100+Q100+R100+S100+T100+U100</f>
        <v>2163681.682304</v>
      </c>
      <c r="W100" s="453">
        <v>12</v>
      </c>
      <c r="X100" s="446">
        <f t="shared" ref="X100:X106" si="99">V100/W100</f>
        <v>180306.806858667</v>
      </c>
      <c r="Y100" s="449"/>
      <c r="Z100" s="446">
        <f t="shared" ref="Z100:Z106" si="100">X100</f>
        <v>180306.806858667</v>
      </c>
      <c r="AA100" s="192">
        <v>180306.806858667</v>
      </c>
      <c r="AB100" s="531">
        <f>Z100-AA100</f>
        <v>0</v>
      </c>
      <c r="AC100" s="192" t="s">
        <v>373</v>
      </c>
      <c r="AD100" s="192"/>
      <c r="AE100" s="192"/>
    </row>
    <row r="101" spans="1:31" ht="18">
      <c r="A101" s="520">
        <v>86</v>
      </c>
      <c r="B101" s="10" t="s">
        <v>375</v>
      </c>
      <c r="C101" s="446">
        <v>631465.02474999998</v>
      </c>
      <c r="D101" s="445">
        <v>12</v>
      </c>
      <c r="E101" s="446">
        <f t="shared" ref="E101:E106" si="101">C101*D101</f>
        <v>7577580.2970000003</v>
      </c>
      <c r="F101" s="446">
        <f>'[5]JANUARY 2024'!$V$106*12</f>
        <v>12795.950999999999</v>
      </c>
      <c r="G101" s="449"/>
      <c r="H101" s="449"/>
      <c r="I101" s="446">
        <f t="shared" si="88"/>
        <v>7564784.3459999999</v>
      </c>
      <c r="J101" s="446">
        <v>200000</v>
      </c>
      <c r="K101" s="446">
        <v>0.2</v>
      </c>
      <c r="L101" s="446">
        <f t="shared" si="89"/>
        <v>1512956.8692000001</v>
      </c>
      <c r="M101" s="446">
        <f t="shared" si="90"/>
        <v>1712956.8692000001</v>
      </c>
      <c r="N101" s="446">
        <f t="shared" si="91"/>
        <v>1725752.8202</v>
      </c>
      <c r="O101" s="446">
        <f t="shared" si="92"/>
        <v>5851827.4768000003</v>
      </c>
      <c r="P101" s="446">
        <f t="shared" si="93"/>
        <v>21000</v>
      </c>
      <c r="Q101" s="446">
        <f t="shared" si="94"/>
        <v>33000</v>
      </c>
      <c r="R101" s="446">
        <f t="shared" si="95"/>
        <v>75000</v>
      </c>
      <c r="S101" s="446">
        <f t="shared" si="96"/>
        <v>95000</v>
      </c>
      <c r="T101" s="446">
        <f t="shared" si="97"/>
        <v>336000</v>
      </c>
      <c r="U101" s="446">
        <f>24%*(O101-3200000)</f>
        <v>636438.59443199995</v>
      </c>
      <c r="V101" s="446">
        <f t="shared" si="98"/>
        <v>1196438.5944320001</v>
      </c>
      <c r="W101" s="453">
        <v>12</v>
      </c>
      <c r="X101" s="446">
        <f t="shared" si="99"/>
        <v>99703.216202666707</v>
      </c>
      <c r="Y101" s="449"/>
      <c r="Z101" s="446">
        <f t="shared" si="100"/>
        <v>99703.216202666707</v>
      </c>
      <c r="AA101" s="192">
        <v>99703.216202666707</v>
      </c>
      <c r="AB101" s="531">
        <f t="shared" ref="AB101:AB106" si="102">Z101-AA101</f>
        <v>0</v>
      </c>
      <c r="AC101" s="192" t="s">
        <v>375</v>
      </c>
      <c r="AD101" s="192"/>
      <c r="AE101" s="192"/>
    </row>
    <row r="102" spans="1:31" ht="18">
      <c r="A102" s="520">
        <v>87</v>
      </c>
      <c r="B102" s="10" t="s">
        <v>377</v>
      </c>
      <c r="C102" s="446">
        <v>418096.01602500002</v>
      </c>
      <c r="D102" s="445">
        <v>12</v>
      </c>
      <c r="E102" s="446">
        <f t="shared" si="101"/>
        <v>5017152.1923000002</v>
      </c>
      <c r="F102" s="446">
        <f>'[5]JANUARY 2024'!$V$107*12</f>
        <v>7901.79</v>
      </c>
      <c r="G102" s="449"/>
      <c r="H102" s="449"/>
      <c r="I102" s="446">
        <f t="shared" si="88"/>
        <v>5009250.4023000002</v>
      </c>
      <c r="J102" s="446">
        <v>200000</v>
      </c>
      <c r="K102" s="446">
        <v>0.2</v>
      </c>
      <c r="L102" s="446">
        <f t="shared" si="89"/>
        <v>1001850.08046</v>
      </c>
      <c r="M102" s="446">
        <f t="shared" si="90"/>
        <v>1201850.0804600001</v>
      </c>
      <c r="N102" s="446">
        <f t="shared" si="91"/>
        <v>1209751.8704599999</v>
      </c>
      <c r="O102" s="446">
        <f t="shared" si="92"/>
        <v>3807400.3218399999</v>
      </c>
      <c r="P102" s="446">
        <f t="shared" si="93"/>
        <v>21000</v>
      </c>
      <c r="Q102" s="446">
        <f t="shared" si="94"/>
        <v>33000</v>
      </c>
      <c r="R102" s="446">
        <f t="shared" si="95"/>
        <v>75000</v>
      </c>
      <c r="S102" s="446">
        <f t="shared" si="96"/>
        <v>95000</v>
      </c>
      <c r="T102" s="446">
        <f t="shared" si="97"/>
        <v>336000</v>
      </c>
      <c r="U102" s="446">
        <f>24%*(O102-3200000)</f>
        <v>145776.0772416</v>
      </c>
      <c r="V102" s="446">
        <f t="shared" si="98"/>
        <v>705776.07724160003</v>
      </c>
      <c r="W102" s="453">
        <v>12</v>
      </c>
      <c r="X102" s="446">
        <f t="shared" si="99"/>
        <v>58814.673103466703</v>
      </c>
      <c r="Y102" s="449"/>
      <c r="Z102" s="446">
        <f t="shared" si="100"/>
        <v>58814.673103466703</v>
      </c>
      <c r="AA102" s="192">
        <v>180180.378218667</v>
      </c>
      <c r="AB102" s="531">
        <f t="shared" si="102"/>
        <v>-121365.70511520001</v>
      </c>
      <c r="AC102" s="192" t="s">
        <v>377</v>
      </c>
      <c r="AD102" s="192"/>
      <c r="AE102" s="192"/>
    </row>
    <row r="103" spans="1:31" ht="18">
      <c r="A103" s="520">
        <v>88</v>
      </c>
      <c r="B103" s="10" t="s">
        <v>379</v>
      </c>
      <c r="C103" s="446">
        <v>416483.19415499998</v>
      </c>
      <c r="D103" s="445">
        <v>12</v>
      </c>
      <c r="E103" s="446">
        <f t="shared" si="101"/>
        <v>4997798.3298599999</v>
      </c>
      <c r="F103" s="446"/>
      <c r="G103" s="449"/>
      <c r="H103" s="449"/>
      <c r="I103" s="446">
        <f t="shared" si="88"/>
        <v>4997798.3298599999</v>
      </c>
      <c r="J103" s="446">
        <v>200000</v>
      </c>
      <c r="K103" s="446">
        <v>0.2</v>
      </c>
      <c r="L103" s="446">
        <f t="shared" si="89"/>
        <v>999559.66597199999</v>
      </c>
      <c r="M103" s="446">
        <f t="shared" si="90"/>
        <v>1199559.665972</v>
      </c>
      <c r="N103" s="446">
        <f t="shared" si="91"/>
        <v>1199559.665972</v>
      </c>
      <c r="O103" s="446">
        <f t="shared" si="92"/>
        <v>3798238.663888</v>
      </c>
      <c r="P103" s="446">
        <f t="shared" si="93"/>
        <v>21000</v>
      </c>
      <c r="Q103" s="446">
        <f t="shared" si="94"/>
        <v>33000</v>
      </c>
      <c r="R103" s="446">
        <f t="shared" si="95"/>
        <v>75000</v>
      </c>
      <c r="S103" s="446">
        <f t="shared" si="96"/>
        <v>95000</v>
      </c>
      <c r="T103" s="446">
        <f t="shared" si="97"/>
        <v>336000</v>
      </c>
      <c r="U103" s="446">
        <f>0.24*(O103-3200000)</f>
        <v>143577.27933312001</v>
      </c>
      <c r="V103" s="446">
        <f t="shared" si="98"/>
        <v>703577.27933311998</v>
      </c>
      <c r="W103" s="453">
        <v>12</v>
      </c>
      <c r="X103" s="446">
        <f t="shared" si="99"/>
        <v>58631.439944426696</v>
      </c>
      <c r="Y103" s="449"/>
      <c r="Z103" s="446">
        <f t="shared" si="100"/>
        <v>58631.439944426696</v>
      </c>
      <c r="AA103" s="192">
        <v>99907.951418666693</v>
      </c>
      <c r="AB103" s="531">
        <f t="shared" si="102"/>
        <v>-41276.511474239996</v>
      </c>
      <c r="AC103" s="192" t="s">
        <v>379</v>
      </c>
      <c r="AD103" s="192"/>
      <c r="AE103" s="192"/>
    </row>
    <row r="104" spans="1:31" ht="18">
      <c r="A104" s="520">
        <v>89</v>
      </c>
      <c r="B104" s="10" t="s">
        <v>380</v>
      </c>
      <c r="C104" s="446">
        <v>266099.21747999999</v>
      </c>
      <c r="D104" s="445">
        <v>12</v>
      </c>
      <c r="E104" s="446">
        <f t="shared" si="101"/>
        <v>3193190.6097599999</v>
      </c>
      <c r="F104" s="446"/>
      <c r="G104" s="449"/>
      <c r="H104" s="449"/>
      <c r="I104" s="446">
        <f t="shared" si="88"/>
        <v>3193190.6097599999</v>
      </c>
      <c r="J104" s="446">
        <v>200000</v>
      </c>
      <c r="K104" s="446">
        <v>0.2</v>
      </c>
      <c r="L104" s="446">
        <f t="shared" si="89"/>
        <v>638638.12195199996</v>
      </c>
      <c r="M104" s="446">
        <f t="shared" si="90"/>
        <v>838638.12195199996</v>
      </c>
      <c r="N104" s="446">
        <f t="shared" si="91"/>
        <v>838638.12195199996</v>
      </c>
      <c r="O104" s="446">
        <f t="shared" si="92"/>
        <v>2354552.4878079998</v>
      </c>
      <c r="P104" s="446">
        <f t="shared" si="93"/>
        <v>21000</v>
      </c>
      <c r="Q104" s="446">
        <f t="shared" si="94"/>
        <v>33000</v>
      </c>
      <c r="R104" s="446">
        <f t="shared" si="95"/>
        <v>75000</v>
      </c>
      <c r="S104" s="446">
        <f t="shared" si="96"/>
        <v>95000</v>
      </c>
      <c r="T104" s="446">
        <f t="shared" si="97"/>
        <v>158456.02243968</v>
      </c>
      <c r="U104" s="446"/>
      <c r="V104" s="446">
        <f t="shared" si="98"/>
        <v>382456.02243968</v>
      </c>
      <c r="W104" s="453">
        <v>12</v>
      </c>
      <c r="X104" s="446">
        <f t="shared" si="99"/>
        <v>31871.335203306699</v>
      </c>
      <c r="Y104" s="449"/>
      <c r="Z104" s="446">
        <f t="shared" si="100"/>
        <v>31871.335203306699</v>
      </c>
      <c r="AA104" s="192">
        <v>58941.101743466701</v>
      </c>
      <c r="AB104" s="531">
        <f t="shared" si="102"/>
        <v>-27069.766540159999</v>
      </c>
      <c r="AC104" s="192" t="s">
        <v>380</v>
      </c>
      <c r="AD104" s="192"/>
      <c r="AE104" s="192"/>
    </row>
    <row r="105" spans="1:31" ht="36">
      <c r="A105" s="520"/>
      <c r="B105" s="17" t="s">
        <v>383</v>
      </c>
      <c r="C105" s="446">
        <v>262229.04100000003</v>
      </c>
      <c r="D105" s="445">
        <v>12</v>
      </c>
      <c r="E105" s="446">
        <f t="shared" si="101"/>
        <v>3146748.4920000001</v>
      </c>
      <c r="F105" s="446"/>
      <c r="G105" s="449"/>
      <c r="H105" s="449"/>
      <c r="I105" s="446">
        <f t="shared" si="88"/>
        <v>3146748.4920000001</v>
      </c>
      <c r="J105" s="446">
        <v>200000</v>
      </c>
      <c r="K105" s="446">
        <v>0.2</v>
      </c>
      <c r="L105" s="446">
        <f t="shared" si="89"/>
        <v>629349.69839999999</v>
      </c>
      <c r="M105" s="446">
        <f t="shared" si="90"/>
        <v>829349.69839999999</v>
      </c>
      <c r="N105" s="446">
        <f t="shared" si="91"/>
        <v>829349.69839999999</v>
      </c>
      <c r="O105" s="446">
        <f t="shared" si="92"/>
        <v>2317398.7936</v>
      </c>
      <c r="P105" s="446">
        <f t="shared" si="93"/>
        <v>21000</v>
      </c>
      <c r="Q105" s="446">
        <f t="shared" si="94"/>
        <v>33000</v>
      </c>
      <c r="R105" s="446">
        <f t="shared" si="95"/>
        <v>75000</v>
      </c>
      <c r="S105" s="446">
        <f t="shared" si="96"/>
        <v>95000</v>
      </c>
      <c r="T105" s="446">
        <f t="shared" si="97"/>
        <v>150653.746656</v>
      </c>
      <c r="U105" s="446"/>
      <c r="V105" s="446">
        <f t="shared" si="98"/>
        <v>374653.74665599997</v>
      </c>
      <c r="W105" s="453">
        <v>12</v>
      </c>
      <c r="X105" s="446">
        <f t="shared" si="99"/>
        <v>31221.145554666698</v>
      </c>
      <c r="Y105" s="449"/>
      <c r="Z105" s="446">
        <f t="shared" si="100"/>
        <v>31221.145554666698</v>
      </c>
      <c r="AA105" s="192">
        <v>58631.439944426696</v>
      </c>
      <c r="AB105" s="531">
        <f t="shared" si="102"/>
        <v>-27410.294389760002</v>
      </c>
      <c r="AC105" s="192" t="s">
        <v>383</v>
      </c>
      <c r="AD105" s="192"/>
      <c r="AE105" s="192"/>
    </row>
    <row r="106" spans="1:31" ht="18">
      <c r="A106" s="520"/>
      <c r="B106" s="17" t="s">
        <v>385</v>
      </c>
      <c r="C106" s="446">
        <v>254870.26344499999</v>
      </c>
      <c r="D106" s="445">
        <v>12</v>
      </c>
      <c r="E106" s="446">
        <f t="shared" si="101"/>
        <v>3058443.1613400001</v>
      </c>
      <c r="F106" s="274"/>
      <c r="G106" s="449"/>
      <c r="H106" s="449"/>
      <c r="I106" s="446">
        <f>E106-F107-G106-H106</f>
        <v>3058443.1613400001</v>
      </c>
      <c r="J106" s="446">
        <v>200000</v>
      </c>
      <c r="K106" s="446">
        <v>0.2</v>
      </c>
      <c r="L106" s="446">
        <f t="shared" si="89"/>
        <v>611688.63226800004</v>
      </c>
      <c r="M106" s="446">
        <f t="shared" si="90"/>
        <v>811688.63226800004</v>
      </c>
      <c r="N106" s="446">
        <f>F107+G106+H106+M106</f>
        <v>811688.63226800004</v>
      </c>
      <c r="O106" s="446">
        <f t="shared" si="92"/>
        <v>2246754.5290720002</v>
      </c>
      <c r="P106" s="446">
        <f t="shared" si="93"/>
        <v>21000</v>
      </c>
      <c r="Q106" s="446">
        <f t="shared" si="94"/>
        <v>33000</v>
      </c>
      <c r="R106" s="446">
        <f t="shared" si="95"/>
        <v>75000</v>
      </c>
      <c r="S106" s="446">
        <f t="shared" si="96"/>
        <v>95000</v>
      </c>
      <c r="T106" s="446">
        <f t="shared" si="97"/>
        <v>135818.45110512001</v>
      </c>
      <c r="U106" s="446"/>
      <c r="V106" s="446">
        <f t="shared" si="98"/>
        <v>359818.45110512001</v>
      </c>
      <c r="W106" s="453">
        <v>12</v>
      </c>
      <c r="X106" s="446">
        <f t="shared" si="99"/>
        <v>29984.870925426701</v>
      </c>
      <c r="Y106" s="449"/>
      <c r="Z106" s="446">
        <f t="shared" si="100"/>
        <v>29984.870925426701</v>
      </c>
      <c r="AA106" s="192">
        <v>31871.335203306699</v>
      </c>
      <c r="AB106" s="531">
        <f t="shared" si="102"/>
        <v>-1886.46427787999</v>
      </c>
      <c r="AC106" s="192" t="s">
        <v>385</v>
      </c>
      <c r="AD106" s="192"/>
      <c r="AE106" s="192"/>
    </row>
    <row r="107" spans="1:31" ht="17.5">
      <c r="A107" s="520"/>
      <c r="B107" s="19" t="s">
        <v>34</v>
      </c>
      <c r="C107" s="446"/>
      <c r="D107" s="445"/>
      <c r="E107" s="446"/>
      <c r="F107" s="446"/>
      <c r="G107" s="449"/>
      <c r="H107" s="449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53"/>
      <c r="X107" s="446"/>
      <c r="Y107" s="449"/>
      <c r="Z107" s="446"/>
      <c r="AA107" s="192"/>
      <c r="AB107" s="536">
        <f>SUM(AB100:AB106)</f>
        <v>-219008.74179724001</v>
      </c>
      <c r="AC107" s="192"/>
      <c r="AD107" s="192"/>
      <c r="AE107" s="192"/>
    </row>
    <row r="108" spans="1:31" ht="17.5">
      <c r="A108" s="520">
        <v>90</v>
      </c>
      <c r="B108" s="19"/>
      <c r="C108" s="446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446"/>
      <c r="V108" s="274"/>
      <c r="W108" s="274"/>
      <c r="X108" s="274"/>
      <c r="Y108" s="274"/>
      <c r="Z108" s="274"/>
      <c r="AC108" s="192"/>
      <c r="AD108" s="192"/>
      <c r="AE108" s="192"/>
    </row>
    <row r="109" spans="1:31" ht="35">
      <c r="A109" s="520">
        <v>91</v>
      </c>
      <c r="B109" s="19" t="s">
        <v>61</v>
      </c>
      <c r="C109" s="446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446"/>
      <c r="V109" s="274"/>
      <c r="W109" s="274"/>
      <c r="X109" s="274"/>
      <c r="Y109" s="274"/>
      <c r="Z109" s="274"/>
      <c r="AC109" s="192"/>
      <c r="AD109" s="192"/>
      <c r="AE109" s="192"/>
    </row>
    <row r="110" spans="1:31" ht="36">
      <c r="A110" s="520">
        <v>92</v>
      </c>
      <c r="B110" s="13" t="s">
        <v>386</v>
      </c>
      <c r="C110" s="446">
        <v>516137.05</v>
      </c>
      <c r="D110" s="445">
        <v>12</v>
      </c>
      <c r="E110" s="446">
        <f>C110*D110</f>
        <v>6193644.5999999996</v>
      </c>
      <c r="F110" s="446">
        <f>'[5]JANUARY 2024'!$V$115*12</f>
        <v>9678.9599999999991</v>
      </c>
      <c r="G110" s="449"/>
      <c r="H110" s="449"/>
      <c r="I110" s="446">
        <f>E110-F110-G110-H110</f>
        <v>6183965.6399999997</v>
      </c>
      <c r="J110" s="446">
        <v>200000</v>
      </c>
      <c r="K110" s="446">
        <v>0.2</v>
      </c>
      <c r="L110" s="446">
        <f>I110*K110</f>
        <v>1236793.128</v>
      </c>
      <c r="M110" s="446">
        <f>J110+L110</f>
        <v>1436793.128</v>
      </c>
      <c r="N110" s="446">
        <f>F110+G110+H110+M110</f>
        <v>1446472.088</v>
      </c>
      <c r="O110" s="446">
        <f>E110-N110</f>
        <v>4747172.5120000001</v>
      </c>
      <c r="P110" s="446">
        <f>IF(O110&lt;300000,0.07*O110,21000)</f>
        <v>21000</v>
      </c>
      <c r="Q110" s="446">
        <f>IF((O110-300000)&lt;0,0,IF((O110-300000)&lt;300000,0.11*(O110-300000),33000))</f>
        <v>33000</v>
      </c>
      <c r="R110" s="446">
        <f>IF((O110-600000)&lt;0,0,IF((O110-600000)&lt;500000,0.15*(O110-600000),75000))</f>
        <v>75000</v>
      </c>
      <c r="S110" s="446">
        <f>IF((O110-1100000)&lt;0,0,IF((O110-1100000)&lt;500000,0.19*(O110-1100000),95000))</f>
        <v>95000</v>
      </c>
      <c r="T110" s="446">
        <f>IF((O110-1600000)&lt;0,0,IF((O110-1600000)&lt;1600000,0.21*(O110-1600000),336000))</f>
        <v>336000</v>
      </c>
      <c r="U110" s="446">
        <f t="shared" ref="U110:U131" si="103">0.24*(O110-3200000)</f>
        <v>371321.40288000001</v>
      </c>
      <c r="V110" s="446">
        <f>P110+Q110+R110+S110+T110+U110</f>
        <v>931321.40287999995</v>
      </c>
      <c r="W110" s="453">
        <v>12</v>
      </c>
      <c r="X110" s="446">
        <f>V110/W110</f>
        <v>77610.116906666706</v>
      </c>
      <c r="Y110" s="449"/>
      <c r="Z110" s="446">
        <f>X110</f>
        <v>77610.116906666706</v>
      </c>
      <c r="AA110" s="192">
        <v>77610.116906666706</v>
      </c>
      <c r="AB110" s="192">
        <f>Z110-AA110</f>
        <v>0</v>
      </c>
      <c r="AC110" s="192"/>
      <c r="AD110" s="192"/>
      <c r="AE110" s="192"/>
    </row>
    <row r="111" spans="1:31" ht="18">
      <c r="A111" s="520">
        <v>93</v>
      </c>
      <c r="B111" s="10" t="s">
        <v>387</v>
      </c>
      <c r="C111" s="446">
        <v>334536.99849999999</v>
      </c>
      <c r="D111" s="445">
        <v>12</v>
      </c>
      <c r="E111" s="446">
        <f t="shared" ref="E111:E112" si="104">C111*D111</f>
        <v>4014443.9819999998</v>
      </c>
      <c r="F111" s="446"/>
      <c r="G111" s="449"/>
      <c r="H111" s="449"/>
      <c r="I111" s="446">
        <f>E111-F111-G111-H111</f>
        <v>4014443.9819999998</v>
      </c>
      <c r="J111" s="446">
        <v>200000</v>
      </c>
      <c r="K111" s="446">
        <v>0.2</v>
      </c>
      <c r="L111" s="446">
        <f>I111*K111</f>
        <v>802888.79639999999</v>
      </c>
      <c r="M111" s="446">
        <f>J111+L111</f>
        <v>1002888.7964</v>
      </c>
      <c r="N111" s="446">
        <f>F111+G111+H111+M111</f>
        <v>1002888.7964</v>
      </c>
      <c r="O111" s="446">
        <f>E111-N111</f>
        <v>3011555.1856</v>
      </c>
      <c r="P111" s="446">
        <f>IF(O111&lt;300000,0.07*O111,21000)</f>
        <v>21000</v>
      </c>
      <c r="Q111" s="446">
        <f>IF((O111-300000)&lt;0,0,IF((O111-300000)&lt;300000,0.11*(O111-300000),33000))</f>
        <v>33000</v>
      </c>
      <c r="R111" s="446">
        <f>IF((O111-600000)&lt;0,0,IF((O111-600000)&lt;500000,0.15*(O111-600000),75000))</f>
        <v>75000</v>
      </c>
      <c r="S111" s="446">
        <f>IF((O111-1100000)&lt;0,0,IF((O111-1100000)&lt;500000,0.19*(O111-1100000),95000))</f>
        <v>95000</v>
      </c>
      <c r="T111" s="446">
        <f>IF((O111-1600000)&lt;0,0,IF((O111-1600000)&lt;1600000,0.21*(O111-1600000),336000))</f>
        <v>296426.58897600003</v>
      </c>
      <c r="U111" s="446"/>
      <c r="V111" s="446">
        <f>P111+Q111+R111+S111+T111+U111</f>
        <v>520426.58897600003</v>
      </c>
      <c r="W111" s="453">
        <v>12</v>
      </c>
      <c r="X111" s="446">
        <f>V111/W111</f>
        <v>43368.882414666703</v>
      </c>
      <c r="Y111" s="449"/>
      <c r="Z111" s="446">
        <f>X111</f>
        <v>43368.882414666703</v>
      </c>
      <c r="AA111" s="192">
        <v>43368.882414666703</v>
      </c>
      <c r="AB111" s="192">
        <f t="shared" ref="AB111:AB112" si="105">Z111-AA111</f>
        <v>0</v>
      </c>
      <c r="AC111" s="192"/>
      <c r="AD111" s="192"/>
      <c r="AE111" s="192"/>
    </row>
    <row r="112" spans="1:31" ht="18">
      <c r="A112" s="520">
        <v>94</v>
      </c>
      <c r="B112" s="10" t="s">
        <v>389</v>
      </c>
      <c r="C112" s="452">
        <v>286619.99875000003</v>
      </c>
      <c r="D112" s="445">
        <v>12</v>
      </c>
      <c r="E112" s="446">
        <f t="shared" si="104"/>
        <v>3439439.9849999999</v>
      </c>
      <c r="F112" s="446">
        <f>'[5]JANUARY 2024'!$V$117*12</f>
        <v>6919.4549999999999</v>
      </c>
      <c r="G112" s="449"/>
      <c r="H112" s="449"/>
      <c r="I112" s="446">
        <f>E112-F112-G112-H112</f>
        <v>3432520.53</v>
      </c>
      <c r="J112" s="446">
        <v>200000</v>
      </c>
      <c r="K112" s="446">
        <v>0.2</v>
      </c>
      <c r="L112" s="446">
        <f>I112*K112</f>
        <v>686504.10600000003</v>
      </c>
      <c r="M112" s="446">
        <f>J112+L112</f>
        <v>886504.10600000003</v>
      </c>
      <c r="N112" s="446">
        <f>F112+G112+H112+M112</f>
        <v>893423.56099999999</v>
      </c>
      <c r="O112" s="446">
        <f>E112-N112</f>
        <v>2546016.4240000001</v>
      </c>
      <c r="P112" s="446">
        <f>IF(O112&lt;300000,0.07*O112,21000)</f>
        <v>21000</v>
      </c>
      <c r="Q112" s="446">
        <f>IF((O112-300000)&lt;0,0,IF((O112-300000)&lt;300000,0.11*(O112-300000),33000))</f>
        <v>33000</v>
      </c>
      <c r="R112" s="446">
        <f>IF((O112-600000)&lt;0,0,IF((O112-600000)&lt;500000,0.15*(O112-600000),75000))</f>
        <v>75000</v>
      </c>
      <c r="S112" s="446">
        <f>IF((O112-1100000)&lt;0,0,IF((O112-1100000)&lt;500000,0.19*(O112-1100000),95000))</f>
        <v>95000</v>
      </c>
      <c r="T112" s="446">
        <f>IF((O112-1600000)&lt;0,0,IF((O112-1600000)&lt;1600000,0.21*(O112-1600000),336000))</f>
        <v>198663.44904000001</v>
      </c>
      <c r="U112" s="446"/>
      <c r="V112" s="446">
        <f>P112+Q112+R112+S112+T112+U112</f>
        <v>422663.44903999998</v>
      </c>
      <c r="W112" s="453">
        <v>12</v>
      </c>
      <c r="X112" s="446">
        <f>V112/W112</f>
        <v>35221.954086666701</v>
      </c>
      <c r="Y112" s="449"/>
      <c r="Z112" s="446">
        <f>X112</f>
        <v>35221.954086666701</v>
      </c>
      <c r="AA112" s="192">
        <v>35221.954086666701</v>
      </c>
      <c r="AB112" s="192">
        <f t="shared" si="105"/>
        <v>0</v>
      </c>
      <c r="AC112" s="192"/>
      <c r="AD112" s="192"/>
      <c r="AE112" s="192"/>
    </row>
    <row r="113" spans="1:31" s="516" customFormat="1" ht="17.5">
      <c r="A113" s="524">
        <v>95</v>
      </c>
      <c r="B113" s="19"/>
      <c r="C113" s="446"/>
      <c r="D113" s="445"/>
      <c r="E113" s="446"/>
      <c r="F113" s="446"/>
      <c r="G113" s="449"/>
      <c r="H113" s="449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53"/>
      <c r="X113" s="446"/>
      <c r="Y113" s="449"/>
      <c r="Z113" s="446"/>
      <c r="AA113" s="458"/>
      <c r="AB113" s="192"/>
      <c r="AC113" s="533"/>
      <c r="AD113" s="533"/>
      <c r="AE113" s="533"/>
    </row>
    <row r="114" spans="1:31" s="516" customFormat="1" ht="17.5">
      <c r="A114" s="524">
        <v>96</v>
      </c>
      <c r="B114" s="21"/>
      <c r="C114" s="446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446"/>
      <c r="V114" s="274"/>
      <c r="W114" s="274"/>
      <c r="X114" s="274"/>
      <c r="Y114" s="274"/>
      <c r="Z114" s="274"/>
      <c r="AA114" s="274"/>
      <c r="AC114" s="533"/>
      <c r="AD114" s="533"/>
      <c r="AE114" s="533"/>
    </row>
    <row r="115" spans="1:31" ht="17.5">
      <c r="A115" s="520">
        <v>97</v>
      </c>
      <c r="B115" s="19" t="s">
        <v>67</v>
      </c>
      <c r="C115" s="446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446"/>
      <c r="V115" s="274"/>
      <c r="W115" s="274"/>
      <c r="X115" s="274"/>
      <c r="Y115" s="274"/>
      <c r="Z115" s="274"/>
      <c r="AA115" s="274"/>
      <c r="AC115" s="192"/>
      <c r="AD115" s="192"/>
      <c r="AE115" s="192"/>
    </row>
    <row r="116" spans="1:31" ht="18">
      <c r="A116" s="520">
        <v>98</v>
      </c>
      <c r="B116" s="10" t="s">
        <v>392</v>
      </c>
      <c r="C116" s="446">
        <v>1050209.0634999999</v>
      </c>
      <c r="D116" s="445">
        <v>12</v>
      </c>
      <c r="E116" s="446">
        <f>C116*D116</f>
        <v>12602508.762</v>
      </c>
      <c r="F116" s="446">
        <f>2043.5005*12</f>
        <v>24522.006000000001</v>
      </c>
      <c r="G116" s="449"/>
      <c r="H116" s="449"/>
      <c r="I116" s="446">
        <f>E116-F116-G116-H116</f>
        <v>12577986.755999999</v>
      </c>
      <c r="J116" s="446">
        <v>200000</v>
      </c>
      <c r="K116" s="446">
        <v>0.2</v>
      </c>
      <c r="L116" s="446">
        <f>I116*K116</f>
        <v>2515597.3511999999</v>
      </c>
      <c r="M116" s="446">
        <f>J116+L116</f>
        <v>2715597.3511999999</v>
      </c>
      <c r="N116" s="446">
        <f>F116+G116+H116+M116</f>
        <v>2740119.3572</v>
      </c>
      <c r="O116" s="446">
        <f>E116-N116</f>
        <v>9862389.4047999997</v>
      </c>
      <c r="P116" s="446">
        <f>IF(O116&lt;300000,0.07*O116,21000)</f>
        <v>21000</v>
      </c>
      <c r="Q116" s="446">
        <f>IF((O116-300000)&lt;0,0,IF((O116-300000)&lt;300000,0.11*(O116-300000),33000))</f>
        <v>33000</v>
      </c>
      <c r="R116" s="446">
        <f>IF((O116-600000)&lt;0,0,IF((O116-600000)&lt;500000,0.15*(O116-600000),75000))</f>
        <v>75000</v>
      </c>
      <c r="S116" s="446">
        <f>IF((O116-1100000)&lt;0,0,IF((O116-1100000)&lt;500000,0.19*(O116-1100000),95000))</f>
        <v>95000</v>
      </c>
      <c r="T116" s="446">
        <f>IF((O116-1600000)&lt;0,0,IF((O116-1600000)&lt;1600000,0.21*(O116-1600000),336000))</f>
        <v>336000</v>
      </c>
      <c r="U116" s="446">
        <f t="shared" si="103"/>
        <v>1598973.4571519999</v>
      </c>
      <c r="V116" s="446">
        <f>P116+Q116+R116+S116+T116+U116</f>
        <v>2158973.4571520002</v>
      </c>
      <c r="W116" s="453">
        <v>12</v>
      </c>
      <c r="X116" s="446">
        <f>V116/W116</f>
        <v>179914.45476266701</v>
      </c>
      <c r="Y116" s="449"/>
      <c r="Z116" s="446">
        <f>X116</f>
        <v>179914.45476266701</v>
      </c>
      <c r="AA116" s="458">
        <v>179914.45476266701</v>
      </c>
      <c r="AB116" s="533">
        <f>Z116-AA116</f>
        <v>0</v>
      </c>
      <c r="AC116" s="192"/>
      <c r="AD116" s="192"/>
      <c r="AE116" s="192"/>
    </row>
    <row r="117" spans="1:31" ht="18">
      <c r="A117" s="520">
        <v>99</v>
      </c>
      <c r="B117" s="10" t="s">
        <v>130</v>
      </c>
      <c r="C117" s="446">
        <v>627743.99575</v>
      </c>
      <c r="D117" s="445">
        <v>12</v>
      </c>
      <c r="E117" s="446">
        <f t="shared" ref="E117:E125" si="106">C117*D117</f>
        <v>7532927.949</v>
      </c>
      <c r="F117" s="446">
        <f>1028.94225*12</f>
        <v>12347.307000000001</v>
      </c>
      <c r="G117" s="449"/>
      <c r="H117" s="449"/>
      <c r="I117" s="446">
        <f>E117-F117-G117-H117</f>
        <v>7520580.642</v>
      </c>
      <c r="J117" s="446">
        <v>200000</v>
      </c>
      <c r="K117" s="446">
        <v>0.2</v>
      </c>
      <c r="L117" s="446">
        <f>I117*K117</f>
        <v>1504116.1284</v>
      </c>
      <c r="M117" s="446">
        <f>J117+L117</f>
        <v>1704116.1284</v>
      </c>
      <c r="N117" s="446">
        <f>F117+G117+H117+M117</f>
        <v>1716463.4354000001</v>
      </c>
      <c r="O117" s="446">
        <f>E117-N117</f>
        <v>5816464.5136000002</v>
      </c>
      <c r="P117" s="446">
        <f>IF(O117&lt;300000,0.07*O117,21000)</f>
        <v>21000</v>
      </c>
      <c r="Q117" s="446">
        <f>IF((O117-300000)&lt;0,0,IF((O117-300000)&lt;300000,0.11*(O117-300000),33000))</f>
        <v>33000</v>
      </c>
      <c r="R117" s="446">
        <f>IF((O117-600000)&lt;0,0,IF((O117-600000)&lt;500000,0.15*(O117-600000),75000))</f>
        <v>75000</v>
      </c>
      <c r="S117" s="446">
        <f>IF((O117-1100000)&lt;0,0,IF((O117-1100000)&lt;500000,0.19*(O117-1100000),95000))</f>
        <v>95000</v>
      </c>
      <c r="T117" s="446">
        <f>IF((O117-1600000)&lt;0,0,IF((O117-1600000)&lt;1600000,0.21*(O117-1600000),336000))</f>
        <v>336000</v>
      </c>
      <c r="U117" s="446">
        <f t="shared" si="103"/>
        <v>627951.48326400004</v>
      </c>
      <c r="V117" s="446">
        <f>P117+Q117+R117+S117+T117+U117</f>
        <v>1187951.4832639999</v>
      </c>
      <c r="W117" s="453">
        <v>12</v>
      </c>
      <c r="X117" s="446">
        <f>V117/W117</f>
        <v>98995.956938666699</v>
      </c>
      <c r="Y117" s="449"/>
      <c r="Z117" s="446">
        <f>X117</f>
        <v>98995.956938666699</v>
      </c>
      <c r="AA117" s="458">
        <v>98995.956938666699</v>
      </c>
      <c r="AB117" s="533">
        <f t="shared" ref="AB117:AB125" si="107">Z117-AA117</f>
        <v>0</v>
      </c>
      <c r="AC117" s="192"/>
      <c r="AD117" s="192"/>
      <c r="AE117" s="192"/>
    </row>
    <row r="118" spans="1:31" ht="18">
      <c r="A118" s="520"/>
      <c r="B118" s="13" t="s">
        <v>395</v>
      </c>
      <c r="C118" s="446">
        <v>577553.50249999994</v>
      </c>
      <c r="D118" s="445">
        <v>12</v>
      </c>
      <c r="E118" s="446">
        <f t="shared" si="106"/>
        <v>6930642.0300000003</v>
      </c>
      <c r="F118" s="446">
        <f>837.6875*12</f>
        <v>10052.25</v>
      </c>
      <c r="G118" s="449"/>
      <c r="H118" s="449"/>
      <c r="I118" s="446">
        <f>E118-F118-G118-H118</f>
        <v>6920589.7800000003</v>
      </c>
      <c r="J118" s="446">
        <v>200000</v>
      </c>
      <c r="K118" s="446">
        <v>0.2</v>
      </c>
      <c r="L118" s="446">
        <f>I118*K118</f>
        <v>1384117.956</v>
      </c>
      <c r="M118" s="446">
        <f>J118+L118</f>
        <v>1584117.956</v>
      </c>
      <c r="N118" s="446">
        <f>F118+G118+H118+M118</f>
        <v>1594170.206</v>
      </c>
      <c r="O118" s="446">
        <f>E118-N118</f>
        <v>5336471.824</v>
      </c>
      <c r="P118" s="446">
        <f>IF(O118&lt;300000,0.07*O118,21000)</f>
        <v>21000</v>
      </c>
      <c r="Q118" s="446">
        <f>IF((O118-300000)&lt;0,0,IF((O118-300000)&lt;300000,0.11*(O118-300000),33000))</f>
        <v>33000</v>
      </c>
      <c r="R118" s="446">
        <f>IF((O118-600000)&lt;0,0,IF((O118-600000)&lt;500000,0.15*(O118-600000),75000))</f>
        <v>75000</v>
      </c>
      <c r="S118" s="446">
        <f>IF((O118-1100000)&lt;0,0,IF((O118-1100000)&lt;500000,0.19*(O118-1100000),95000))</f>
        <v>95000</v>
      </c>
      <c r="T118" s="446">
        <f>IF((O118-1600000)&lt;0,0,IF((O118-1600000)&lt;1600000,0.21*(O118-1600000),336000))</f>
        <v>336000</v>
      </c>
      <c r="U118" s="446">
        <f t="shared" si="103"/>
        <v>512753.23775999999</v>
      </c>
      <c r="V118" s="446">
        <f>P118+Q118+R118+S118+T118+U118</f>
        <v>1072753.2377599999</v>
      </c>
      <c r="W118" s="453">
        <v>12</v>
      </c>
      <c r="X118" s="446">
        <f>V118/W118</f>
        <v>89396.103146666603</v>
      </c>
      <c r="Y118" s="449"/>
      <c r="Z118" s="446">
        <f>X118</f>
        <v>89396.103146666603</v>
      </c>
      <c r="AA118" s="458">
        <v>89396.103146666603</v>
      </c>
      <c r="AB118" s="533">
        <f t="shared" si="107"/>
        <v>0</v>
      </c>
      <c r="AC118" s="192"/>
      <c r="AD118" s="192"/>
      <c r="AE118" s="192"/>
    </row>
    <row r="119" spans="1:31" ht="18">
      <c r="A119" s="520"/>
      <c r="B119" s="13" t="s">
        <v>226</v>
      </c>
      <c r="C119" s="446">
        <v>424729.22200000001</v>
      </c>
      <c r="D119" s="445">
        <v>12</v>
      </c>
      <c r="E119" s="446">
        <f t="shared" si="106"/>
        <v>5096750.6639999999</v>
      </c>
      <c r="F119" s="446"/>
      <c r="G119" s="449"/>
      <c r="H119" s="449"/>
      <c r="I119" s="446">
        <f>E119-F119-G119-H119</f>
        <v>5096750.6639999999</v>
      </c>
      <c r="J119" s="446">
        <v>200000</v>
      </c>
      <c r="K119" s="446">
        <v>0.2</v>
      </c>
      <c r="L119" s="446">
        <f>I119*K119</f>
        <v>1019350.1328</v>
      </c>
      <c r="M119" s="446">
        <f>J119+L119</f>
        <v>1219350.1328</v>
      </c>
      <c r="N119" s="446">
        <f>F119+G119+H119+M119</f>
        <v>1219350.1328</v>
      </c>
      <c r="O119" s="446">
        <f>E119-N119</f>
        <v>3877400.5312000001</v>
      </c>
      <c r="P119" s="446">
        <f>IF(O119&lt;300000,0.07*O119,21000)</f>
        <v>21000</v>
      </c>
      <c r="Q119" s="446">
        <f>IF((O119-300000)&lt;0,0,IF((O119-300000)&lt;300000,0.11*(O119-300000),33000))</f>
        <v>33000</v>
      </c>
      <c r="R119" s="446">
        <f>IF((O119-600000)&lt;0,0,IF((O119-600000)&lt;500000,0.15*(O119-600000),75000))</f>
        <v>75000</v>
      </c>
      <c r="S119" s="446">
        <f>IF((O119-1100000)&lt;0,0,IF((O119-1100000)&lt;500000,0.19*(O119-1100000),95000))</f>
        <v>95000</v>
      </c>
      <c r="T119" s="446">
        <f>IF((O119-1600000)&lt;0,0,IF((O119-1600000)&lt;1600000,0.21*(O119-1600000),336000))</f>
        <v>336000</v>
      </c>
      <c r="U119" s="446">
        <f t="shared" si="103"/>
        <v>162576.127488</v>
      </c>
      <c r="V119" s="446">
        <f>P119+Q119+R119+S119+T119+U119</f>
        <v>722576.12748799997</v>
      </c>
      <c r="W119" s="453">
        <v>12</v>
      </c>
      <c r="X119" s="446">
        <f>V119/W119</f>
        <v>60214.677290666703</v>
      </c>
      <c r="Y119" s="449"/>
      <c r="Z119" s="446">
        <f>X119</f>
        <v>60214.677290666703</v>
      </c>
      <c r="AA119" s="458">
        <v>60214.677290666703</v>
      </c>
      <c r="AB119" s="533">
        <f t="shared" si="107"/>
        <v>0</v>
      </c>
      <c r="AC119" s="192"/>
      <c r="AD119" s="192"/>
      <c r="AE119" s="192"/>
    </row>
    <row r="120" spans="1:31" ht="18">
      <c r="A120" s="520">
        <v>101</v>
      </c>
      <c r="B120" s="10" t="s">
        <v>396</v>
      </c>
      <c r="C120" s="446">
        <v>343333.03525000002</v>
      </c>
      <c r="D120" s="445">
        <v>12</v>
      </c>
      <c r="E120" s="446">
        <f t="shared" si="106"/>
        <v>4119996.423</v>
      </c>
      <c r="F120" s="446"/>
      <c r="G120" s="449"/>
      <c r="H120" s="449"/>
      <c r="I120" s="446">
        <f t="shared" ref="I120:I125" si="108">E120-F120-G120-H120</f>
        <v>4119996.423</v>
      </c>
      <c r="J120" s="446">
        <v>200000</v>
      </c>
      <c r="K120" s="446">
        <v>0.2</v>
      </c>
      <c r="L120" s="446">
        <f t="shared" ref="L120:L125" si="109">I120*K120</f>
        <v>823999.28460000001</v>
      </c>
      <c r="M120" s="446">
        <f t="shared" ref="M120:M125" si="110">J120+L120</f>
        <v>1023999.2846</v>
      </c>
      <c r="N120" s="446">
        <f t="shared" ref="N120:N125" si="111">F120+G120+H120+M120</f>
        <v>1023999.2846</v>
      </c>
      <c r="O120" s="446">
        <f t="shared" ref="O120:O125" si="112">E120-N120</f>
        <v>3095997.1384000001</v>
      </c>
      <c r="P120" s="446">
        <f t="shared" ref="P120:P125" si="113">IF(O120&lt;300000,0.07*O120,21000)</f>
        <v>21000</v>
      </c>
      <c r="Q120" s="446">
        <f t="shared" ref="Q120:Q125" si="114">IF((O120-300000)&lt;0,0,IF((O120-300000)&lt;300000,0.11*(O120-300000),33000))</f>
        <v>33000</v>
      </c>
      <c r="R120" s="446">
        <f t="shared" ref="R120:R125" si="115">IF((O120-600000)&lt;0,0,IF((O120-600000)&lt;500000,0.15*(O120-600000),75000))</f>
        <v>75000</v>
      </c>
      <c r="S120" s="446">
        <f t="shared" ref="S120:S125" si="116">IF((O120-1100000)&lt;0,0,IF((O120-1100000)&lt;500000,0.19*(O120-1100000),95000))</f>
        <v>95000</v>
      </c>
      <c r="T120" s="446">
        <f t="shared" ref="T120:T125" si="117">IF((O120-1600000)&lt;0,0,IF((O120-1600000)&lt;1600000,0.21*(O120-1600000),336000))</f>
        <v>314159.399064</v>
      </c>
      <c r="U120" s="446"/>
      <c r="V120" s="446">
        <f t="shared" ref="V120:V125" si="118">P120+Q120+R120+S120+T120+U120</f>
        <v>538159.399064</v>
      </c>
      <c r="W120" s="453">
        <v>12</v>
      </c>
      <c r="X120" s="446">
        <f t="shared" ref="X120:X125" si="119">V120/W120</f>
        <v>44846.6165886667</v>
      </c>
      <c r="Y120" s="449"/>
      <c r="Z120" s="446">
        <f t="shared" ref="Z120:Z125" si="120">X120</f>
        <v>44846.6165886667</v>
      </c>
      <c r="AA120" s="458">
        <v>44846.6165886667</v>
      </c>
      <c r="AB120" s="533">
        <f t="shared" si="107"/>
        <v>0</v>
      </c>
      <c r="AC120" s="192"/>
      <c r="AD120" s="192"/>
      <c r="AE120" s="192"/>
    </row>
    <row r="121" spans="1:31" ht="18">
      <c r="A121" s="520">
        <v>103</v>
      </c>
      <c r="B121" s="10" t="s">
        <v>398</v>
      </c>
      <c r="C121" s="446">
        <v>327211.36749999999</v>
      </c>
      <c r="D121" s="445">
        <v>12</v>
      </c>
      <c r="E121" s="446">
        <f t="shared" si="106"/>
        <v>3926536.41</v>
      </c>
      <c r="F121" s="452">
        <f>646.3525*12</f>
        <v>7756.23</v>
      </c>
      <c r="G121" s="449"/>
      <c r="H121" s="449"/>
      <c r="I121" s="446">
        <f t="shared" si="108"/>
        <v>3918780.18</v>
      </c>
      <c r="J121" s="446">
        <v>200000</v>
      </c>
      <c r="K121" s="446">
        <v>0.2</v>
      </c>
      <c r="L121" s="446">
        <f t="shared" si="109"/>
        <v>783756.03599999996</v>
      </c>
      <c r="M121" s="446">
        <f t="shared" si="110"/>
        <v>983756.03599999996</v>
      </c>
      <c r="N121" s="446">
        <f t="shared" si="111"/>
        <v>991512.26599999995</v>
      </c>
      <c r="O121" s="446">
        <f t="shared" si="112"/>
        <v>2935024.1439999999</v>
      </c>
      <c r="P121" s="446">
        <f t="shared" si="113"/>
        <v>21000</v>
      </c>
      <c r="Q121" s="446">
        <f t="shared" si="114"/>
        <v>33000</v>
      </c>
      <c r="R121" s="446">
        <f t="shared" si="115"/>
        <v>75000</v>
      </c>
      <c r="S121" s="446">
        <f t="shared" si="116"/>
        <v>95000</v>
      </c>
      <c r="T121" s="446">
        <f t="shared" si="117"/>
        <v>280355.07023999997</v>
      </c>
      <c r="U121" s="446"/>
      <c r="V121" s="446">
        <f t="shared" si="118"/>
        <v>504355.07023999997</v>
      </c>
      <c r="W121" s="453">
        <v>12</v>
      </c>
      <c r="X121" s="446">
        <f t="shared" si="119"/>
        <v>42029.589186666701</v>
      </c>
      <c r="Y121" s="449"/>
      <c r="Z121" s="446">
        <f t="shared" si="120"/>
        <v>42029.589186666701</v>
      </c>
      <c r="AA121" s="458">
        <v>42029.589186666701</v>
      </c>
      <c r="AB121" s="533">
        <f t="shared" si="107"/>
        <v>0</v>
      </c>
      <c r="AC121" s="192"/>
      <c r="AD121" s="192"/>
      <c r="AE121" s="192"/>
    </row>
    <row r="122" spans="1:31" ht="18">
      <c r="A122" s="520">
        <v>105</v>
      </c>
      <c r="B122" s="10" t="s">
        <v>400</v>
      </c>
      <c r="C122" s="446">
        <v>335272.06374999997</v>
      </c>
      <c r="D122" s="445">
        <v>12</v>
      </c>
      <c r="E122" s="446">
        <f t="shared" si="106"/>
        <v>4023264.7650000001</v>
      </c>
      <c r="F122" s="452">
        <f>668.31625*12</f>
        <v>8019.7950000000001</v>
      </c>
      <c r="G122" s="449"/>
      <c r="H122" s="449"/>
      <c r="I122" s="446">
        <f t="shared" si="108"/>
        <v>4015244.97</v>
      </c>
      <c r="J122" s="446">
        <v>200000</v>
      </c>
      <c r="K122" s="446">
        <v>0.2</v>
      </c>
      <c r="L122" s="446">
        <f t="shared" si="109"/>
        <v>803048.99399999995</v>
      </c>
      <c r="M122" s="446">
        <f t="shared" si="110"/>
        <v>1003048.9939999999</v>
      </c>
      <c r="N122" s="446">
        <f t="shared" si="111"/>
        <v>1011068.789</v>
      </c>
      <c r="O122" s="446">
        <f t="shared" si="112"/>
        <v>3012195.9759999998</v>
      </c>
      <c r="P122" s="446">
        <f t="shared" si="113"/>
        <v>21000</v>
      </c>
      <c r="Q122" s="446">
        <f t="shared" si="114"/>
        <v>33000</v>
      </c>
      <c r="R122" s="446">
        <f t="shared" si="115"/>
        <v>75000</v>
      </c>
      <c r="S122" s="446">
        <f t="shared" si="116"/>
        <v>95000</v>
      </c>
      <c r="T122" s="446">
        <f t="shared" si="117"/>
        <v>296561.15496000001</v>
      </c>
      <c r="U122" s="446"/>
      <c r="V122" s="446">
        <f t="shared" si="118"/>
        <v>520561.15496000001</v>
      </c>
      <c r="W122" s="453">
        <v>12</v>
      </c>
      <c r="X122" s="446">
        <f t="shared" si="119"/>
        <v>43380.096246666697</v>
      </c>
      <c r="Y122" s="449"/>
      <c r="Z122" s="446">
        <f t="shared" si="120"/>
        <v>43380.096246666697</v>
      </c>
      <c r="AA122" s="458">
        <v>43380.096246666697</v>
      </c>
      <c r="AB122" s="533">
        <f t="shared" si="107"/>
        <v>0</v>
      </c>
      <c r="AC122" s="192"/>
      <c r="AD122" s="192"/>
      <c r="AE122" s="192"/>
    </row>
    <row r="123" spans="1:31" ht="18">
      <c r="A123" s="520">
        <v>106</v>
      </c>
      <c r="B123" s="10" t="s">
        <v>401</v>
      </c>
      <c r="C123" s="446">
        <v>213508.01</v>
      </c>
      <c r="D123" s="445">
        <v>12</v>
      </c>
      <c r="E123" s="446">
        <f t="shared" si="106"/>
        <v>2562096.12</v>
      </c>
      <c r="F123" s="446"/>
      <c r="G123" s="449"/>
      <c r="H123" s="449"/>
      <c r="I123" s="446">
        <f t="shared" si="108"/>
        <v>2562096.12</v>
      </c>
      <c r="J123" s="446">
        <v>200000</v>
      </c>
      <c r="K123" s="446">
        <v>0.2</v>
      </c>
      <c r="L123" s="446">
        <f t="shared" si="109"/>
        <v>512419.22399999999</v>
      </c>
      <c r="M123" s="446">
        <f t="shared" si="110"/>
        <v>712419.22400000005</v>
      </c>
      <c r="N123" s="446">
        <f t="shared" si="111"/>
        <v>712419.22400000005</v>
      </c>
      <c r="O123" s="446">
        <f t="shared" si="112"/>
        <v>1849676.8959999999</v>
      </c>
      <c r="P123" s="446">
        <f t="shared" si="113"/>
        <v>21000</v>
      </c>
      <c r="Q123" s="446">
        <f t="shared" si="114"/>
        <v>33000</v>
      </c>
      <c r="R123" s="446">
        <f t="shared" si="115"/>
        <v>75000</v>
      </c>
      <c r="S123" s="446">
        <f t="shared" si="116"/>
        <v>95000</v>
      </c>
      <c r="T123" s="446">
        <f t="shared" si="117"/>
        <v>52432.148159999997</v>
      </c>
      <c r="U123" s="446"/>
      <c r="V123" s="446">
        <f t="shared" si="118"/>
        <v>276432.14815999998</v>
      </c>
      <c r="W123" s="453">
        <v>12</v>
      </c>
      <c r="X123" s="446">
        <f t="shared" si="119"/>
        <v>23036.012346666699</v>
      </c>
      <c r="Y123" s="449"/>
      <c r="Z123" s="446">
        <f t="shared" si="120"/>
        <v>23036.012346666699</v>
      </c>
      <c r="AA123" s="458">
        <v>23036.012346666699</v>
      </c>
      <c r="AB123" s="533">
        <f t="shared" si="107"/>
        <v>0</v>
      </c>
      <c r="AC123" s="192"/>
      <c r="AD123" s="192"/>
      <c r="AE123" s="192"/>
    </row>
    <row r="124" spans="1:31" ht="18">
      <c r="A124" s="520">
        <v>107</v>
      </c>
      <c r="B124" s="17" t="s">
        <v>403</v>
      </c>
      <c r="C124" s="446">
        <v>176816.1</v>
      </c>
      <c r="D124" s="445">
        <v>12</v>
      </c>
      <c r="E124" s="446">
        <f t="shared" si="106"/>
        <v>2121793.2000000002</v>
      </c>
      <c r="F124" s="446"/>
      <c r="G124" s="449"/>
      <c r="H124" s="449"/>
      <c r="I124" s="446">
        <f t="shared" si="108"/>
        <v>2121793.2000000002</v>
      </c>
      <c r="J124" s="446">
        <v>200000</v>
      </c>
      <c r="K124" s="446">
        <v>0.2</v>
      </c>
      <c r="L124" s="446">
        <f t="shared" si="109"/>
        <v>424358.64</v>
      </c>
      <c r="M124" s="446">
        <f t="shared" si="110"/>
        <v>624358.64</v>
      </c>
      <c r="N124" s="446">
        <f t="shared" si="111"/>
        <v>624358.64</v>
      </c>
      <c r="O124" s="446">
        <f t="shared" si="112"/>
        <v>1497434.56</v>
      </c>
      <c r="P124" s="446">
        <f t="shared" si="113"/>
        <v>21000</v>
      </c>
      <c r="Q124" s="446">
        <f t="shared" si="114"/>
        <v>33000</v>
      </c>
      <c r="R124" s="446">
        <f t="shared" si="115"/>
        <v>75000</v>
      </c>
      <c r="S124" s="446">
        <f t="shared" si="116"/>
        <v>75512.566399999996</v>
      </c>
      <c r="T124" s="446">
        <f t="shared" si="117"/>
        <v>0</v>
      </c>
      <c r="U124" s="446"/>
      <c r="V124" s="446">
        <f t="shared" si="118"/>
        <v>204512.56640000001</v>
      </c>
      <c r="W124" s="453">
        <v>12</v>
      </c>
      <c r="X124" s="446">
        <f t="shared" si="119"/>
        <v>17042.713866666702</v>
      </c>
      <c r="Y124" s="449"/>
      <c r="Z124" s="446">
        <f t="shared" si="120"/>
        <v>17042.713866666702</v>
      </c>
      <c r="AA124" s="458">
        <v>17042.713866666702</v>
      </c>
      <c r="AB124" s="533">
        <f t="shared" si="107"/>
        <v>0</v>
      </c>
      <c r="AC124" s="192"/>
      <c r="AD124" s="192"/>
      <c r="AE124" s="192"/>
    </row>
    <row r="125" spans="1:31" s="516" customFormat="1" ht="18">
      <c r="A125" s="524">
        <v>108</v>
      </c>
      <c r="B125" s="17" t="s">
        <v>405</v>
      </c>
      <c r="C125" s="446">
        <v>176816.1</v>
      </c>
      <c r="D125" s="445">
        <v>12</v>
      </c>
      <c r="E125" s="446">
        <f t="shared" si="106"/>
        <v>2121793.2000000002</v>
      </c>
      <c r="F125" s="446"/>
      <c r="G125" s="449"/>
      <c r="H125" s="449"/>
      <c r="I125" s="446">
        <f t="shared" si="108"/>
        <v>2121793.2000000002</v>
      </c>
      <c r="J125" s="446">
        <v>200000</v>
      </c>
      <c r="K125" s="446">
        <v>0.2</v>
      </c>
      <c r="L125" s="446">
        <f t="shared" si="109"/>
        <v>424358.64</v>
      </c>
      <c r="M125" s="446">
        <f t="shared" si="110"/>
        <v>624358.64</v>
      </c>
      <c r="N125" s="446">
        <f t="shared" si="111"/>
        <v>624358.64</v>
      </c>
      <c r="O125" s="446">
        <f t="shared" si="112"/>
        <v>1497434.56</v>
      </c>
      <c r="P125" s="446">
        <f t="shared" si="113"/>
        <v>21000</v>
      </c>
      <c r="Q125" s="446">
        <f t="shared" si="114"/>
        <v>33000</v>
      </c>
      <c r="R125" s="446">
        <f t="shared" si="115"/>
        <v>75000</v>
      </c>
      <c r="S125" s="446">
        <f t="shared" si="116"/>
        <v>75512.566399999996</v>
      </c>
      <c r="T125" s="446">
        <f t="shared" si="117"/>
        <v>0</v>
      </c>
      <c r="U125" s="446"/>
      <c r="V125" s="446">
        <f t="shared" si="118"/>
        <v>204512.56640000001</v>
      </c>
      <c r="W125" s="453">
        <v>12</v>
      </c>
      <c r="X125" s="446">
        <f t="shared" si="119"/>
        <v>17042.713866666702</v>
      </c>
      <c r="Y125" s="449"/>
      <c r="Z125" s="446">
        <f t="shared" si="120"/>
        <v>17042.713866666702</v>
      </c>
      <c r="AA125" s="533">
        <v>17042.713866666702</v>
      </c>
      <c r="AB125" s="533">
        <f t="shared" si="107"/>
        <v>0</v>
      </c>
      <c r="AC125" s="533"/>
      <c r="AD125" s="533"/>
      <c r="AE125" s="533"/>
    </row>
    <row r="126" spans="1:31" ht="17.5">
      <c r="A126" s="520">
        <v>109</v>
      </c>
      <c r="B126" s="19" t="s">
        <v>34</v>
      </c>
      <c r="C126" s="446"/>
      <c r="D126" s="445"/>
      <c r="E126" s="446"/>
      <c r="F126" s="446"/>
      <c r="G126" s="449"/>
      <c r="H126" s="449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53"/>
      <c r="X126" s="446"/>
      <c r="Y126" s="449"/>
      <c r="Z126" s="446"/>
      <c r="AA126" s="192"/>
      <c r="AB126" s="192"/>
      <c r="AC126" s="192"/>
      <c r="AD126" s="192"/>
      <c r="AE126" s="192"/>
    </row>
    <row r="127" spans="1:31" ht="17.5">
      <c r="A127" s="520">
        <v>110</v>
      </c>
      <c r="B127" s="21"/>
      <c r="C127" s="446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446"/>
      <c r="V127" s="274"/>
      <c r="W127" s="274"/>
      <c r="X127" s="274"/>
      <c r="Y127" s="274"/>
      <c r="Z127" s="274"/>
      <c r="AC127" s="192"/>
      <c r="AD127" s="192"/>
      <c r="AE127" s="192"/>
    </row>
    <row r="128" spans="1:31" ht="17.5">
      <c r="A128" s="520">
        <v>111</v>
      </c>
      <c r="B128" s="19" t="s">
        <v>71</v>
      </c>
      <c r="C128" s="446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446"/>
      <c r="V128" s="274"/>
      <c r="W128" s="274"/>
      <c r="X128" s="274"/>
      <c r="Y128" s="274"/>
      <c r="Z128" s="274"/>
      <c r="AC128" s="192"/>
      <c r="AD128" s="192"/>
      <c r="AE128" s="192"/>
    </row>
    <row r="129" spans="1:31" ht="18">
      <c r="A129" s="520">
        <v>112</v>
      </c>
      <c r="B129" s="10" t="s">
        <v>407</v>
      </c>
      <c r="C129" s="446">
        <v>950209.06350000005</v>
      </c>
      <c r="D129" s="445">
        <v>12</v>
      </c>
      <c r="E129" s="446">
        <f>C129*D129</f>
        <v>11402508.762</v>
      </c>
      <c r="F129" s="446"/>
      <c r="G129" s="449"/>
      <c r="H129" s="449"/>
      <c r="I129" s="446">
        <f>E129-F129-G129-H129</f>
        <v>11402508.762</v>
      </c>
      <c r="J129" s="446">
        <v>200000</v>
      </c>
      <c r="K129" s="446">
        <v>0.2</v>
      </c>
      <c r="L129" s="446">
        <f t="shared" ref="L129:L187" si="121">I129*K129</f>
        <v>2280501.7524000001</v>
      </c>
      <c r="M129" s="446">
        <f t="shared" ref="M129:M187" si="122">J129+L129</f>
        <v>2480501.7524000001</v>
      </c>
      <c r="N129" s="446">
        <f t="shared" ref="N129:N187" si="123">F129+G129+H129+M129</f>
        <v>2480501.7524000001</v>
      </c>
      <c r="O129" s="446">
        <f t="shared" ref="O129:O187" si="124">E129-N129</f>
        <v>8922007.0096000005</v>
      </c>
      <c r="P129" s="446">
        <f t="shared" ref="P129:P187" si="125">IF(O129&lt;300000,0.07*O129,21000)</f>
        <v>21000</v>
      </c>
      <c r="Q129" s="446">
        <f t="shared" ref="Q129:Q187" si="126">IF((O129-300000)&lt;0,0,IF((O129-300000)&lt;300000,0.11*(O129-300000),33000))</f>
        <v>33000</v>
      </c>
      <c r="R129" s="446">
        <f t="shared" ref="R129:R187" si="127">IF((O129-600000)&lt;0,0,IF((O129-600000)&lt;500000,0.15*(O129-600000),75000))</f>
        <v>75000</v>
      </c>
      <c r="S129" s="446">
        <f t="shared" ref="S129:S187" si="128">IF((O129-1100000)&lt;0,0,IF((O129-1100000)&lt;500000,0.19*(O129-1100000),95000))</f>
        <v>95000</v>
      </c>
      <c r="T129" s="446">
        <f t="shared" ref="T129:T187" si="129">IF((O129-1600000)&lt;0,0,IF((O129-1600000)&lt;1600000,0.21*(O129-1600000),336000))</f>
        <v>336000</v>
      </c>
      <c r="U129" s="446">
        <f t="shared" si="103"/>
        <v>1373281.682304</v>
      </c>
      <c r="V129" s="446">
        <f>P129+Q129+R129+S129+T129+U129</f>
        <v>1933281.682304</v>
      </c>
      <c r="W129" s="453">
        <v>12</v>
      </c>
      <c r="X129" s="446">
        <f t="shared" ref="X129:X187" si="130">V129/W129</f>
        <v>161106.806858667</v>
      </c>
      <c r="Y129" s="449"/>
      <c r="Z129" s="446">
        <f t="shared" ref="Z129:Z187" si="131">X129</f>
        <v>161106.806858667</v>
      </c>
      <c r="AA129" s="192">
        <v>161106.806858667</v>
      </c>
      <c r="AB129" s="192">
        <f>Z129-AA129</f>
        <v>0</v>
      </c>
      <c r="AC129" s="192"/>
      <c r="AD129" s="192"/>
      <c r="AE129" s="192"/>
    </row>
    <row r="130" spans="1:31" s="516" customFormat="1" ht="18">
      <c r="A130" s="524">
        <v>113</v>
      </c>
      <c r="B130" s="10" t="s">
        <v>229</v>
      </c>
      <c r="C130" s="446">
        <v>541465.02474999998</v>
      </c>
      <c r="D130" s="445">
        <v>12</v>
      </c>
      <c r="E130" s="446">
        <f t="shared" ref="E130:E187" si="132">C130*D130</f>
        <v>6497580.2970000003</v>
      </c>
      <c r="F130" s="446"/>
      <c r="G130" s="449"/>
      <c r="H130" s="449"/>
      <c r="I130" s="446">
        <f t="shared" ref="I130:I187" si="133">E130-F130-G130-H130</f>
        <v>6497580.2970000003</v>
      </c>
      <c r="J130" s="446">
        <v>200000</v>
      </c>
      <c r="K130" s="446">
        <v>0.2</v>
      </c>
      <c r="L130" s="446">
        <f t="shared" si="121"/>
        <v>1299516.0593999999</v>
      </c>
      <c r="M130" s="446">
        <f t="shared" si="122"/>
        <v>1499516.0593999999</v>
      </c>
      <c r="N130" s="446">
        <f t="shared" si="123"/>
        <v>1499516.0593999999</v>
      </c>
      <c r="O130" s="446">
        <f t="shared" si="124"/>
        <v>4998064.2375999996</v>
      </c>
      <c r="P130" s="446">
        <f t="shared" si="125"/>
        <v>21000</v>
      </c>
      <c r="Q130" s="446">
        <f t="shared" si="126"/>
        <v>33000</v>
      </c>
      <c r="R130" s="446">
        <f t="shared" si="127"/>
        <v>75000</v>
      </c>
      <c r="S130" s="446">
        <f t="shared" si="128"/>
        <v>95000</v>
      </c>
      <c r="T130" s="446">
        <f t="shared" si="129"/>
        <v>336000</v>
      </c>
      <c r="U130" s="446">
        <f t="shared" si="103"/>
        <v>431535.41702400002</v>
      </c>
      <c r="V130" s="446">
        <f>P130+Q130+R130+S130+T130+U130</f>
        <v>991535.41702399997</v>
      </c>
      <c r="W130" s="453">
        <v>12</v>
      </c>
      <c r="X130" s="446">
        <f t="shared" si="130"/>
        <v>82627.951418666693</v>
      </c>
      <c r="Y130" s="449"/>
      <c r="Z130" s="446">
        <f t="shared" si="131"/>
        <v>82627.951418666693</v>
      </c>
      <c r="AA130" s="192">
        <v>82627.951418666693</v>
      </c>
      <c r="AB130" s="192">
        <f t="shared" ref="AB130:AB187" si="134">Z130-AA130</f>
        <v>0</v>
      </c>
      <c r="AC130" s="533"/>
      <c r="AD130" s="533"/>
      <c r="AE130" s="533"/>
    </row>
    <row r="131" spans="1:31" ht="18">
      <c r="A131" s="520">
        <v>114</v>
      </c>
      <c r="B131" s="13" t="s">
        <v>409</v>
      </c>
      <c r="C131" s="446">
        <v>591465.02474999998</v>
      </c>
      <c r="D131" s="445">
        <v>12</v>
      </c>
      <c r="E131" s="446">
        <f t="shared" si="132"/>
        <v>7097580.2970000003</v>
      </c>
      <c r="F131" s="446">
        <f>1066.32925*12</f>
        <v>12795.950999999999</v>
      </c>
      <c r="G131" s="449"/>
      <c r="H131" s="449"/>
      <c r="I131" s="446">
        <f t="shared" si="133"/>
        <v>7084784.3459999999</v>
      </c>
      <c r="J131" s="446">
        <v>200000</v>
      </c>
      <c r="K131" s="446">
        <v>0.2</v>
      </c>
      <c r="L131" s="446">
        <f t="shared" si="121"/>
        <v>1416956.8692000001</v>
      </c>
      <c r="M131" s="446">
        <f t="shared" si="122"/>
        <v>1616956.8692000001</v>
      </c>
      <c r="N131" s="446">
        <f t="shared" si="123"/>
        <v>1629752.8202</v>
      </c>
      <c r="O131" s="446">
        <f t="shared" si="124"/>
        <v>5467827.4768000003</v>
      </c>
      <c r="P131" s="446">
        <f t="shared" si="125"/>
        <v>21000</v>
      </c>
      <c r="Q131" s="446">
        <f t="shared" si="126"/>
        <v>33000</v>
      </c>
      <c r="R131" s="446">
        <f t="shared" si="127"/>
        <v>75000</v>
      </c>
      <c r="S131" s="446">
        <f t="shared" si="128"/>
        <v>95000</v>
      </c>
      <c r="T131" s="446">
        <f t="shared" si="129"/>
        <v>336000</v>
      </c>
      <c r="U131" s="446">
        <f t="shared" si="103"/>
        <v>544278.59443199995</v>
      </c>
      <c r="V131" s="446">
        <f>P131+Q131+R131+S131+T131+U131</f>
        <v>1104278.5944320001</v>
      </c>
      <c r="W131" s="453">
        <v>12</v>
      </c>
      <c r="X131" s="446">
        <f t="shared" si="130"/>
        <v>92023.216202666707</v>
      </c>
      <c r="Y131" s="449"/>
      <c r="Z131" s="446">
        <f t="shared" si="131"/>
        <v>92023.216202666707</v>
      </c>
      <c r="AA131" s="192">
        <v>92023.216202666707</v>
      </c>
      <c r="AB131" s="192">
        <f t="shared" si="134"/>
        <v>0</v>
      </c>
      <c r="AC131" s="192"/>
      <c r="AD131" s="192"/>
      <c r="AE131" s="192"/>
    </row>
    <row r="132" spans="1:31" ht="18">
      <c r="A132" s="520">
        <v>115</v>
      </c>
      <c r="B132" s="10" t="s">
        <v>411</v>
      </c>
      <c r="C132" s="446">
        <v>351394.00675</v>
      </c>
      <c r="D132" s="445">
        <v>12</v>
      </c>
      <c r="E132" s="446">
        <f t="shared" si="132"/>
        <v>4216728.0810000002</v>
      </c>
      <c r="F132" s="446">
        <f>712.24525*12</f>
        <v>8546.9429999999993</v>
      </c>
      <c r="G132" s="449"/>
      <c r="H132" s="449"/>
      <c r="I132" s="446">
        <f t="shared" si="133"/>
        <v>4208181.1380000003</v>
      </c>
      <c r="J132" s="446">
        <v>200000</v>
      </c>
      <c r="K132" s="446">
        <v>0.2</v>
      </c>
      <c r="L132" s="446">
        <f t="shared" si="121"/>
        <v>841636.22759999998</v>
      </c>
      <c r="M132" s="446">
        <f t="shared" si="122"/>
        <v>1041636.2276</v>
      </c>
      <c r="N132" s="446">
        <f t="shared" si="123"/>
        <v>1050183.1706000001</v>
      </c>
      <c r="O132" s="446">
        <f t="shared" si="124"/>
        <v>3166544.9103999999</v>
      </c>
      <c r="P132" s="446">
        <f t="shared" si="125"/>
        <v>21000</v>
      </c>
      <c r="Q132" s="446">
        <f t="shared" si="126"/>
        <v>33000</v>
      </c>
      <c r="R132" s="446">
        <f t="shared" si="127"/>
        <v>75000</v>
      </c>
      <c r="S132" s="446">
        <f t="shared" si="128"/>
        <v>95000</v>
      </c>
      <c r="T132" s="446">
        <f t="shared" si="129"/>
        <v>328974.43118399999</v>
      </c>
      <c r="U132" s="446"/>
      <c r="V132" s="446">
        <f t="shared" ref="V132:V187" si="135">P132+Q132+R132+S132+T132+U132</f>
        <v>552974.43118399999</v>
      </c>
      <c r="W132" s="453">
        <v>12</v>
      </c>
      <c r="X132" s="446">
        <f t="shared" si="130"/>
        <v>46081.202598666699</v>
      </c>
      <c r="Y132" s="449"/>
      <c r="Z132" s="446">
        <f t="shared" si="131"/>
        <v>46081.202598666699</v>
      </c>
      <c r="AA132" s="533">
        <v>46081.202598666699</v>
      </c>
      <c r="AB132" s="192">
        <f t="shared" si="134"/>
        <v>0</v>
      </c>
      <c r="AC132" s="192"/>
      <c r="AD132" s="192"/>
      <c r="AE132" s="192"/>
    </row>
    <row r="133" spans="1:31" ht="18">
      <c r="A133" s="520">
        <v>116</v>
      </c>
      <c r="B133" s="10" t="s">
        <v>413</v>
      </c>
      <c r="C133" s="446">
        <v>351394.00675</v>
      </c>
      <c r="D133" s="445">
        <v>12</v>
      </c>
      <c r="E133" s="446">
        <f t="shared" si="132"/>
        <v>4216728.0810000002</v>
      </c>
      <c r="F133" s="446">
        <f>712.24525*12</f>
        <v>8546.9429999999993</v>
      </c>
      <c r="G133" s="449"/>
      <c r="H133" s="449"/>
      <c r="I133" s="446">
        <f t="shared" si="133"/>
        <v>4208181.1380000003</v>
      </c>
      <c r="J133" s="446">
        <v>200000</v>
      </c>
      <c r="K133" s="446">
        <v>0.2</v>
      </c>
      <c r="L133" s="446">
        <f t="shared" si="121"/>
        <v>841636.22759999998</v>
      </c>
      <c r="M133" s="446">
        <f t="shared" si="122"/>
        <v>1041636.2276</v>
      </c>
      <c r="N133" s="446">
        <f t="shared" si="123"/>
        <v>1050183.1706000001</v>
      </c>
      <c r="O133" s="446">
        <f t="shared" si="124"/>
        <v>3166544.9103999999</v>
      </c>
      <c r="P133" s="446">
        <f t="shared" si="125"/>
        <v>21000</v>
      </c>
      <c r="Q133" s="446">
        <f t="shared" si="126"/>
        <v>33000</v>
      </c>
      <c r="R133" s="446">
        <f t="shared" si="127"/>
        <v>75000</v>
      </c>
      <c r="S133" s="446">
        <f t="shared" si="128"/>
        <v>95000</v>
      </c>
      <c r="T133" s="446">
        <f t="shared" si="129"/>
        <v>328974.43118399999</v>
      </c>
      <c r="U133" s="446"/>
      <c r="V133" s="446">
        <f t="shared" si="135"/>
        <v>552974.43118399999</v>
      </c>
      <c r="W133" s="453">
        <v>12</v>
      </c>
      <c r="X133" s="446">
        <f t="shared" si="130"/>
        <v>46081.202598666699</v>
      </c>
      <c r="Y133" s="449"/>
      <c r="Z133" s="446">
        <f t="shared" si="131"/>
        <v>46081.202598666699</v>
      </c>
      <c r="AA133" s="192">
        <v>46081.202598666699</v>
      </c>
      <c r="AB133" s="192">
        <f t="shared" si="134"/>
        <v>0</v>
      </c>
      <c r="AC133" s="192"/>
      <c r="AD133" s="192"/>
      <c r="AE133" s="192"/>
    </row>
    <row r="134" spans="1:31" ht="18">
      <c r="A134" s="520">
        <v>117</v>
      </c>
      <c r="B134" s="10" t="s">
        <v>415</v>
      </c>
      <c r="C134" s="446">
        <v>351394.00675</v>
      </c>
      <c r="D134" s="445">
        <v>12</v>
      </c>
      <c r="E134" s="446">
        <f t="shared" si="132"/>
        <v>4216728.0810000002</v>
      </c>
      <c r="F134" s="446">
        <f>712.24525*12</f>
        <v>8546.9429999999993</v>
      </c>
      <c r="G134" s="449"/>
      <c r="H134" s="449"/>
      <c r="I134" s="446">
        <f t="shared" si="133"/>
        <v>4208181.1380000003</v>
      </c>
      <c r="J134" s="446">
        <v>200000</v>
      </c>
      <c r="K134" s="446">
        <v>0.2</v>
      </c>
      <c r="L134" s="446">
        <f t="shared" si="121"/>
        <v>841636.22759999998</v>
      </c>
      <c r="M134" s="446">
        <f t="shared" si="122"/>
        <v>1041636.2276</v>
      </c>
      <c r="N134" s="446">
        <f t="shared" si="123"/>
        <v>1050183.1706000001</v>
      </c>
      <c r="O134" s="446">
        <f t="shared" si="124"/>
        <v>3166544.9103999999</v>
      </c>
      <c r="P134" s="446">
        <f t="shared" si="125"/>
        <v>21000</v>
      </c>
      <c r="Q134" s="446">
        <f t="shared" si="126"/>
        <v>33000</v>
      </c>
      <c r="R134" s="446">
        <f t="shared" si="127"/>
        <v>75000</v>
      </c>
      <c r="S134" s="446">
        <f t="shared" si="128"/>
        <v>95000</v>
      </c>
      <c r="T134" s="446">
        <f t="shared" si="129"/>
        <v>328974.43118399999</v>
      </c>
      <c r="U134" s="446"/>
      <c r="V134" s="446">
        <f t="shared" si="135"/>
        <v>552974.43118399999</v>
      </c>
      <c r="W134" s="453">
        <v>12</v>
      </c>
      <c r="X134" s="446">
        <f t="shared" si="130"/>
        <v>46081.202598666699</v>
      </c>
      <c r="Y134" s="449"/>
      <c r="Z134" s="446">
        <f t="shared" si="131"/>
        <v>46081.202598666699</v>
      </c>
      <c r="AA134" s="192">
        <v>46081.202598666699</v>
      </c>
      <c r="AB134" s="192">
        <f t="shared" si="134"/>
        <v>0</v>
      </c>
      <c r="AC134" s="192"/>
      <c r="AD134" s="192"/>
      <c r="AE134" s="192"/>
    </row>
    <row r="135" spans="1:31" ht="18">
      <c r="A135" s="520">
        <v>118</v>
      </c>
      <c r="B135" s="10" t="s">
        <v>416</v>
      </c>
      <c r="C135" s="446">
        <v>286619.99875000003</v>
      </c>
      <c r="D135" s="445">
        <v>12</v>
      </c>
      <c r="E135" s="446">
        <f t="shared" si="132"/>
        <v>3439439.9849999999</v>
      </c>
      <c r="F135" s="446">
        <f>576.62125*12</f>
        <v>6919.4549999999999</v>
      </c>
      <c r="G135" s="449"/>
      <c r="H135" s="449"/>
      <c r="I135" s="446">
        <f t="shared" si="133"/>
        <v>3432520.53</v>
      </c>
      <c r="J135" s="446">
        <v>200000</v>
      </c>
      <c r="K135" s="446">
        <v>0.2</v>
      </c>
      <c r="L135" s="446">
        <f t="shared" si="121"/>
        <v>686504.10600000003</v>
      </c>
      <c r="M135" s="446">
        <f t="shared" si="122"/>
        <v>886504.10600000003</v>
      </c>
      <c r="N135" s="446">
        <f t="shared" si="123"/>
        <v>893423.56099999999</v>
      </c>
      <c r="O135" s="446">
        <f t="shared" si="124"/>
        <v>2546016.4240000001</v>
      </c>
      <c r="P135" s="446">
        <f t="shared" si="125"/>
        <v>21000</v>
      </c>
      <c r="Q135" s="446">
        <f t="shared" si="126"/>
        <v>33000</v>
      </c>
      <c r="R135" s="446">
        <f t="shared" si="127"/>
        <v>75000</v>
      </c>
      <c r="S135" s="446">
        <f t="shared" si="128"/>
        <v>95000</v>
      </c>
      <c r="T135" s="446">
        <f t="shared" si="129"/>
        <v>198663.44904000001</v>
      </c>
      <c r="U135" s="446"/>
      <c r="V135" s="446">
        <f t="shared" si="135"/>
        <v>422663.44903999998</v>
      </c>
      <c r="W135" s="453">
        <v>12</v>
      </c>
      <c r="X135" s="446">
        <f t="shared" si="130"/>
        <v>35221.954086666701</v>
      </c>
      <c r="Y135" s="449"/>
      <c r="Z135" s="446">
        <f t="shared" si="131"/>
        <v>35221.954086666701</v>
      </c>
      <c r="AA135" s="192">
        <v>35221.954086666701</v>
      </c>
      <c r="AB135" s="192">
        <f t="shared" si="134"/>
        <v>0</v>
      </c>
      <c r="AC135" s="192"/>
      <c r="AD135" s="192"/>
      <c r="AE135" s="192"/>
    </row>
    <row r="136" spans="1:31" ht="18">
      <c r="A136" s="520">
        <v>119</v>
      </c>
      <c r="B136" s="10" t="s">
        <v>418</v>
      </c>
      <c r="C136" s="446">
        <v>286619.99875000003</v>
      </c>
      <c r="D136" s="445">
        <v>12</v>
      </c>
      <c r="E136" s="446">
        <f t="shared" si="132"/>
        <v>3439439.9849999999</v>
      </c>
      <c r="F136" s="446"/>
      <c r="G136" s="449"/>
      <c r="H136" s="449"/>
      <c r="I136" s="446">
        <f t="shared" si="133"/>
        <v>3439439.9849999999</v>
      </c>
      <c r="J136" s="446">
        <v>200000</v>
      </c>
      <c r="K136" s="446">
        <v>0.2</v>
      </c>
      <c r="L136" s="446">
        <f t="shared" si="121"/>
        <v>687887.99699999997</v>
      </c>
      <c r="M136" s="446">
        <f t="shared" si="122"/>
        <v>887887.99699999997</v>
      </c>
      <c r="N136" s="446">
        <f t="shared" si="123"/>
        <v>887887.99699999997</v>
      </c>
      <c r="O136" s="446">
        <f t="shared" si="124"/>
        <v>2551551.9879999999</v>
      </c>
      <c r="P136" s="446">
        <f t="shared" si="125"/>
        <v>21000</v>
      </c>
      <c r="Q136" s="446">
        <f t="shared" si="126"/>
        <v>33000</v>
      </c>
      <c r="R136" s="446">
        <f t="shared" si="127"/>
        <v>75000</v>
      </c>
      <c r="S136" s="446">
        <f t="shared" si="128"/>
        <v>95000</v>
      </c>
      <c r="T136" s="446">
        <f t="shared" si="129"/>
        <v>199825.91748</v>
      </c>
      <c r="U136" s="446"/>
      <c r="V136" s="446">
        <f t="shared" si="135"/>
        <v>423825.91748</v>
      </c>
      <c r="W136" s="453">
        <v>12</v>
      </c>
      <c r="X136" s="446">
        <f t="shared" si="130"/>
        <v>35318.826456666699</v>
      </c>
      <c r="Y136" s="449"/>
      <c r="Z136" s="446">
        <f t="shared" si="131"/>
        <v>35318.826456666699</v>
      </c>
      <c r="AA136" s="192">
        <v>35318.826456666699</v>
      </c>
      <c r="AB136" s="192">
        <f t="shared" si="134"/>
        <v>0</v>
      </c>
      <c r="AC136" s="192"/>
      <c r="AD136" s="192"/>
      <c r="AE136" s="192"/>
    </row>
    <row r="137" spans="1:31" ht="18">
      <c r="A137" s="520">
        <v>120</v>
      </c>
      <c r="B137" s="10" t="s">
        <v>419</v>
      </c>
      <c r="C137" s="446">
        <v>286619.99875000003</v>
      </c>
      <c r="D137" s="445">
        <v>12</v>
      </c>
      <c r="E137" s="446">
        <f t="shared" si="132"/>
        <v>3439439.9849999999</v>
      </c>
      <c r="F137" s="446"/>
      <c r="G137" s="449"/>
      <c r="H137" s="449"/>
      <c r="I137" s="446">
        <f t="shared" si="133"/>
        <v>3439439.9849999999</v>
      </c>
      <c r="J137" s="446">
        <v>200000</v>
      </c>
      <c r="K137" s="446">
        <v>0.2</v>
      </c>
      <c r="L137" s="446">
        <f t="shared" si="121"/>
        <v>687887.99699999997</v>
      </c>
      <c r="M137" s="446">
        <f t="shared" si="122"/>
        <v>887887.99699999997</v>
      </c>
      <c r="N137" s="446">
        <f t="shared" si="123"/>
        <v>887887.99699999997</v>
      </c>
      <c r="O137" s="446">
        <f t="shared" si="124"/>
        <v>2551551.9879999999</v>
      </c>
      <c r="P137" s="446">
        <f t="shared" si="125"/>
        <v>21000</v>
      </c>
      <c r="Q137" s="446">
        <f t="shared" si="126"/>
        <v>33000</v>
      </c>
      <c r="R137" s="446">
        <f t="shared" si="127"/>
        <v>75000</v>
      </c>
      <c r="S137" s="446">
        <f t="shared" si="128"/>
        <v>95000</v>
      </c>
      <c r="T137" s="446">
        <f t="shared" si="129"/>
        <v>199825.91748</v>
      </c>
      <c r="U137" s="446"/>
      <c r="V137" s="446">
        <f t="shared" si="135"/>
        <v>423825.91748</v>
      </c>
      <c r="W137" s="453">
        <v>12</v>
      </c>
      <c r="X137" s="446">
        <f t="shared" si="130"/>
        <v>35318.826456666699</v>
      </c>
      <c r="Y137" s="449"/>
      <c r="Z137" s="446">
        <f t="shared" si="131"/>
        <v>35318.826456666699</v>
      </c>
      <c r="AA137" s="192">
        <v>35318.826456666699</v>
      </c>
      <c r="AB137" s="192">
        <f t="shared" si="134"/>
        <v>0</v>
      </c>
      <c r="AC137" s="192"/>
      <c r="AD137" s="192"/>
      <c r="AE137" s="192"/>
    </row>
    <row r="138" spans="1:31" ht="36">
      <c r="A138" s="520">
        <v>121</v>
      </c>
      <c r="B138" s="10" t="s">
        <v>421</v>
      </c>
      <c r="C138" s="446">
        <v>284536.99849999999</v>
      </c>
      <c r="D138" s="445">
        <v>12</v>
      </c>
      <c r="E138" s="446">
        <f t="shared" si="132"/>
        <v>3414443.9819999998</v>
      </c>
      <c r="F138" s="446"/>
      <c r="G138" s="449"/>
      <c r="H138" s="449"/>
      <c r="I138" s="446">
        <f t="shared" si="133"/>
        <v>3414443.9819999998</v>
      </c>
      <c r="J138" s="446">
        <v>200000</v>
      </c>
      <c r="K138" s="446">
        <v>0.2</v>
      </c>
      <c r="L138" s="446">
        <f t="shared" si="121"/>
        <v>682888.79639999999</v>
      </c>
      <c r="M138" s="446">
        <f t="shared" si="122"/>
        <v>882888.79639999999</v>
      </c>
      <c r="N138" s="446">
        <f t="shared" si="123"/>
        <v>882888.79639999999</v>
      </c>
      <c r="O138" s="446">
        <f t="shared" si="124"/>
        <v>2531555.1856</v>
      </c>
      <c r="P138" s="446">
        <f t="shared" si="125"/>
        <v>21000</v>
      </c>
      <c r="Q138" s="446">
        <f t="shared" si="126"/>
        <v>33000</v>
      </c>
      <c r="R138" s="446">
        <f t="shared" si="127"/>
        <v>75000</v>
      </c>
      <c r="S138" s="446">
        <f t="shared" si="128"/>
        <v>95000</v>
      </c>
      <c r="T138" s="446">
        <f t="shared" si="129"/>
        <v>195626.588976</v>
      </c>
      <c r="U138" s="446"/>
      <c r="V138" s="446">
        <f t="shared" si="135"/>
        <v>419626.58897600003</v>
      </c>
      <c r="W138" s="453">
        <v>12</v>
      </c>
      <c r="X138" s="446">
        <f t="shared" si="130"/>
        <v>34968.882414666703</v>
      </c>
      <c r="Y138" s="449"/>
      <c r="Z138" s="446">
        <f t="shared" si="131"/>
        <v>34968.882414666703</v>
      </c>
      <c r="AA138" s="192">
        <v>34968.882414666703</v>
      </c>
      <c r="AB138" s="192">
        <f t="shared" si="134"/>
        <v>0</v>
      </c>
      <c r="AC138" s="192"/>
      <c r="AD138" s="192"/>
      <c r="AE138" s="192"/>
    </row>
    <row r="139" spans="1:31" ht="18">
      <c r="A139" s="520">
        <v>122</v>
      </c>
      <c r="B139" s="10" t="s">
        <v>423</v>
      </c>
      <c r="C139" s="446">
        <v>272454.07400000002</v>
      </c>
      <c r="D139" s="445">
        <v>12</v>
      </c>
      <c r="E139" s="446">
        <f t="shared" si="132"/>
        <v>3269448.8879999998</v>
      </c>
      <c r="F139" s="446">
        <f>538.022*12</f>
        <v>6456.2640000000001</v>
      </c>
      <c r="G139" s="449"/>
      <c r="H139" s="449"/>
      <c r="I139" s="446">
        <f t="shared" si="133"/>
        <v>3262992.6239999998</v>
      </c>
      <c r="J139" s="446">
        <v>200000</v>
      </c>
      <c r="K139" s="446">
        <v>0.2</v>
      </c>
      <c r="L139" s="446">
        <f t="shared" si="121"/>
        <v>652598.52480000001</v>
      </c>
      <c r="M139" s="446">
        <f t="shared" si="122"/>
        <v>852598.52480000001</v>
      </c>
      <c r="N139" s="446">
        <f t="shared" si="123"/>
        <v>859054.78879999998</v>
      </c>
      <c r="O139" s="446">
        <f t="shared" si="124"/>
        <v>2410394.0992000001</v>
      </c>
      <c r="P139" s="446">
        <f t="shared" si="125"/>
        <v>21000</v>
      </c>
      <c r="Q139" s="446">
        <f t="shared" si="126"/>
        <v>33000</v>
      </c>
      <c r="R139" s="446">
        <f t="shared" si="127"/>
        <v>75000</v>
      </c>
      <c r="S139" s="446">
        <f t="shared" si="128"/>
        <v>95000</v>
      </c>
      <c r="T139" s="446">
        <f t="shared" si="129"/>
        <v>170182.760832</v>
      </c>
      <c r="U139" s="446"/>
      <c r="V139" s="446">
        <f t="shared" si="135"/>
        <v>394182.760832</v>
      </c>
      <c r="W139" s="453">
        <v>12</v>
      </c>
      <c r="X139" s="446">
        <f t="shared" si="130"/>
        <v>32848.563402666703</v>
      </c>
      <c r="Y139" s="449"/>
      <c r="Z139" s="446">
        <f t="shared" si="131"/>
        <v>32848.563402666703</v>
      </c>
      <c r="AA139" s="192">
        <v>32848.563402666703</v>
      </c>
      <c r="AB139" s="192">
        <f t="shared" si="134"/>
        <v>0</v>
      </c>
      <c r="AC139" s="192"/>
      <c r="AD139" s="192"/>
      <c r="AE139" s="192"/>
    </row>
    <row r="140" spans="1:31" ht="18">
      <c r="A140" s="520">
        <v>123</v>
      </c>
      <c r="B140" s="10" t="s">
        <v>425</v>
      </c>
      <c r="C140" s="446">
        <v>286619.99875000003</v>
      </c>
      <c r="D140" s="445">
        <v>12</v>
      </c>
      <c r="E140" s="446">
        <f t="shared" si="132"/>
        <v>3439439.9849999999</v>
      </c>
      <c r="F140" s="446">
        <f>576.62125*12</f>
        <v>6919.4549999999999</v>
      </c>
      <c r="G140" s="449"/>
      <c r="H140" s="449"/>
      <c r="I140" s="446">
        <f t="shared" si="133"/>
        <v>3432520.53</v>
      </c>
      <c r="J140" s="446">
        <v>200000</v>
      </c>
      <c r="K140" s="446">
        <v>0.2</v>
      </c>
      <c r="L140" s="446">
        <f t="shared" si="121"/>
        <v>686504.10600000003</v>
      </c>
      <c r="M140" s="446">
        <f t="shared" si="122"/>
        <v>886504.10600000003</v>
      </c>
      <c r="N140" s="446">
        <f t="shared" si="123"/>
        <v>893423.56099999999</v>
      </c>
      <c r="O140" s="446">
        <f t="shared" si="124"/>
        <v>2546016.4240000001</v>
      </c>
      <c r="P140" s="446">
        <f t="shared" si="125"/>
        <v>21000</v>
      </c>
      <c r="Q140" s="446">
        <f t="shared" si="126"/>
        <v>33000</v>
      </c>
      <c r="R140" s="446">
        <f t="shared" si="127"/>
        <v>75000</v>
      </c>
      <c r="S140" s="446">
        <f t="shared" si="128"/>
        <v>95000</v>
      </c>
      <c r="T140" s="446">
        <f t="shared" si="129"/>
        <v>198663.44904000001</v>
      </c>
      <c r="U140" s="446"/>
      <c r="V140" s="446">
        <f t="shared" si="135"/>
        <v>422663.44903999998</v>
      </c>
      <c r="W140" s="453">
        <v>12</v>
      </c>
      <c r="X140" s="446">
        <f t="shared" si="130"/>
        <v>35221.954086666701</v>
      </c>
      <c r="Y140" s="449"/>
      <c r="Z140" s="446">
        <f t="shared" si="131"/>
        <v>35221.954086666701</v>
      </c>
      <c r="AA140" s="192">
        <v>35221.954086666701</v>
      </c>
      <c r="AB140" s="192">
        <f t="shared" si="134"/>
        <v>0</v>
      </c>
      <c r="AC140" s="192"/>
      <c r="AD140" s="192"/>
      <c r="AE140" s="192"/>
    </row>
    <row r="141" spans="1:31" s="516" customFormat="1" ht="18">
      <c r="A141" s="524">
        <v>124</v>
      </c>
      <c r="B141" s="17" t="s">
        <v>427</v>
      </c>
      <c r="C141" s="446">
        <v>265372.07500000001</v>
      </c>
      <c r="D141" s="445">
        <v>12</v>
      </c>
      <c r="E141" s="446">
        <f t="shared" si="132"/>
        <v>3184464.9</v>
      </c>
      <c r="F141" s="446">
        <v>0</v>
      </c>
      <c r="G141" s="449"/>
      <c r="H141" s="449"/>
      <c r="I141" s="446">
        <f t="shared" si="133"/>
        <v>3184464.9</v>
      </c>
      <c r="J141" s="446">
        <v>200000</v>
      </c>
      <c r="K141" s="446">
        <v>0.2</v>
      </c>
      <c r="L141" s="446">
        <f t="shared" si="121"/>
        <v>636892.98</v>
      </c>
      <c r="M141" s="446">
        <f t="shared" si="122"/>
        <v>836892.98</v>
      </c>
      <c r="N141" s="446">
        <f t="shared" si="123"/>
        <v>836892.98</v>
      </c>
      <c r="O141" s="446">
        <f t="shared" si="124"/>
        <v>2347571.92</v>
      </c>
      <c r="P141" s="446">
        <f t="shared" si="125"/>
        <v>21000</v>
      </c>
      <c r="Q141" s="446">
        <f t="shared" si="126"/>
        <v>33000</v>
      </c>
      <c r="R141" s="446">
        <f t="shared" si="127"/>
        <v>75000</v>
      </c>
      <c r="S141" s="446">
        <f t="shared" si="128"/>
        <v>95000</v>
      </c>
      <c r="T141" s="446">
        <f t="shared" si="129"/>
        <v>156990.10320000001</v>
      </c>
      <c r="U141" s="446"/>
      <c r="V141" s="446">
        <f t="shared" si="135"/>
        <v>380990.10320000001</v>
      </c>
      <c r="W141" s="453">
        <v>12</v>
      </c>
      <c r="X141" s="446">
        <f t="shared" si="130"/>
        <v>31749.175266666702</v>
      </c>
      <c r="Y141" s="449"/>
      <c r="Z141" s="446">
        <f t="shared" si="131"/>
        <v>31749.175266666702</v>
      </c>
      <c r="AA141" s="192">
        <v>31749.175266666702</v>
      </c>
      <c r="AB141" s="192">
        <f t="shared" si="134"/>
        <v>0</v>
      </c>
      <c r="AC141" s="533"/>
      <c r="AD141" s="533"/>
      <c r="AE141" s="533"/>
    </row>
    <row r="142" spans="1:31" ht="18">
      <c r="A142" s="520">
        <v>125</v>
      </c>
      <c r="B142" s="10" t="s">
        <v>429</v>
      </c>
      <c r="C142" s="446">
        <v>237734.04699999999</v>
      </c>
      <c r="D142" s="445">
        <v>12</v>
      </c>
      <c r="E142" s="446">
        <f t="shared" si="132"/>
        <v>2852808.5639999998</v>
      </c>
      <c r="F142" s="446"/>
      <c r="G142" s="449"/>
      <c r="H142" s="449"/>
      <c r="I142" s="446">
        <f t="shared" si="133"/>
        <v>2852808.5639999998</v>
      </c>
      <c r="J142" s="446">
        <v>200000</v>
      </c>
      <c r="K142" s="446">
        <v>0.2</v>
      </c>
      <c r="L142" s="446">
        <f t="shared" si="121"/>
        <v>570561.71279999998</v>
      </c>
      <c r="M142" s="446">
        <f t="shared" si="122"/>
        <v>770561.71279999998</v>
      </c>
      <c r="N142" s="446">
        <f t="shared" si="123"/>
        <v>770561.71279999998</v>
      </c>
      <c r="O142" s="446">
        <f t="shared" si="124"/>
        <v>2082246.8511999999</v>
      </c>
      <c r="P142" s="446">
        <f t="shared" si="125"/>
        <v>21000</v>
      </c>
      <c r="Q142" s="446">
        <f t="shared" si="126"/>
        <v>33000</v>
      </c>
      <c r="R142" s="446">
        <f t="shared" si="127"/>
        <v>75000</v>
      </c>
      <c r="S142" s="446">
        <f t="shared" si="128"/>
        <v>95000</v>
      </c>
      <c r="T142" s="446">
        <f t="shared" si="129"/>
        <v>101271.838752</v>
      </c>
      <c r="U142" s="446"/>
      <c r="V142" s="446">
        <f t="shared" si="135"/>
        <v>325271.83875200001</v>
      </c>
      <c r="W142" s="453">
        <v>12</v>
      </c>
      <c r="X142" s="446">
        <f t="shared" si="130"/>
        <v>27105.986562666702</v>
      </c>
      <c r="Y142" s="449"/>
      <c r="Z142" s="446">
        <f t="shared" si="131"/>
        <v>27105.986562666702</v>
      </c>
      <c r="AA142" s="192">
        <v>27105.986562666702</v>
      </c>
      <c r="AB142" s="192">
        <f t="shared" si="134"/>
        <v>0</v>
      </c>
      <c r="AC142" s="192"/>
      <c r="AD142" s="192"/>
      <c r="AE142" s="192"/>
    </row>
    <row r="143" spans="1:31" ht="18">
      <c r="A143" s="520">
        <v>126</v>
      </c>
      <c r="B143" s="10" t="s">
        <v>431</v>
      </c>
      <c r="C143" s="446">
        <v>242300.07750000001</v>
      </c>
      <c r="D143" s="445">
        <v>12</v>
      </c>
      <c r="E143" s="446">
        <f t="shared" si="132"/>
        <v>2907600.93</v>
      </c>
      <c r="F143" s="446">
        <f>469.4825*12</f>
        <v>5633.79</v>
      </c>
      <c r="G143" s="449"/>
      <c r="H143" s="449"/>
      <c r="I143" s="446">
        <f t="shared" si="133"/>
        <v>2901967.14</v>
      </c>
      <c r="J143" s="446">
        <v>200000</v>
      </c>
      <c r="K143" s="446">
        <v>0.2</v>
      </c>
      <c r="L143" s="446">
        <f t="shared" si="121"/>
        <v>580393.42799999996</v>
      </c>
      <c r="M143" s="446">
        <f t="shared" si="122"/>
        <v>780393.42799999996</v>
      </c>
      <c r="N143" s="446">
        <f t="shared" si="123"/>
        <v>786027.21799999999</v>
      </c>
      <c r="O143" s="446">
        <f t="shared" si="124"/>
        <v>2121573.7119999998</v>
      </c>
      <c r="P143" s="446">
        <f t="shared" si="125"/>
        <v>21000</v>
      </c>
      <c r="Q143" s="446">
        <f t="shared" si="126"/>
        <v>33000</v>
      </c>
      <c r="R143" s="446">
        <f t="shared" si="127"/>
        <v>75000</v>
      </c>
      <c r="S143" s="446">
        <f t="shared" si="128"/>
        <v>95000</v>
      </c>
      <c r="T143" s="446">
        <f t="shared" si="129"/>
        <v>109530.47951999999</v>
      </c>
      <c r="U143" s="446"/>
      <c r="V143" s="446">
        <f t="shared" si="135"/>
        <v>333530.47951999999</v>
      </c>
      <c r="W143" s="453">
        <v>12</v>
      </c>
      <c r="X143" s="446">
        <f t="shared" si="130"/>
        <v>27794.206626666699</v>
      </c>
      <c r="Y143" s="449"/>
      <c r="Z143" s="446">
        <f t="shared" si="131"/>
        <v>27794.206626666699</v>
      </c>
      <c r="AA143" s="533">
        <v>27794.206626666699</v>
      </c>
      <c r="AB143" s="192">
        <f t="shared" si="134"/>
        <v>0</v>
      </c>
      <c r="AC143" s="192"/>
      <c r="AD143" s="192"/>
      <c r="AE143" s="192"/>
    </row>
    <row r="144" spans="1:31" ht="18">
      <c r="A144" s="520">
        <v>127</v>
      </c>
      <c r="B144" s="10" t="s">
        <v>433</v>
      </c>
      <c r="C144" s="446">
        <v>242300.07750000001</v>
      </c>
      <c r="D144" s="445">
        <v>12</v>
      </c>
      <c r="E144" s="446">
        <f t="shared" si="132"/>
        <v>2907600.93</v>
      </c>
      <c r="F144" s="446"/>
      <c r="G144" s="449"/>
      <c r="H144" s="449"/>
      <c r="I144" s="446">
        <f t="shared" si="133"/>
        <v>2907600.93</v>
      </c>
      <c r="J144" s="446">
        <v>200000</v>
      </c>
      <c r="K144" s="446">
        <v>0.2</v>
      </c>
      <c r="L144" s="446">
        <f t="shared" si="121"/>
        <v>581520.18599999999</v>
      </c>
      <c r="M144" s="446">
        <f t="shared" si="122"/>
        <v>781520.18599999999</v>
      </c>
      <c r="N144" s="446">
        <f t="shared" si="123"/>
        <v>781520.18599999999</v>
      </c>
      <c r="O144" s="446">
        <f t="shared" si="124"/>
        <v>2126080.7439999999</v>
      </c>
      <c r="P144" s="446">
        <f t="shared" si="125"/>
        <v>21000</v>
      </c>
      <c r="Q144" s="446">
        <f t="shared" si="126"/>
        <v>33000</v>
      </c>
      <c r="R144" s="446">
        <f t="shared" si="127"/>
        <v>75000</v>
      </c>
      <c r="S144" s="446">
        <f t="shared" si="128"/>
        <v>95000</v>
      </c>
      <c r="T144" s="446">
        <f t="shared" si="129"/>
        <v>110476.95624</v>
      </c>
      <c r="U144" s="446"/>
      <c r="V144" s="446">
        <f t="shared" si="135"/>
        <v>334476.95624000003</v>
      </c>
      <c r="W144" s="453">
        <v>12</v>
      </c>
      <c r="X144" s="446">
        <f t="shared" si="130"/>
        <v>27873.079686666701</v>
      </c>
      <c r="Y144" s="449"/>
      <c r="Z144" s="446">
        <f t="shared" si="131"/>
        <v>27873.079686666701</v>
      </c>
      <c r="AA144" s="192">
        <v>27873.079686666701</v>
      </c>
      <c r="AB144" s="192">
        <f t="shared" si="134"/>
        <v>0</v>
      </c>
      <c r="AC144" s="192"/>
      <c r="AD144" s="192"/>
      <c r="AE144" s="192"/>
    </row>
    <row r="145" spans="1:31" ht="18">
      <c r="A145" s="520">
        <v>128</v>
      </c>
      <c r="B145" s="10" t="s">
        <v>434</v>
      </c>
      <c r="C145" s="446">
        <v>237734.04699999999</v>
      </c>
      <c r="D145" s="445">
        <v>12</v>
      </c>
      <c r="E145" s="446">
        <f t="shared" si="132"/>
        <v>2852808.5639999998</v>
      </c>
      <c r="F145" s="446"/>
      <c r="G145" s="449"/>
      <c r="H145" s="449"/>
      <c r="I145" s="446">
        <f t="shared" si="133"/>
        <v>2852808.5639999998</v>
      </c>
      <c r="J145" s="446">
        <v>200000</v>
      </c>
      <c r="K145" s="446">
        <v>0.2</v>
      </c>
      <c r="L145" s="446">
        <f t="shared" si="121"/>
        <v>570561.71279999998</v>
      </c>
      <c r="M145" s="446">
        <f t="shared" si="122"/>
        <v>770561.71279999998</v>
      </c>
      <c r="N145" s="446">
        <f t="shared" si="123"/>
        <v>770561.71279999998</v>
      </c>
      <c r="O145" s="446">
        <f t="shared" si="124"/>
        <v>2082246.8511999999</v>
      </c>
      <c r="P145" s="446">
        <f t="shared" si="125"/>
        <v>21000</v>
      </c>
      <c r="Q145" s="446">
        <f t="shared" si="126"/>
        <v>33000</v>
      </c>
      <c r="R145" s="446">
        <f t="shared" si="127"/>
        <v>75000</v>
      </c>
      <c r="S145" s="446">
        <f t="shared" si="128"/>
        <v>95000</v>
      </c>
      <c r="T145" s="446">
        <f t="shared" si="129"/>
        <v>101271.838752</v>
      </c>
      <c r="U145" s="446"/>
      <c r="V145" s="446">
        <f t="shared" si="135"/>
        <v>325271.83875200001</v>
      </c>
      <c r="W145" s="453">
        <v>12</v>
      </c>
      <c r="X145" s="446">
        <f t="shared" si="130"/>
        <v>27105.986562666702</v>
      </c>
      <c r="Y145" s="449"/>
      <c r="Z145" s="446">
        <f t="shared" si="131"/>
        <v>27105.986562666702</v>
      </c>
      <c r="AA145" s="192">
        <v>27105.986562666702</v>
      </c>
      <c r="AB145" s="192">
        <f t="shared" si="134"/>
        <v>0</v>
      </c>
      <c r="AC145" s="192"/>
      <c r="AD145" s="192"/>
      <c r="AE145" s="192"/>
    </row>
    <row r="146" spans="1:31" ht="36">
      <c r="A146" s="520">
        <v>129</v>
      </c>
      <c r="B146" s="10" t="s">
        <v>436</v>
      </c>
      <c r="C146" s="446">
        <v>209356.04725</v>
      </c>
      <c r="D146" s="445">
        <v>12</v>
      </c>
      <c r="E146" s="446">
        <f t="shared" si="132"/>
        <v>2512272.5669999998</v>
      </c>
      <c r="F146" s="446"/>
      <c r="G146" s="449"/>
      <c r="H146" s="449"/>
      <c r="I146" s="446">
        <f t="shared" si="133"/>
        <v>2512272.5669999998</v>
      </c>
      <c r="J146" s="446">
        <v>200000</v>
      </c>
      <c r="K146" s="446">
        <v>0.2</v>
      </c>
      <c r="L146" s="446">
        <f t="shared" si="121"/>
        <v>502454.5134</v>
      </c>
      <c r="M146" s="446">
        <f t="shared" si="122"/>
        <v>702454.51340000005</v>
      </c>
      <c r="N146" s="446">
        <f t="shared" si="123"/>
        <v>702454.51340000005</v>
      </c>
      <c r="O146" s="446">
        <f t="shared" si="124"/>
        <v>1809818.0536</v>
      </c>
      <c r="P146" s="446">
        <f t="shared" si="125"/>
        <v>21000</v>
      </c>
      <c r="Q146" s="446">
        <f t="shared" si="126"/>
        <v>33000</v>
      </c>
      <c r="R146" s="446">
        <f t="shared" si="127"/>
        <v>75000</v>
      </c>
      <c r="S146" s="446">
        <f t="shared" si="128"/>
        <v>95000</v>
      </c>
      <c r="T146" s="446">
        <f t="shared" si="129"/>
        <v>44061.791255999902</v>
      </c>
      <c r="U146" s="446"/>
      <c r="V146" s="446">
        <f t="shared" si="135"/>
        <v>268061.791256</v>
      </c>
      <c r="W146" s="453">
        <v>12</v>
      </c>
      <c r="X146" s="446">
        <f t="shared" si="130"/>
        <v>22338.4826046667</v>
      </c>
      <c r="Y146" s="449"/>
      <c r="Z146" s="446">
        <f t="shared" si="131"/>
        <v>22338.4826046667</v>
      </c>
      <c r="AA146" s="192">
        <v>22338.4826046667</v>
      </c>
      <c r="AB146" s="192">
        <f t="shared" si="134"/>
        <v>0</v>
      </c>
      <c r="AC146" s="192"/>
      <c r="AD146" s="192"/>
      <c r="AE146" s="192"/>
    </row>
    <row r="147" spans="1:31" ht="18">
      <c r="A147" s="520">
        <v>130</v>
      </c>
      <c r="B147" s="10" t="s">
        <v>438</v>
      </c>
      <c r="C147" s="446">
        <v>237734.04699999999</v>
      </c>
      <c r="D147" s="445">
        <v>12</v>
      </c>
      <c r="E147" s="446">
        <f t="shared" si="132"/>
        <v>2852808.5639999998</v>
      </c>
      <c r="F147" s="446"/>
      <c r="G147" s="449"/>
      <c r="H147" s="449"/>
      <c r="I147" s="446">
        <f t="shared" si="133"/>
        <v>2852808.5639999998</v>
      </c>
      <c r="J147" s="446">
        <v>200000</v>
      </c>
      <c r="K147" s="446">
        <v>0.2</v>
      </c>
      <c r="L147" s="446">
        <f t="shared" si="121"/>
        <v>570561.71279999998</v>
      </c>
      <c r="M147" s="446">
        <f t="shared" si="122"/>
        <v>770561.71279999998</v>
      </c>
      <c r="N147" s="446">
        <f t="shared" si="123"/>
        <v>770561.71279999998</v>
      </c>
      <c r="O147" s="446">
        <f t="shared" si="124"/>
        <v>2082246.8511999999</v>
      </c>
      <c r="P147" s="446">
        <f t="shared" si="125"/>
        <v>21000</v>
      </c>
      <c r="Q147" s="446">
        <f t="shared" si="126"/>
        <v>33000</v>
      </c>
      <c r="R147" s="446">
        <f t="shared" si="127"/>
        <v>75000</v>
      </c>
      <c r="S147" s="446">
        <f t="shared" si="128"/>
        <v>95000</v>
      </c>
      <c r="T147" s="446">
        <f t="shared" si="129"/>
        <v>101271.838752</v>
      </c>
      <c r="U147" s="446"/>
      <c r="V147" s="446">
        <f t="shared" si="135"/>
        <v>325271.83875200001</v>
      </c>
      <c r="W147" s="453">
        <v>12</v>
      </c>
      <c r="X147" s="446">
        <f t="shared" si="130"/>
        <v>27105.986562666702</v>
      </c>
      <c r="Y147" s="449"/>
      <c r="Z147" s="446">
        <f t="shared" si="131"/>
        <v>27105.986562666702</v>
      </c>
      <c r="AA147" s="192">
        <v>27105.986562666702</v>
      </c>
      <c r="AB147" s="192">
        <f t="shared" si="134"/>
        <v>0</v>
      </c>
      <c r="AC147" s="192"/>
      <c r="AD147" s="192"/>
      <c r="AE147" s="192"/>
    </row>
    <row r="148" spans="1:31" ht="18">
      <c r="A148" s="520">
        <v>131</v>
      </c>
      <c r="B148" s="10" t="s">
        <v>440</v>
      </c>
      <c r="C148" s="446">
        <v>213508.01</v>
      </c>
      <c r="D148" s="445">
        <v>12</v>
      </c>
      <c r="E148" s="446">
        <f t="shared" si="132"/>
        <v>2562096.12</v>
      </c>
      <c r="F148" s="446"/>
      <c r="G148" s="449"/>
      <c r="H148" s="449"/>
      <c r="I148" s="446">
        <f t="shared" si="133"/>
        <v>2562096.12</v>
      </c>
      <c r="J148" s="446">
        <v>200000</v>
      </c>
      <c r="K148" s="446">
        <v>0.2</v>
      </c>
      <c r="L148" s="446">
        <f t="shared" si="121"/>
        <v>512419.22399999999</v>
      </c>
      <c r="M148" s="446">
        <f t="shared" si="122"/>
        <v>712419.22400000005</v>
      </c>
      <c r="N148" s="446">
        <f t="shared" si="123"/>
        <v>712419.22400000005</v>
      </c>
      <c r="O148" s="446">
        <f t="shared" si="124"/>
        <v>1849676.8959999999</v>
      </c>
      <c r="P148" s="446">
        <f t="shared" si="125"/>
        <v>21000</v>
      </c>
      <c r="Q148" s="446">
        <f t="shared" si="126"/>
        <v>33000</v>
      </c>
      <c r="R148" s="446">
        <f t="shared" si="127"/>
        <v>75000</v>
      </c>
      <c r="S148" s="446">
        <f t="shared" si="128"/>
        <v>95000</v>
      </c>
      <c r="T148" s="446">
        <f t="shared" si="129"/>
        <v>52432.148159999997</v>
      </c>
      <c r="U148" s="446"/>
      <c r="V148" s="446">
        <f t="shared" si="135"/>
        <v>276432.14815999998</v>
      </c>
      <c r="W148" s="453">
        <v>12</v>
      </c>
      <c r="X148" s="446">
        <f t="shared" si="130"/>
        <v>23036.012346666699</v>
      </c>
      <c r="Y148" s="449"/>
      <c r="Z148" s="446">
        <f t="shared" si="131"/>
        <v>23036.012346666699</v>
      </c>
      <c r="AA148" s="192">
        <v>23036.012346666699</v>
      </c>
      <c r="AB148" s="192">
        <f t="shared" si="134"/>
        <v>0</v>
      </c>
      <c r="AC148" s="192"/>
      <c r="AD148" s="192"/>
      <c r="AE148" s="192"/>
    </row>
    <row r="149" spans="1:31" ht="18">
      <c r="A149" s="520">
        <v>132</v>
      </c>
      <c r="B149" s="10" t="s">
        <v>442</v>
      </c>
      <c r="C149" s="446">
        <v>237734.04699999999</v>
      </c>
      <c r="D149" s="445">
        <v>12</v>
      </c>
      <c r="E149" s="446">
        <f t="shared" si="132"/>
        <v>2852808.5639999998</v>
      </c>
      <c r="F149" s="446">
        <f>457.041*12</f>
        <v>5484.4920000000002</v>
      </c>
      <c r="G149" s="449"/>
      <c r="H149" s="449"/>
      <c r="I149" s="446">
        <f t="shared" si="133"/>
        <v>2847324.0720000002</v>
      </c>
      <c r="J149" s="446">
        <v>200000</v>
      </c>
      <c r="K149" s="446">
        <v>0.2</v>
      </c>
      <c r="L149" s="446">
        <f t="shared" si="121"/>
        <v>569464.81440000003</v>
      </c>
      <c r="M149" s="446">
        <f t="shared" si="122"/>
        <v>769464.81440000003</v>
      </c>
      <c r="N149" s="446">
        <f t="shared" si="123"/>
        <v>774949.3064</v>
      </c>
      <c r="O149" s="446">
        <f t="shared" si="124"/>
        <v>2077859.2575999999</v>
      </c>
      <c r="P149" s="446">
        <f t="shared" si="125"/>
        <v>21000</v>
      </c>
      <c r="Q149" s="446">
        <f t="shared" si="126"/>
        <v>33000</v>
      </c>
      <c r="R149" s="446">
        <f t="shared" si="127"/>
        <v>75000</v>
      </c>
      <c r="S149" s="446">
        <f t="shared" si="128"/>
        <v>95000</v>
      </c>
      <c r="T149" s="446">
        <f t="shared" si="129"/>
        <v>100350.44409600001</v>
      </c>
      <c r="U149" s="446"/>
      <c r="V149" s="446">
        <f t="shared" si="135"/>
        <v>324350.44409599999</v>
      </c>
      <c r="W149" s="453">
        <v>12</v>
      </c>
      <c r="X149" s="446">
        <f t="shared" si="130"/>
        <v>27029.2036746667</v>
      </c>
      <c r="Y149" s="449"/>
      <c r="Z149" s="446">
        <f t="shared" si="131"/>
        <v>27029.2036746667</v>
      </c>
      <c r="AA149" s="192">
        <v>27029.2036746667</v>
      </c>
      <c r="AB149" s="192">
        <f t="shared" si="134"/>
        <v>0</v>
      </c>
      <c r="AC149" s="192"/>
      <c r="AD149" s="192"/>
      <c r="AE149" s="192"/>
    </row>
    <row r="150" spans="1:31" ht="18">
      <c r="A150" s="520">
        <v>133</v>
      </c>
      <c r="B150" s="10" t="s">
        <v>444</v>
      </c>
      <c r="C150" s="446">
        <v>209356.04725</v>
      </c>
      <c r="D150" s="445">
        <v>12</v>
      </c>
      <c r="E150" s="446">
        <f t="shared" si="132"/>
        <v>2512272.5669999998</v>
      </c>
      <c r="F150" s="446"/>
      <c r="G150" s="449"/>
      <c r="H150" s="449"/>
      <c r="I150" s="446">
        <f t="shared" si="133"/>
        <v>2512272.5669999998</v>
      </c>
      <c r="J150" s="446">
        <v>200000</v>
      </c>
      <c r="K150" s="446">
        <v>0.2</v>
      </c>
      <c r="L150" s="446">
        <f t="shared" si="121"/>
        <v>502454.5134</v>
      </c>
      <c r="M150" s="446">
        <f t="shared" si="122"/>
        <v>702454.51340000005</v>
      </c>
      <c r="N150" s="446">
        <f t="shared" si="123"/>
        <v>702454.51340000005</v>
      </c>
      <c r="O150" s="446">
        <f t="shared" si="124"/>
        <v>1809818.0536</v>
      </c>
      <c r="P150" s="446">
        <f t="shared" si="125"/>
        <v>21000</v>
      </c>
      <c r="Q150" s="446">
        <f t="shared" si="126"/>
        <v>33000</v>
      </c>
      <c r="R150" s="446">
        <f t="shared" si="127"/>
        <v>75000</v>
      </c>
      <c r="S150" s="446">
        <f t="shared" si="128"/>
        <v>95000</v>
      </c>
      <c r="T150" s="446">
        <f t="shared" si="129"/>
        <v>44061.791255999902</v>
      </c>
      <c r="U150" s="446"/>
      <c r="V150" s="446">
        <f t="shared" si="135"/>
        <v>268061.791256</v>
      </c>
      <c r="W150" s="453">
        <v>12</v>
      </c>
      <c r="X150" s="446">
        <f t="shared" si="130"/>
        <v>22338.4826046667</v>
      </c>
      <c r="Y150" s="449"/>
      <c r="Z150" s="446">
        <f t="shared" si="131"/>
        <v>22338.4826046667</v>
      </c>
      <c r="AA150" s="192">
        <v>22338.4826046667</v>
      </c>
      <c r="AB150" s="192">
        <f t="shared" si="134"/>
        <v>0</v>
      </c>
      <c r="AC150" s="192"/>
      <c r="AD150" s="192"/>
      <c r="AE150" s="192"/>
    </row>
    <row r="151" spans="1:31" ht="18">
      <c r="A151" s="520">
        <v>134</v>
      </c>
      <c r="B151" s="17" t="s">
        <v>446</v>
      </c>
      <c r="C151" s="446">
        <v>205204.0845</v>
      </c>
      <c r="D151" s="445">
        <v>12</v>
      </c>
      <c r="E151" s="446">
        <f t="shared" si="132"/>
        <v>2462449.014</v>
      </c>
      <c r="F151" s="446"/>
      <c r="G151" s="449"/>
      <c r="H151" s="449"/>
      <c r="I151" s="446">
        <f t="shared" si="133"/>
        <v>2462449.014</v>
      </c>
      <c r="J151" s="446">
        <v>200000</v>
      </c>
      <c r="K151" s="446">
        <v>0.2</v>
      </c>
      <c r="L151" s="446">
        <f t="shared" si="121"/>
        <v>492489.8028</v>
      </c>
      <c r="M151" s="446">
        <f t="shared" si="122"/>
        <v>692489.80279999995</v>
      </c>
      <c r="N151" s="446">
        <f t="shared" si="123"/>
        <v>692489.80279999995</v>
      </c>
      <c r="O151" s="446">
        <f t="shared" si="124"/>
        <v>1769959.2112</v>
      </c>
      <c r="P151" s="446">
        <f t="shared" si="125"/>
        <v>21000</v>
      </c>
      <c r="Q151" s="446">
        <f t="shared" si="126"/>
        <v>33000</v>
      </c>
      <c r="R151" s="446">
        <f t="shared" si="127"/>
        <v>75000</v>
      </c>
      <c r="S151" s="446">
        <f t="shared" si="128"/>
        <v>95000</v>
      </c>
      <c r="T151" s="446">
        <f t="shared" si="129"/>
        <v>35691.434351999997</v>
      </c>
      <c r="U151" s="446"/>
      <c r="V151" s="446">
        <f t="shared" si="135"/>
        <v>259691.43435200001</v>
      </c>
      <c r="W151" s="453">
        <v>12</v>
      </c>
      <c r="X151" s="446">
        <f t="shared" si="130"/>
        <v>21640.952862666702</v>
      </c>
      <c r="Y151" s="449"/>
      <c r="Z151" s="446">
        <f t="shared" si="131"/>
        <v>21640.952862666702</v>
      </c>
      <c r="AA151" s="192">
        <v>21640.952862666702</v>
      </c>
      <c r="AB151" s="192">
        <f t="shared" si="134"/>
        <v>0</v>
      </c>
      <c r="AC151" s="192"/>
      <c r="AD151" s="192"/>
      <c r="AE151" s="192"/>
    </row>
    <row r="152" spans="1:31" ht="18">
      <c r="A152" s="520">
        <v>135</v>
      </c>
      <c r="B152" s="17" t="s">
        <v>448</v>
      </c>
      <c r="C152" s="446">
        <v>176816.1</v>
      </c>
      <c r="D152" s="445">
        <v>12</v>
      </c>
      <c r="E152" s="446">
        <f t="shared" si="132"/>
        <v>2121793.2000000002</v>
      </c>
      <c r="F152" s="446">
        <v>0</v>
      </c>
      <c r="G152" s="449"/>
      <c r="H152" s="449"/>
      <c r="I152" s="446">
        <f t="shared" si="133"/>
        <v>2121793.2000000002</v>
      </c>
      <c r="J152" s="446">
        <v>200000</v>
      </c>
      <c r="K152" s="446">
        <v>0.2</v>
      </c>
      <c r="L152" s="446">
        <f t="shared" si="121"/>
        <v>424358.64</v>
      </c>
      <c r="M152" s="446">
        <f t="shared" si="122"/>
        <v>624358.64</v>
      </c>
      <c r="N152" s="446">
        <f t="shared" si="123"/>
        <v>624358.64</v>
      </c>
      <c r="O152" s="446">
        <f t="shared" si="124"/>
        <v>1497434.56</v>
      </c>
      <c r="P152" s="446">
        <f t="shared" si="125"/>
        <v>21000</v>
      </c>
      <c r="Q152" s="446">
        <f t="shared" si="126"/>
        <v>33000</v>
      </c>
      <c r="R152" s="446">
        <f t="shared" si="127"/>
        <v>75000</v>
      </c>
      <c r="S152" s="446">
        <f t="shared" si="128"/>
        <v>75512.566399999996</v>
      </c>
      <c r="T152" s="446">
        <f t="shared" si="129"/>
        <v>0</v>
      </c>
      <c r="U152" s="446"/>
      <c r="V152" s="446">
        <f t="shared" si="135"/>
        <v>204512.56640000001</v>
      </c>
      <c r="W152" s="453">
        <v>12</v>
      </c>
      <c r="X152" s="446">
        <f t="shared" si="130"/>
        <v>17042.713866666702</v>
      </c>
      <c r="Y152" s="449"/>
      <c r="Z152" s="446">
        <f t="shared" si="131"/>
        <v>17042.713866666702</v>
      </c>
      <c r="AA152" s="192">
        <v>17042.713866666702</v>
      </c>
      <c r="AB152" s="192">
        <f t="shared" si="134"/>
        <v>0</v>
      </c>
      <c r="AC152" s="192"/>
      <c r="AD152" s="192"/>
      <c r="AE152" s="192"/>
    </row>
    <row r="153" spans="1:31" ht="18">
      <c r="A153" s="520">
        <v>136</v>
      </c>
      <c r="B153" s="17" t="s">
        <v>450</v>
      </c>
      <c r="C153" s="446">
        <v>176816.1</v>
      </c>
      <c r="D153" s="445">
        <v>12</v>
      </c>
      <c r="E153" s="446">
        <f t="shared" si="132"/>
        <v>2121793.2000000002</v>
      </c>
      <c r="F153" s="446">
        <v>0</v>
      </c>
      <c r="G153" s="449"/>
      <c r="H153" s="449"/>
      <c r="I153" s="446">
        <f t="shared" si="133"/>
        <v>2121793.2000000002</v>
      </c>
      <c r="J153" s="446">
        <v>200000</v>
      </c>
      <c r="K153" s="446">
        <v>0.2</v>
      </c>
      <c r="L153" s="446">
        <f t="shared" si="121"/>
        <v>424358.64</v>
      </c>
      <c r="M153" s="446">
        <f t="shared" si="122"/>
        <v>624358.64</v>
      </c>
      <c r="N153" s="446">
        <f t="shared" si="123"/>
        <v>624358.64</v>
      </c>
      <c r="O153" s="446">
        <f t="shared" si="124"/>
        <v>1497434.56</v>
      </c>
      <c r="P153" s="446">
        <f t="shared" si="125"/>
        <v>21000</v>
      </c>
      <c r="Q153" s="446">
        <f t="shared" si="126"/>
        <v>33000</v>
      </c>
      <c r="R153" s="446">
        <f t="shared" si="127"/>
        <v>75000</v>
      </c>
      <c r="S153" s="446">
        <f t="shared" si="128"/>
        <v>75512.566399999996</v>
      </c>
      <c r="T153" s="446">
        <f t="shared" si="129"/>
        <v>0</v>
      </c>
      <c r="U153" s="446"/>
      <c r="V153" s="446">
        <f t="shared" si="135"/>
        <v>204512.56640000001</v>
      </c>
      <c r="W153" s="453">
        <v>12</v>
      </c>
      <c r="X153" s="446">
        <f t="shared" si="130"/>
        <v>17042.713866666702</v>
      </c>
      <c r="Y153" s="449"/>
      <c r="Z153" s="446">
        <f t="shared" si="131"/>
        <v>17042.713866666702</v>
      </c>
      <c r="AA153" s="192">
        <v>17042.713866666702</v>
      </c>
      <c r="AB153" s="192">
        <f t="shared" si="134"/>
        <v>0</v>
      </c>
      <c r="AC153" s="192"/>
      <c r="AD153" s="192"/>
      <c r="AE153" s="192"/>
    </row>
    <row r="154" spans="1:31" ht="36">
      <c r="A154" s="520">
        <v>137</v>
      </c>
      <c r="B154" s="17" t="s">
        <v>452</v>
      </c>
      <c r="C154" s="446">
        <v>176816.1</v>
      </c>
      <c r="D154" s="445">
        <v>12</v>
      </c>
      <c r="E154" s="446">
        <f t="shared" si="132"/>
        <v>2121793.2000000002</v>
      </c>
      <c r="F154" s="446">
        <v>0</v>
      </c>
      <c r="G154" s="449"/>
      <c r="H154" s="449"/>
      <c r="I154" s="446">
        <f t="shared" si="133"/>
        <v>2121793.2000000002</v>
      </c>
      <c r="J154" s="446">
        <v>200000</v>
      </c>
      <c r="K154" s="446">
        <v>0.2</v>
      </c>
      <c r="L154" s="446">
        <f t="shared" si="121"/>
        <v>424358.64</v>
      </c>
      <c r="M154" s="446">
        <f t="shared" si="122"/>
        <v>624358.64</v>
      </c>
      <c r="N154" s="446">
        <f t="shared" si="123"/>
        <v>624358.64</v>
      </c>
      <c r="O154" s="446">
        <f t="shared" si="124"/>
        <v>1497434.56</v>
      </c>
      <c r="P154" s="446">
        <f t="shared" si="125"/>
        <v>21000</v>
      </c>
      <c r="Q154" s="446">
        <f t="shared" si="126"/>
        <v>33000</v>
      </c>
      <c r="R154" s="446">
        <f t="shared" si="127"/>
        <v>75000</v>
      </c>
      <c r="S154" s="446">
        <f t="shared" si="128"/>
        <v>75512.566399999996</v>
      </c>
      <c r="T154" s="446">
        <f t="shared" si="129"/>
        <v>0</v>
      </c>
      <c r="U154" s="446"/>
      <c r="V154" s="446">
        <f t="shared" si="135"/>
        <v>204512.56640000001</v>
      </c>
      <c r="W154" s="453">
        <v>12</v>
      </c>
      <c r="X154" s="446">
        <f t="shared" si="130"/>
        <v>17042.713866666702</v>
      </c>
      <c r="Y154" s="449"/>
      <c r="Z154" s="446">
        <f t="shared" si="131"/>
        <v>17042.713866666702</v>
      </c>
      <c r="AA154" s="192">
        <v>17042.713866666702</v>
      </c>
      <c r="AB154" s="192">
        <f t="shared" si="134"/>
        <v>0</v>
      </c>
      <c r="AC154" s="192"/>
      <c r="AD154" s="192"/>
      <c r="AE154" s="192"/>
    </row>
    <row r="155" spans="1:31" ht="18">
      <c r="A155" s="520">
        <v>138</v>
      </c>
      <c r="B155" s="17" t="s">
        <v>454</v>
      </c>
      <c r="C155" s="446">
        <v>180304.068</v>
      </c>
      <c r="D155" s="445">
        <v>12</v>
      </c>
      <c r="E155" s="446">
        <f t="shared" si="132"/>
        <v>2163648.8160000001</v>
      </c>
      <c r="F155" s="446">
        <v>0</v>
      </c>
      <c r="G155" s="449"/>
      <c r="H155" s="449"/>
      <c r="I155" s="446">
        <f t="shared" si="133"/>
        <v>2163648.8160000001</v>
      </c>
      <c r="J155" s="446">
        <v>200000</v>
      </c>
      <c r="K155" s="446">
        <v>0.2</v>
      </c>
      <c r="L155" s="446">
        <f t="shared" si="121"/>
        <v>432729.76319999999</v>
      </c>
      <c r="M155" s="446">
        <f t="shared" si="122"/>
        <v>632729.76320000004</v>
      </c>
      <c r="N155" s="446">
        <f t="shared" si="123"/>
        <v>632729.76320000004</v>
      </c>
      <c r="O155" s="446">
        <f t="shared" si="124"/>
        <v>1530919.0527999999</v>
      </c>
      <c r="P155" s="446">
        <f t="shared" si="125"/>
        <v>21000</v>
      </c>
      <c r="Q155" s="446">
        <f t="shared" si="126"/>
        <v>33000</v>
      </c>
      <c r="R155" s="446">
        <f t="shared" si="127"/>
        <v>75000</v>
      </c>
      <c r="S155" s="446">
        <f t="shared" si="128"/>
        <v>81874.620032000006</v>
      </c>
      <c r="T155" s="446">
        <f t="shared" si="129"/>
        <v>0</v>
      </c>
      <c r="U155" s="446"/>
      <c r="V155" s="446">
        <f t="shared" si="135"/>
        <v>210874.62003200001</v>
      </c>
      <c r="W155" s="453">
        <v>12</v>
      </c>
      <c r="X155" s="446">
        <f t="shared" si="130"/>
        <v>17572.885002666699</v>
      </c>
      <c r="Y155" s="449"/>
      <c r="Z155" s="446">
        <f t="shared" si="131"/>
        <v>17572.885002666699</v>
      </c>
      <c r="AA155" s="192">
        <v>17572.885002666699</v>
      </c>
      <c r="AB155" s="192">
        <f t="shared" si="134"/>
        <v>0</v>
      </c>
      <c r="AC155" s="192"/>
      <c r="AD155" s="192"/>
      <c r="AE155" s="192"/>
    </row>
    <row r="156" spans="1:31" ht="18">
      <c r="A156" s="520">
        <v>139</v>
      </c>
      <c r="B156" s="17" t="s">
        <v>456</v>
      </c>
      <c r="C156" s="446">
        <v>176816.1</v>
      </c>
      <c r="D156" s="445">
        <v>12</v>
      </c>
      <c r="E156" s="446">
        <f t="shared" si="132"/>
        <v>2121793.2000000002</v>
      </c>
      <c r="F156" s="446">
        <v>0</v>
      </c>
      <c r="G156" s="449"/>
      <c r="H156" s="449"/>
      <c r="I156" s="446">
        <f t="shared" si="133"/>
        <v>2121793.2000000002</v>
      </c>
      <c r="J156" s="446">
        <v>200000</v>
      </c>
      <c r="K156" s="446">
        <v>0.2</v>
      </c>
      <c r="L156" s="446">
        <f t="shared" si="121"/>
        <v>424358.64</v>
      </c>
      <c r="M156" s="446">
        <f t="shared" si="122"/>
        <v>624358.64</v>
      </c>
      <c r="N156" s="446">
        <f t="shared" si="123"/>
        <v>624358.64</v>
      </c>
      <c r="O156" s="446">
        <f t="shared" si="124"/>
        <v>1497434.56</v>
      </c>
      <c r="P156" s="446">
        <f t="shared" si="125"/>
        <v>21000</v>
      </c>
      <c r="Q156" s="446">
        <f t="shared" si="126"/>
        <v>33000</v>
      </c>
      <c r="R156" s="446">
        <f t="shared" si="127"/>
        <v>75000</v>
      </c>
      <c r="S156" s="446">
        <f t="shared" si="128"/>
        <v>75512.566399999996</v>
      </c>
      <c r="T156" s="446">
        <f t="shared" si="129"/>
        <v>0</v>
      </c>
      <c r="U156" s="446"/>
      <c r="V156" s="446">
        <f t="shared" si="135"/>
        <v>204512.56640000001</v>
      </c>
      <c r="W156" s="453">
        <v>12</v>
      </c>
      <c r="X156" s="446">
        <f t="shared" si="130"/>
        <v>17042.713866666702</v>
      </c>
      <c r="Y156" s="449"/>
      <c r="Z156" s="446">
        <f t="shared" si="131"/>
        <v>17042.713866666702</v>
      </c>
      <c r="AA156" s="192">
        <v>17042.713866666702</v>
      </c>
      <c r="AB156" s="192">
        <f t="shared" si="134"/>
        <v>0</v>
      </c>
      <c r="AC156" s="192"/>
      <c r="AD156" s="192"/>
      <c r="AE156" s="192"/>
    </row>
    <row r="157" spans="1:31" ht="18">
      <c r="A157" s="520">
        <v>140</v>
      </c>
      <c r="B157" s="10" t="s">
        <v>457</v>
      </c>
      <c r="C157" s="446">
        <v>135590.73000000001</v>
      </c>
      <c r="D157" s="445">
        <v>12</v>
      </c>
      <c r="E157" s="446">
        <f t="shared" si="132"/>
        <v>1627088.76</v>
      </c>
      <c r="F157" s="446">
        <f>263.19*12</f>
        <v>3158.28</v>
      </c>
      <c r="G157" s="449"/>
      <c r="H157" s="449"/>
      <c r="I157" s="446">
        <f t="shared" si="133"/>
        <v>1623930.48</v>
      </c>
      <c r="J157" s="446">
        <v>200000</v>
      </c>
      <c r="K157" s="446">
        <v>0.2</v>
      </c>
      <c r="L157" s="446">
        <f t="shared" si="121"/>
        <v>324786.09600000002</v>
      </c>
      <c r="M157" s="446">
        <f t="shared" si="122"/>
        <v>524786.09600000002</v>
      </c>
      <c r="N157" s="446">
        <f t="shared" si="123"/>
        <v>527944.37600000005</v>
      </c>
      <c r="O157" s="446">
        <f t="shared" si="124"/>
        <v>1099144.3840000001</v>
      </c>
      <c r="P157" s="446">
        <f t="shared" si="125"/>
        <v>21000</v>
      </c>
      <c r="Q157" s="446">
        <f t="shared" si="126"/>
        <v>33000</v>
      </c>
      <c r="R157" s="446">
        <f t="shared" si="127"/>
        <v>74871.657600000006</v>
      </c>
      <c r="S157" s="446">
        <f t="shared" si="128"/>
        <v>0</v>
      </c>
      <c r="T157" s="446">
        <f t="shared" si="129"/>
        <v>0</v>
      </c>
      <c r="U157" s="446"/>
      <c r="V157" s="446">
        <f t="shared" si="135"/>
        <v>128871.65760000001</v>
      </c>
      <c r="W157" s="453">
        <v>12</v>
      </c>
      <c r="X157" s="446">
        <f t="shared" si="130"/>
        <v>10739.3048</v>
      </c>
      <c r="Y157" s="449"/>
      <c r="Z157" s="446">
        <f t="shared" si="131"/>
        <v>10739.3048</v>
      </c>
      <c r="AA157" s="192">
        <v>10739.3048</v>
      </c>
      <c r="AB157" s="192">
        <f t="shared" si="134"/>
        <v>0</v>
      </c>
      <c r="AC157" s="192"/>
      <c r="AD157" s="192"/>
      <c r="AE157" s="192"/>
    </row>
    <row r="158" spans="1:31" ht="18">
      <c r="A158" s="520">
        <v>141</v>
      </c>
      <c r="B158" s="10" t="s">
        <v>460</v>
      </c>
      <c r="C158" s="446">
        <v>138590.73000000001</v>
      </c>
      <c r="D158" s="445">
        <v>12</v>
      </c>
      <c r="E158" s="446">
        <f t="shared" si="132"/>
        <v>1663088.76</v>
      </c>
      <c r="F158" s="446"/>
      <c r="G158" s="449"/>
      <c r="H158" s="449"/>
      <c r="I158" s="446">
        <f t="shared" si="133"/>
        <v>1663088.76</v>
      </c>
      <c r="J158" s="446">
        <v>200000</v>
      </c>
      <c r="K158" s="446">
        <v>0.2</v>
      </c>
      <c r="L158" s="446">
        <f t="shared" si="121"/>
        <v>332617.75199999998</v>
      </c>
      <c r="M158" s="446">
        <f t="shared" si="122"/>
        <v>532617.75199999998</v>
      </c>
      <c r="N158" s="446">
        <f t="shared" si="123"/>
        <v>532617.75199999998</v>
      </c>
      <c r="O158" s="446">
        <f t="shared" si="124"/>
        <v>1130471.0079999999</v>
      </c>
      <c r="P158" s="446">
        <f t="shared" si="125"/>
        <v>21000</v>
      </c>
      <c r="Q158" s="446">
        <f t="shared" si="126"/>
        <v>33000</v>
      </c>
      <c r="R158" s="446">
        <f t="shared" si="127"/>
        <v>75000</v>
      </c>
      <c r="S158" s="446">
        <f t="shared" si="128"/>
        <v>5789.4915199999796</v>
      </c>
      <c r="T158" s="446">
        <f t="shared" si="129"/>
        <v>0</v>
      </c>
      <c r="U158" s="446"/>
      <c r="V158" s="446">
        <f t="shared" si="135"/>
        <v>134789.49152000001</v>
      </c>
      <c r="W158" s="453">
        <v>12</v>
      </c>
      <c r="X158" s="446">
        <f t="shared" si="130"/>
        <v>11232.457626666701</v>
      </c>
      <c r="Y158" s="449"/>
      <c r="Z158" s="446">
        <f t="shared" si="131"/>
        <v>11232.457626666701</v>
      </c>
      <c r="AA158" s="192">
        <v>11232.457626666701</v>
      </c>
      <c r="AB158" s="192">
        <f t="shared" si="134"/>
        <v>0</v>
      </c>
      <c r="AC158" s="192"/>
      <c r="AD158" s="192"/>
      <c r="AE158" s="192"/>
    </row>
    <row r="159" spans="1:31" ht="15.75" customHeight="1">
      <c r="A159" s="520">
        <v>142</v>
      </c>
      <c r="B159" s="10" t="s">
        <v>461</v>
      </c>
      <c r="C159" s="446">
        <v>135590.73000000001</v>
      </c>
      <c r="D159" s="445">
        <v>12</v>
      </c>
      <c r="E159" s="446">
        <f t="shared" si="132"/>
        <v>1627088.76</v>
      </c>
      <c r="F159" s="446"/>
      <c r="G159" s="449"/>
      <c r="H159" s="449"/>
      <c r="I159" s="446">
        <f t="shared" si="133"/>
        <v>1627088.76</v>
      </c>
      <c r="J159" s="446">
        <v>200000</v>
      </c>
      <c r="K159" s="446">
        <v>0.2</v>
      </c>
      <c r="L159" s="446">
        <f t="shared" si="121"/>
        <v>325417.75199999998</v>
      </c>
      <c r="M159" s="446">
        <f t="shared" si="122"/>
        <v>525417.75199999998</v>
      </c>
      <c r="N159" s="446">
        <f t="shared" si="123"/>
        <v>525417.75199999998</v>
      </c>
      <c r="O159" s="446">
        <f t="shared" si="124"/>
        <v>1101671.0079999999</v>
      </c>
      <c r="P159" s="446">
        <f t="shared" si="125"/>
        <v>21000</v>
      </c>
      <c r="Q159" s="446">
        <f t="shared" si="126"/>
        <v>33000</v>
      </c>
      <c r="R159" s="446">
        <f t="shared" si="127"/>
        <v>75000</v>
      </c>
      <c r="S159" s="446">
        <f t="shared" si="128"/>
        <v>317.49151999998401</v>
      </c>
      <c r="T159" s="446">
        <f t="shared" si="129"/>
        <v>0</v>
      </c>
      <c r="U159" s="446"/>
      <c r="V159" s="446">
        <f t="shared" si="135"/>
        <v>129317.49152</v>
      </c>
      <c r="W159" s="453">
        <v>12</v>
      </c>
      <c r="X159" s="446">
        <f t="shared" si="130"/>
        <v>10776.457626666701</v>
      </c>
      <c r="Y159" s="449"/>
      <c r="Z159" s="446">
        <f t="shared" si="131"/>
        <v>10776.457626666701</v>
      </c>
      <c r="AA159" s="192">
        <v>10776.457626666701</v>
      </c>
      <c r="AB159" s="192">
        <f t="shared" si="134"/>
        <v>0</v>
      </c>
      <c r="AC159" s="192"/>
      <c r="AD159" s="192"/>
      <c r="AE159" s="192"/>
    </row>
    <row r="160" spans="1:31" s="516" customFormat="1" ht="18">
      <c r="A160" s="524">
        <v>143</v>
      </c>
      <c r="B160" s="10" t="s">
        <v>462</v>
      </c>
      <c r="C160" s="446">
        <v>135590.73000000001</v>
      </c>
      <c r="D160" s="445">
        <v>12</v>
      </c>
      <c r="E160" s="446">
        <f t="shared" si="132"/>
        <v>1627088.76</v>
      </c>
      <c r="F160" s="446">
        <f>263.19*12</f>
        <v>3158.28</v>
      </c>
      <c r="G160" s="449"/>
      <c r="H160" s="449"/>
      <c r="I160" s="446">
        <f t="shared" si="133"/>
        <v>1623930.48</v>
      </c>
      <c r="J160" s="446">
        <v>200000</v>
      </c>
      <c r="K160" s="446">
        <v>0.2</v>
      </c>
      <c r="L160" s="446">
        <f t="shared" si="121"/>
        <v>324786.09600000002</v>
      </c>
      <c r="M160" s="446">
        <f t="shared" si="122"/>
        <v>524786.09600000002</v>
      </c>
      <c r="N160" s="446">
        <f t="shared" si="123"/>
        <v>527944.37600000005</v>
      </c>
      <c r="O160" s="446">
        <f t="shared" si="124"/>
        <v>1099144.3840000001</v>
      </c>
      <c r="P160" s="446">
        <f t="shared" si="125"/>
        <v>21000</v>
      </c>
      <c r="Q160" s="446">
        <f t="shared" si="126"/>
        <v>33000</v>
      </c>
      <c r="R160" s="446">
        <f t="shared" si="127"/>
        <v>74871.657600000006</v>
      </c>
      <c r="S160" s="446">
        <f t="shared" si="128"/>
        <v>0</v>
      </c>
      <c r="T160" s="446">
        <f t="shared" si="129"/>
        <v>0</v>
      </c>
      <c r="U160" s="446"/>
      <c r="V160" s="446">
        <f t="shared" si="135"/>
        <v>128871.65760000001</v>
      </c>
      <c r="W160" s="453">
        <v>12</v>
      </c>
      <c r="X160" s="446">
        <f t="shared" si="130"/>
        <v>10739.3048</v>
      </c>
      <c r="Y160" s="449"/>
      <c r="Z160" s="446">
        <f t="shared" si="131"/>
        <v>10739.3048</v>
      </c>
      <c r="AA160" s="192">
        <v>10739.3048</v>
      </c>
      <c r="AB160" s="192">
        <f t="shared" si="134"/>
        <v>0</v>
      </c>
      <c r="AC160" s="533"/>
      <c r="AD160" s="533"/>
      <c r="AE160" s="533"/>
    </row>
    <row r="161" spans="1:31" s="516" customFormat="1" ht="18">
      <c r="A161" s="524">
        <v>144</v>
      </c>
      <c r="B161" s="10" t="s">
        <v>463</v>
      </c>
      <c r="C161" s="446">
        <v>135590.73000000001</v>
      </c>
      <c r="D161" s="445">
        <v>12</v>
      </c>
      <c r="E161" s="446">
        <f t="shared" si="132"/>
        <v>1627088.76</v>
      </c>
      <c r="F161" s="446"/>
      <c r="G161" s="449"/>
      <c r="H161" s="449"/>
      <c r="I161" s="446">
        <f t="shared" si="133"/>
        <v>1627088.76</v>
      </c>
      <c r="J161" s="446">
        <v>200000</v>
      </c>
      <c r="K161" s="446">
        <v>0.2</v>
      </c>
      <c r="L161" s="446">
        <f t="shared" si="121"/>
        <v>325417.75199999998</v>
      </c>
      <c r="M161" s="446">
        <f t="shared" si="122"/>
        <v>525417.75199999998</v>
      </c>
      <c r="N161" s="446">
        <f t="shared" si="123"/>
        <v>525417.75199999998</v>
      </c>
      <c r="O161" s="446">
        <f t="shared" si="124"/>
        <v>1101671.0079999999</v>
      </c>
      <c r="P161" s="446">
        <f t="shared" si="125"/>
        <v>21000</v>
      </c>
      <c r="Q161" s="446">
        <f t="shared" si="126"/>
        <v>33000</v>
      </c>
      <c r="R161" s="446">
        <f t="shared" si="127"/>
        <v>75000</v>
      </c>
      <c r="S161" s="446">
        <f t="shared" si="128"/>
        <v>317.49151999998401</v>
      </c>
      <c r="T161" s="446">
        <f t="shared" si="129"/>
        <v>0</v>
      </c>
      <c r="U161" s="446"/>
      <c r="V161" s="446">
        <f t="shared" si="135"/>
        <v>129317.49152</v>
      </c>
      <c r="W161" s="453">
        <v>12</v>
      </c>
      <c r="X161" s="446">
        <f t="shared" si="130"/>
        <v>10776.457626666701</v>
      </c>
      <c r="Y161" s="449"/>
      <c r="Z161" s="446">
        <f t="shared" si="131"/>
        <v>10776.457626666701</v>
      </c>
      <c r="AA161" s="192">
        <v>10776.457626666701</v>
      </c>
      <c r="AB161" s="192">
        <f t="shared" si="134"/>
        <v>0</v>
      </c>
      <c r="AC161" s="533"/>
      <c r="AD161" s="533"/>
      <c r="AE161" s="533"/>
    </row>
    <row r="162" spans="1:31" s="516" customFormat="1" ht="18">
      <c r="A162" s="524">
        <v>145</v>
      </c>
      <c r="B162" s="10" t="s">
        <v>464</v>
      </c>
      <c r="C162" s="446">
        <v>138590.73000000001</v>
      </c>
      <c r="D162" s="445">
        <v>12</v>
      </c>
      <c r="E162" s="446">
        <f t="shared" si="132"/>
        <v>1663088.76</v>
      </c>
      <c r="F162" s="446"/>
      <c r="G162" s="449"/>
      <c r="H162" s="449"/>
      <c r="I162" s="446">
        <f t="shared" si="133"/>
        <v>1663088.76</v>
      </c>
      <c r="J162" s="446">
        <v>200000</v>
      </c>
      <c r="K162" s="446">
        <v>0.2</v>
      </c>
      <c r="L162" s="446">
        <f t="shared" si="121"/>
        <v>332617.75199999998</v>
      </c>
      <c r="M162" s="446">
        <f t="shared" si="122"/>
        <v>532617.75199999998</v>
      </c>
      <c r="N162" s="446">
        <f t="shared" si="123"/>
        <v>532617.75199999998</v>
      </c>
      <c r="O162" s="446">
        <f t="shared" si="124"/>
        <v>1130471.0079999999</v>
      </c>
      <c r="P162" s="446">
        <f t="shared" si="125"/>
        <v>21000</v>
      </c>
      <c r="Q162" s="446">
        <f t="shared" si="126"/>
        <v>33000</v>
      </c>
      <c r="R162" s="446">
        <f t="shared" si="127"/>
        <v>75000</v>
      </c>
      <c r="S162" s="446">
        <f t="shared" si="128"/>
        <v>5789.4915199999796</v>
      </c>
      <c r="T162" s="446">
        <f t="shared" si="129"/>
        <v>0</v>
      </c>
      <c r="U162" s="446"/>
      <c r="V162" s="446">
        <f t="shared" si="135"/>
        <v>134789.49152000001</v>
      </c>
      <c r="W162" s="453">
        <v>12</v>
      </c>
      <c r="X162" s="446">
        <f t="shared" si="130"/>
        <v>11232.457626666701</v>
      </c>
      <c r="Y162" s="449"/>
      <c r="Z162" s="446">
        <f t="shared" si="131"/>
        <v>11232.457626666701</v>
      </c>
      <c r="AA162" s="533">
        <v>11232.457626666701</v>
      </c>
      <c r="AB162" s="192">
        <f t="shared" si="134"/>
        <v>0</v>
      </c>
      <c r="AC162" s="533"/>
      <c r="AD162" s="533"/>
      <c r="AE162" s="533"/>
    </row>
    <row r="163" spans="1:31" ht="18">
      <c r="A163" s="520">
        <v>146</v>
      </c>
      <c r="B163" s="10" t="s">
        <v>466</v>
      </c>
      <c r="C163" s="446">
        <v>135590.73000000001</v>
      </c>
      <c r="D163" s="445">
        <v>12</v>
      </c>
      <c r="E163" s="446">
        <f t="shared" si="132"/>
        <v>1627088.76</v>
      </c>
      <c r="F163" s="446"/>
      <c r="G163" s="449"/>
      <c r="H163" s="449"/>
      <c r="I163" s="446">
        <f t="shared" si="133"/>
        <v>1627088.76</v>
      </c>
      <c r="J163" s="446">
        <v>200000</v>
      </c>
      <c r="K163" s="446">
        <v>0.2</v>
      </c>
      <c r="L163" s="446">
        <f t="shared" si="121"/>
        <v>325417.75199999998</v>
      </c>
      <c r="M163" s="446">
        <f t="shared" si="122"/>
        <v>525417.75199999998</v>
      </c>
      <c r="N163" s="446">
        <f t="shared" si="123"/>
        <v>525417.75199999998</v>
      </c>
      <c r="O163" s="446">
        <f t="shared" si="124"/>
        <v>1101671.0079999999</v>
      </c>
      <c r="P163" s="446">
        <f t="shared" si="125"/>
        <v>21000</v>
      </c>
      <c r="Q163" s="446">
        <f t="shared" si="126"/>
        <v>33000</v>
      </c>
      <c r="R163" s="446">
        <f t="shared" si="127"/>
        <v>75000</v>
      </c>
      <c r="S163" s="446">
        <f t="shared" si="128"/>
        <v>317.49151999998401</v>
      </c>
      <c r="T163" s="446">
        <f t="shared" si="129"/>
        <v>0</v>
      </c>
      <c r="U163" s="446"/>
      <c r="V163" s="446">
        <f t="shared" si="135"/>
        <v>129317.49152</v>
      </c>
      <c r="W163" s="453">
        <v>12</v>
      </c>
      <c r="X163" s="446">
        <f t="shared" si="130"/>
        <v>10776.457626666701</v>
      </c>
      <c r="Y163" s="449"/>
      <c r="Z163" s="446">
        <f t="shared" si="131"/>
        <v>10776.457626666701</v>
      </c>
      <c r="AA163" s="533">
        <v>10776.457626666701</v>
      </c>
      <c r="AB163" s="192">
        <f t="shared" si="134"/>
        <v>0</v>
      </c>
      <c r="AC163" s="192"/>
      <c r="AD163" s="192"/>
      <c r="AE163" s="192"/>
    </row>
    <row r="164" spans="1:31" ht="18">
      <c r="A164" s="520">
        <v>147</v>
      </c>
      <c r="B164" s="13" t="s">
        <v>467</v>
      </c>
      <c r="C164" s="446">
        <v>138590.73000000001</v>
      </c>
      <c r="D164" s="445">
        <v>12</v>
      </c>
      <c r="E164" s="446">
        <f t="shared" si="132"/>
        <v>1663088.76</v>
      </c>
      <c r="F164" s="446"/>
      <c r="G164" s="449"/>
      <c r="H164" s="449"/>
      <c r="I164" s="446">
        <f t="shared" si="133"/>
        <v>1663088.76</v>
      </c>
      <c r="J164" s="446">
        <v>200000</v>
      </c>
      <c r="K164" s="446">
        <v>0.2</v>
      </c>
      <c r="L164" s="446">
        <f t="shared" si="121"/>
        <v>332617.75199999998</v>
      </c>
      <c r="M164" s="446">
        <f t="shared" si="122"/>
        <v>532617.75199999998</v>
      </c>
      <c r="N164" s="446">
        <f t="shared" si="123"/>
        <v>532617.75199999998</v>
      </c>
      <c r="O164" s="446">
        <f t="shared" si="124"/>
        <v>1130471.0079999999</v>
      </c>
      <c r="P164" s="446">
        <f t="shared" si="125"/>
        <v>21000</v>
      </c>
      <c r="Q164" s="446">
        <f t="shared" si="126"/>
        <v>33000</v>
      </c>
      <c r="R164" s="446">
        <f t="shared" si="127"/>
        <v>75000</v>
      </c>
      <c r="S164" s="446">
        <f t="shared" si="128"/>
        <v>5789.4915199999796</v>
      </c>
      <c r="T164" s="446">
        <f t="shared" si="129"/>
        <v>0</v>
      </c>
      <c r="U164" s="446"/>
      <c r="V164" s="446">
        <f t="shared" si="135"/>
        <v>134789.49152000001</v>
      </c>
      <c r="W164" s="453">
        <v>12</v>
      </c>
      <c r="X164" s="446">
        <f t="shared" si="130"/>
        <v>11232.457626666701</v>
      </c>
      <c r="Y164" s="449"/>
      <c r="Z164" s="446">
        <f t="shared" si="131"/>
        <v>11232.457626666701</v>
      </c>
      <c r="AA164" s="533">
        <v>11232.457626666701</v>
      </c>
      <c r="AB164" s="192">
        <f t="shared" si="134"/>
        <v>0</v>
      </c>
      <c r="AC164" s="192"/>
      <c r="AD164" s="192"/>
      <c r="AE164" s="192"/>
    </row>
    <row r="165" spans="1:31" ht="18">
      <c r="A165" s="520">
        <v>148</v>
      </c>
      <c r="B165" s="10" t="s">
        <v>468</v>
      </c>
      <c r="C165" s="446">
        <v>135590.73000000001</v>
      </c>
      <c r="D165" s="445">
        <v>12</v>
      </c>
      <c r="E165" s="446">
        <f t="shared" si="132"/>
        <v>1627088.76</v>
      </c>
      <c r="F165" s="446"/>
      <c r="G165" s="449"/>
      <c r="H165" s="449"/>
      <c r="I165" s="446">
        <f t="shared" si="133"/>
        <v>1627088.76</v>
      </c>
      <c r="J165" s="446">
        <v>200000</v>
      </c>
      <c r="K165" s="446">
        <v>0.2</v>
      </c>
      <c r="L165" s="446">
        <f t="shared" si="121"/>
        <v>325417.75199999998</v>
      </c>
      <c r="M165" s="446">
        <f t="shared" si="122"/>
        <v>525417.75199999998</v>
      </c>
      <c r="N165" s="446">
        <f t="shared" si="123"/>
        <v>525417.75199999998</v>
      </c>
      <c r="O165" s="446">
        <f t="shared" si="124"/>
        <v>1101671.0079999999</v>
      </c>
      <c r="P165" s="446">
        <f t="shared" si="125"/>
        <v>21000</v>
      </c>
      <c r="Q165" s="446">
        <f t="shared" si="126"/>
        <v>33000</v>
      </c>
      <c r="R165" s="446">
        <f t="shared" si="127"/>
        <v>75000</v>
      </c>
      <c r="S165" s="446">
        <f t="shared" si="128"/>
        <v>317.49151999998401</v>
      </c>
      <c r="T165" s="446">
        <f t="shared" si="129"/>
        <v>0</v>
      </c>
      <c r="U165" s="446"/>
      <c r="V165" s="446">
        <f t="shared" si="135"/>
        <v>129317.49152</v>
      </c>
      <c r="W165" s="453">
        <v>12</v>
      </c>
      <c r="X165" s="446">
        <f t="shared" si="130"/>
        <v>10776.457626666701</v>
      </c>
      <c r="Y165" s="449"/>
      <c r="Z165" s="446">
        <f t="shared" si="131"/>
        <v>10776.457626666701</v>
      </c>
      <c r="AA165" s="192">
        <v>10776.457626666701</v>
      </c>
      <c r="AB165" s="192">
        <f t="shared" si="134"/>
        <v>0</v>
      </c>
      <c r="AC165" s="192"/>
      <c r="AD165" s="192"/>
      <c r="AE165" s="192"/>
    </row>
    <row r="166" spans="1:31" ht="18">
      <c r="A166" s="520">
        <v>149</v>
      </c>
      <c r="B166" s="17" t="s">
        <v>469</v>
      </c>
      <c r="C166" s="446">
        <v>135590.73000000001</v>
      </c>
      <c r="D166" s="445">
        <v>12</v>
      </c>
      <c r="E166" s="446">
        <f t="shared" si="132"/>
        <v>1627088.76</v>
      </c>
      <c r="F166" s="446"/>
      <c r="G166" s="449"/>
      <c r="H166" s="449"/>
      <c r="I166" s="446">
        <f t="shared" si="133"/>
        <v>1627088.76</v>
      </c>
      <c r="J166" s="446">
        <v>200000</v>
      </c>
      <c r="K166" s="446">
        <v>0.2</v>
      </c>
      <c r="L166" s="446">
        <f t="shared" si="121"/>
        <v>325417.75199999998</v>
      </c>
      <c r="M166" s="446">
        <f t="shared" si="122"/>
        <v>525417.75199999998</v>
      </c>
      <c r="N166" s="446">
        <f t="shared" si="123"/>
        <v>525417.75199999998</v>
      </c>
      <c r="O166" s="446">
        <f t="shared" si="124"/>
        <v>1101671.0079999999</v>
      </c>
      <c r="P166" s="446">
        <f t="shared" si="125"/>
        <v>21000</v>
      </c>
      <c r="Q166" s="446">
        <f t="shared" si="126"/>
        <v>33000</v>
      </c>
      <c r="R166" s="446">
        <f t="shared" si="127"/>
        <v>75000</v>
      </c>
      <c r="S166" s="446">
        <f t="shared" si="128"/>
        <v>317.49151999998401</v>
      </c>
      <c r="T166" s="446">
        <f t="shared" si="129"/>
        <v>0</v>
      </c>
      <c r="U166" s="446"/>
      <c r="V166" s="446">
        <f t="shared" si="135"/>
        <v>129317.49152</v>
      </c>
      <c r="W166" s="453">
        <v>12</v>
      </c>
      <c r="X166" s="446">
        <f t="shared" si="130"/>
        <v>10776.457626666701</v>
      </c>
      <c r="Y166" s="449"/>
      <c r="Z166" s="446">
        <f t="shared" si="131"/>
        <v>10776.457626666701</v>
      </c>
      <c r="AA166" s="192">
        <v>10776.457626666701</v>
      </c>
      <c r="AB166" s="192">
        <f t="shared" si="134"/>
        <v>0</v>
      </c>
      <c r="AC166" s="192"/>
      <c r="AD166" s="192"/>
      <c r="AE166" s="192"/>
    </row>
    <row r="167" spans="1:31" ht="18">
      <c r="A167" s="520">
        <v>150</v>
      </c>
      <c r="B167" s="17" t="s">
        <v>470</v>
      </c>
      <c r="C167" s="446">
        <v>138590.73000000001</v>
      </c>
      <c r="D167" s="445">
        <v>12</v>
      </c>
      <c r="E167" s="446">
        <f t="shared" si="132"/>
        <v>1663088.76</v>
      </c>
      <c r="F167" s="446"/>
      <c r="G167" s="449"/>
      <c r="H167" s="449"/>
      <c r="I167" s="446">
        <f t="shared" si="133"/>
        <v>1663088.76</v>
      </c>
      <c r="J167" s="446">
        <v>200000</v>
      </c>
      <c r="K167" s="446">
        <v>0.2</v>
      </c>
      <c r="L167" s="446">
        <f t="shared" si="121"/>
        <v>332617.75199999998</v>
      </c>
      <c r="M167" s="446">
        <f t="shared" si="122"/>
        <v>532617.75199999998</v>
      </c>
      <c r="N167" s="446">
        <f t="shared" si="123"/>
        <v>532617.75199999998</v>
      </c>
      <c r="O167" s="446">
        <f t="shared" si="124"/>
        <v>1130471.0079999999</v>
      </c>
      <c r="P167" s="446">
        <f t="shared" si="125"/>
        <v>21000</v>
      </c>
      <c r="Q167" s="446">
        <f t="shared" si="126"/>
        <v>33000</v>
      </c>
      <c r="R167" s="446">
        <f t="shared" si="127"/>
        <v>75000</v>
      </c>
      <c r="S167" s="446">
        <f t="shared" si="128"/>
        <v>5789.4915199999796</v>
      </c>
      <c r="T167" s="446">
        <f t="shared" si="129"/>
        <v>0</v>
      </c>
      <c r="U167" s="446"/>
      <c r="V167" s="446">
        <f t="shared" si="135"/>
        <v>134789.49152000001</v>
      </c>
      <c r="W167" s="453">
        <v>12</v>
      </c>
      <c r="X167" s="446">
        <f t="shared" si="130"/>
        <v>11232.457626666701</v>
      </c>
      <c r="Y167" s="449"/>
      <c r="Z167" s="446">
        <f t="shared" si="131"/>
        <v>11232.457626666701</v>
      </c>
      <c r="AA167" s="192">
        <v>11232.457626666701</v>
      </c>
      <c r="AB167" s="192">
        <f t="shared" si="134"/>
        <v>0</v>
      </c>
      <c r="AC167" s="192"/>
      <c r="AD167" s="192"/>
      <c r="AE167" s="192"/>
    </row>
    <row r="168" spans="1:31" ht="36">
      <c r="A168" s="520">
        <v>151</v>
      </c>
      <c r="B168" s="10" t="s">
        <v>471</v>
      </c>
      <c r="C168" s="446">
        <v>122104.99825</v>
      </c>
      <c r="D168" s="445">
        <v>12</v>
      </c>
      <c r="E168" s="446">
        <f t="shared" si="132"/>
        <v>1465259.9790000001</v>
      </c>
      <c r="F168" s="446"/>
      <c r="G168" s="449"/>
      <c r="H168" s="449"/>
      <c r="I168" s="446">
        <f t="shared" si="133"/>
        <v>1465259.9790000001</v>
      </c>
      <c r="J168" s="446">
        <v>200000</v>
      </c>
      <c r="K168" s="446">
        <v>0.2</v>
      </c>
      <c r="L168" s="446">
        <f t="shared" si="121"/>
        <v>293051.99579999998</v>
      </c>
      <c r="M168" s="446">
        <f t="shared" si="122"/>
        <v>493051.99579999998</v>
      </c>
      <c r="N168" s="446">
        <f t="shared" si="123"/>
        <v>493051.99579999998</v>
      </c>
      <c r="O168" s="446">
        <f t="shared" si="124"/>
        <v>972207.98320000002</v>
      </c>
      <c r="P168" s="446">
        <f t="shared" si="125"/>
        <v>21000</v>
      </c>
      <c r="Q168" s="446">
        <f t="shared" si="126"/>
        <v>33000</v>
      </c>
      <c r="R168" s="446">
        <f t="shared" si="127"/>
        <v>55831.197480000003</v>
      </c>
      <c r="S168" s="446">
        <f t="shared" si="128"/>
        <v>0</v>
      </c>
      <c r="T168" s="446">
        <f t="shared" si="129"/>
        <v>0</v>
      </c>
      <c r="U168" s="446"/>
      <c r="V168" s="446">
        <f t="shared" si="135"/>
        <v>109831.19748</v>
      </c>
      <c r="W168" s="453">
        <v>12</v>
      </c>
      <c r="X168" s="446">
        <f t="shared" si="130"/>
        <v>9152.5997900000002</v>
      </c>
      <c r="Y168" s="449"/>
      <c r="Z168" s="446">
        <f t="shared" si="131"/>
        <v>9152.5997900000002</v>
      </c>
      <c r="AA168" s="192">
        <v>9152.5997900000002</v>
      </c>
      <c r="AB168" s="192">
        <f t="shared" si="134"/>
        <v>0</v>
      </c>
      <c r="AC168" s="192"/>
      <c r="AD168" s="192"/>
      <c r="AE168" s="192"/>
    </row>
    <row r="169" spans="1:31" ht="18">
      <c r="A169" s="520">
        <v>152</v>
      </c>
      <c r="B169" s="10" t="s">
        <v>474</v>
      </c>
      <c r="C169" s="446">
        <v>122104.99825</v>
      </c>
      <c r="D169" s="445">
        <v>12</v>
      </c>
      <c r="E169" s="446">
        <f t="shared" si="132"/>
        <v>1465259.9790000001</v>
      </c>
      <c r="F169" s="446"/>
      <c r="G169" s="449"/>
      <c r="H169" s="449"/>
      <c r="I169" s="446">
        <f t="shared" si="133"/>
        <v>1465259.9790000001</v>
      </c>
      <c r="J169" s="446">
        <v>200000</v>
      </c>
      <c r="K169" s="446">
        <v>0.2</v>
      </c>
      <c r="L169" s="446">
        <f t="shared" si="121"/>
        <v>293051.99579999998</v>
      </c>
      <c r="M169" s="446">
        <f t="shared" si="122"/>
        <v>493051.99579999998</v>
      </c>
      <c r="N169" s="446">
        <f t="shared" si="123"/>
        <v>493051.99579999998</v>
      </c>
      <c r="O169" s="446">
        <f t="shared" si="124"/>
        <v>972207.98320000002</v>
      </c>
      <c r="P169" s="446">
        <f t="shared" si="125"/>
        <v>21000</v>
      </c>
      <c r="Q169" s="446">
        <f t="shared" si="126"/>
        <v>33000</v>
      </c>
      <c r="R169" s="446">
        <f t="shared" si="127"/>
        <v>55831.197480000003</v>
      </c>
      <c r="S169" s="446">
        <f t="shared" si="128"/>
        <v>0</v>
      </c>
      <c r="T169" s="446">
        <f t="shared" si="129"/>
        <v>0</v>
      </c>
      <c r="U169" s="446"/>
      <c r="V169" s="446">
        <f t="shared" si="135"/>
        <v>109831.19748</v>
      </c>
      <c r="W169" s="453">
        <v>12</v>
      </c>
      <c r="X169" s="446">
        <f t="shared" si="130"/>
        <v>9152.5997900000002</v>
      </c>
      <c r="Y169" s="449"/>
      <c r="Z169" s="446">
        <f t="shared" si="131"/>
        <v>9152.5997900000002</v>
      </c>
      <c r="AA169" s="192">
        <v>9152.5997900000002</v>
      </c>
      <c r="AB169" s="192">
        <f t="shared" si="134"/>
        <v>0</v>
      </c>
      <c r="AC169" s="192"/>
      <c r="AD169" s="192"/>
      <c r="AE169" s="192"/>
    </row>
    <row r="170" spans="1:31" ht="18">
      <c r="A170" s="520">
        <v>153</v>
      </c>
      <c r="B170" s="17" t="s">
        <v>475</v>
      </c>
      <c r="C170" s="446">
        <v>125035.03449999999</v>
      </c>
      <c r="D170" s="445">
        <v>12</v>
      </c>
      <c r="E170" s="446">
        <f t="shared" si="132"/>
        <v>1500420.4140000001</v>
      </c>
      <c r="F170" s="446"/>
      <c r="G170" s="449"/>
      <c r="H170" s="449"/>
      <c r="I170" s="446">
        <f t="shared" si="133"/>
        <v>1500420.4140000001</v>
      </c>
      <c r="J170" s="446">
        <v>200000</v>
      </c>
      <c r="K170" s="446">
        <v>0.2</v>
      </c>
      <c r="L170" s="446">
        <f t="shared" si="121"/>
        <v>300084.08279999997</v>
      </c>
      <c r="M170" s="446">
        <f t="shared" si="122"/>
        <v>500084.08279999997</v>
      </c>
      <c r="N170" s="446">
        <f t="shared" si="123"/>
        <v>500084.08279999997</v>
      </c>
      <c r="O170" s="446">
        <f t="shared" si="124"/>
        <v>1000336.3312</v>
      </c>
      <c r="P170" s="446">
        <f t="shared" si="125"/>
        <v>21000</v>
      </c>
      <c r="Q170" s="446">
        <f t="shared" si="126"/>
        <v>33000</v>
      </c>
      <c r="R170" s="446">
        <f t="shared" si="127"/>
        <v>60050.449679999998</v>
      </c>
      <c r="S170" s="446">
        <f t="shared" si="128"/>
        <v>0</v>
      </c>
      <c r="T170" s="446">
        <f t="shared" si="129"/>
        <v>0</v>
      </c>
      <c r="U170" s="446"/>
      <c r="V170" s="446">
        <f t="shared" si="135"/>
        <v>114050.44968000001</v>
      </c>
      <c r="W170" s="453">
        <v>12</v>
      </c>
      <c r="X170" s="446">
        <f t="shared" si="130"/>
        <v>9504.2041399999998</v>
      </c>
      <c r="Y170" s="449"/>
      <c r="Z170" s="446">
        <f t="shared" si="131"/>
        <v>9504.2041399999998</v>
      </c>
      <c r="AA170" s="192">
        <v>9504.2041399999998</v>
      </c>
      <c r="AB170" s="192">
        <f t="shared" si="134"/>
        <v>0</v>
      </c>
      <c r="AC170" s="192"/>
      <c r="AD170" s="192"/>
      <c r="AE170" s="192"/>
    </row>
    <row r="171" spans="1:31" ht="29.25" customHeight="1">
      <c r="A171" s="520">
        <v>154</v>
      </c>
      <c r="B171" s="10" t="s">
        <v>477</v>
      </c>
      <c r="C171" s="446">
        <v>81803.001000000004</v>
      </c>
      <c r="D171" s="445">
        <v>12</v>
      </c>
      <c r="E171" s="446">
        <f t="shared" si="132"/>
        <v>981636.01199999999</v>
      </c>
      <c r="F171" s="446"/>
      <c r="G171" s="449"/>
      <c r="H171" s="449"/>
      <c r="I171" s="446">
        <f t="shared" si="133"/>
        <v>981636.01199999999</v>
      </c>
      <c r="J171" s="446">
        <v>200000</v>
      </c>
      <c r="K171" s="446">
        <v>0.2</v>
      </c>
      <c r="L171" s="446">
        <f t="shared" si="121"/>
        <v>196327.20240000001</v>
      </c>
      <c r="M171" s="446">
        <f t="shared" si="122"/>
        <v>396327.20240000001</v>
      </c>
      <c r="N171" s="446">
        <f t="shared" si="123"/>
        <v>396327.20240000001</v>
      </c>
      <c r="O171" s="446">
        <f t="shared" si="124"/>
        <v>585308.80960000004</v>
      </c>
      <c r="P171" s="446">
        <f t="shared" si="125"/>
        <v>21000</v>
      </c>
      <c r="Q171" s="446">
        <f t="shared" si="126"/>
        <v>31383.969056000002</v>
      </c>
      <c r="R171" s="446">
        <f t="shared" si="127"/>
        <v>0</v>
      </c>
      <c r="S171" s="446">
        <f t="shared" si="128"/>
        <v>0</v>
      </c>
      <c r="T171" s="446">
        <f t="shared" si="129"/>
        <v>0</v>
      </c>
      <c r="U171" s="446"/>
      <c r="V171" s="446">
        <f t="shared" si="135"/>
        <v>52383.969056000002</v>
      </c>
      <c r="W171" s="453">
        <v>12</v>
      </c>
      <c r="X171" s="446">
        <f t="shared" si="130"/>
        <v>4365.3307546666701</v>
      </c>
      <c r="Y171" s="449"/>
      <c r="Z171" s="446">
        <f t="shared" si="131"/>
        <v>4365.3307546666701</v>
      </c>
      <c r="AA171" s="192">
        <v>4365.3307546666701</v>
      </c>
      <c r="AB171" s="192">
        <f t="shared" si="134"/>
        <v>0</v>
      </c>
      <c r="AC171" s="192"/>
      <c r="AD171" s="192"/>
      <c r="AE171" s="192"/>
    </row>
    <row r="172" spans="1:31" ht="18">
      <c r="A172" s="520">
        <v>155</v>
      </c>
      <c r="B172" s="10" t="s">
        <v>480</v>
      </c>
      <c r="C172" s="446">
        <v>80237.012000000002</v>
      </c>
      <c r="D172" s="445">
        <v>12</v>
      </c>
      <c r="E172" s="446">
        <f t="shared" si="132"/>
        <v>962844.14399999997</v>
      </c>
      <c r="F172" s="446"/>
      <c r="G172" s="449"/>
      <c r="H172" s="449"/>
      <c r="I172" s="446">
        <f t="shared" si="133"/>
        <v>962844.14399999997</v>
      </c>
      <c r="J172" s="446">
        <v>200000</v>
      </c>
      <c r="K172" s="446">
        <v>0.2</v>
      </c>
      <c r="L172" s="446">
        <f t="shared" si="121"/>
        <v>192568.82879999999</v>
      </c>
      <c r="M172" s="446">
        <f t="shared" si="122"/>
        <v>392568.82880000002</v>
      </c>
      <c r="N172" s="446">
        <f t="shared" si="123"/>
        <v>392568.82880000002</v>
      </c>
      <c r="O172" s="446">
        <f t="shared" si="124"/>
        <v>570275.31519999995</v>
      </c>
      <c r="P172" s="446">
        <f t="shared" si="125"/>
        <v>21000</v>
      </c>
      <c r="Q172" s="446">
        <f t="shared" si="126"/>
        <v>29730.284672000002</v>
      </c>
      <c r="R172" s="446">
        <f t="shared" si="127"/>
        <v>0</v>
      </c>
      <c r="S172" s="446">
        <f t="shared" si="128"/>
        <v>0</v>
      </c>
      <c r="T172" s="446">
        <f t="shared" si="129"/>
        <v>0</v>
      </c>
      <c r="U172" s="446"/>
      <c r="V172" s="446">
        <f t="shared" si="135"/>
        <v>50730.284672000002</v>
      </c>
      <c r="W172" s="453">
        <v>12</v>
      </c>
      <c r="X172" s="446">
        <f t="shared" si="130"/>
        <v>4227.5237226666704</v>
      </c>
      <c r="Y172" s="449"/>
      <c r="Z172" s="446">
        <f t="shared" si="131"/>
        <v>4227.5237226666704</v>
      </c>
      <c r="AA172" s="192">
        <v>4227.5237226666704</v>
      </c>
      <c r="AB172" s="192">
        <f t="shared" si="134"/>
        <v>0</v>
      </c>
      <c r="AC172" s="192"/>
      <c r="AD172" s="192"/>
      <c r="AE172" s="192"/>
    </row>
    <row r="173" spans="1:31" s="516" customFormat="1" ht="18">
      <c r="A173" s="524">
        <v>156</v>
      </c>
      <c r="B173" s="10" t="s">
        <v>483</v>
      </c>
      <c r="C173" s="446">
        <v>77237.012000000002</v>
      </c>
      <c r="D173" s="445">
        <v>12</v>
      </c>
      <c r="E173" s="446">
        <f t="shared" si="132"/>
        <v>926844.14399999997</v>
      </c>
      <c r="F173" s="446"/>
      <c r="G173" s="449"/>
      <c r="H173" s="449"/>
      <c r="I173" s="446">
        <f t="shared" si="133"/>
        <v>926844.14399999997</v>
      </c>
      <c r="J173" s="446">
        <v>200000</v>
      </c>
      <c r="K173" s="446">
        <v>0.2</v>
      </c>
      <c r="L173" s="446">
        <f t="shared" si="121"/>
        <v>185368.82879999999</v>
      </c>
      <c r="M173" s="446">
        <f t="shared" si="122"/>
        <v>385368.82880000002</v>
      </c>
      <c r="N173" s="446">
        <f t="shared" si="123"/>
        <v>385368.82880000002</v>
      </c>
      <c r="O173" s="446">
        <f t="shared" si="124"/>
        <v>541475.31519999995</v>
      </c>
      <c r="P173" s="446">
        <f t="shared" si="125"/>
        <v>21000</v>
      </c>
      <c r="Q173" s="446">
        <f t="shared" si="126"/>
        <v>26562.284672000002</v>
      </c>
      <c r="R173" s="446">
        <f t="shared" si="127"/>
        <v>0</v>
      </c>
      <c r="S173" s="446">
        <f t="shared" si="128"/>
        <v>0</v>
      </c>
      <c r="T173" s="446">
        <f t="shared" si="129"/>
        <v>0</v>
      </c>
      <c r="U173" s="446"/>
      <c r="V173" s="446">
        <f t="shared" si="135"/>
        <v>47562.284672000002</v>
      </c>
      <c r="W173" s="453">
        <v>12</v>
      </c>
      <c r="X173" s="446">
        <f t="shared" si="130"/>
        <v>3963.52372266667</v>
      </c>
      <c r="Y173" s="449"/>
      <c r="Z173" s="446">
        <f t="shared" si="131"/>
        <v>3963.52372266667</v>
      </c>
      <c r="AA173" s="192">
        <v>3963.52372266667</v>
      </c>
      <c r="AB173" s="192">
        <f t="shared" si="134"/>
        <v>0</v>
      </c>
      <c r="AC173" s="533"/>
      <c r="AD173" s="533"/>
      <c r="AE173" s="533"/>
    </row>
    <row r="174" spans="1:31" ht="18">
      <c r="A174" s="520">
        <v>157</v>
      </c>
      <c r="B174" s="10" t="s">
        <v>484</v>
      </c>
      <c r="C174" s="446">
        <v>80237.012000000002</v>
      </c>
      <c r="D174" s="445">
        <v>12</v>
      </c>
      <c r="E174" s="446">
        <f t="shared" si="132"/>
        <v>962844.14399999997</v>
      </c>
      <c r="F174" s="446"/>
      <c r="G174" s="449"/>
      <c r="H174" s="449"/>
      <c r="I174" s="446">
        <f t="shared" si="133"/>
        <v>962844.14399999997</v>
      </c>
      <c r="J174" s="446">
        <v>200000</v>
      </c>
      <c r="K174" s="446">
        <v>0.2</v>
      </c>
      <c r="L174" s="446">
        <f t="shared" si="121"/>
        <v>192568.82879999999</v>
      </c>
      <c r="M174" s="446">
        <f t="shared" si="122"/>
        <v>392568.82880000002</v>
      </c>
      <c r="N174" s="446">
        <f t="shared" si="123"/>
        <v>392568.82880000002</v>
      </c>
      <c r="O174" s="446">
        <f t="shared" si="124"/>
        <v>570275.31519999995</v>
      </c>
      <c r="P174" s="446">
        <f t="shared" si="125"/>
        <v>21000</v>
      </c>
      <c r="Q174" s="446">
        <f t="shared" si="126"/>
        <v>29730.284672000002</v>
      </c>
      <c r="R174" s="446">
        <f t="shared" si="127"/>
        <v>0</v>
      </c>
      <c r="S174" s="446">
        <f t="shared" si="128"/>
        <v>0</v>
      </c>
      <c r="T174" s="446">
        <f t="shared" si="129"/>
        <v>0</v>
      </c>
      <c r="U174" s="446"/>
      <c r="V174" s="446">
        <f t="shared" si="135"/>
        <v>50730.284672000002</v>
      </c>
      <c r="W174" s="453">
        <v>12</v>
      </c>
      <c r="X174" s="446">
        <f t="shared" si="130"/>
        <v>4227.5237226666704</v>
      </c>
      <c r="Y174" s="449"/>
      <c r="Z174" s="446">
        <f t="shared" si="131"/>
        <v>4227.5237226666704</v>
      </c>
      <c r="AA174" s="192">
        <v>4227.5237226666704</v>
      </c>
      <c r="AB174" s="192">
        <f t="shared" si="134"/>
        <v>0</v>
      </c>
      <c r="AC174" s="192"/>
      <c r="AD174" s="192"/>
      <c r="AE174" s="192"/>
    </row>
    <row r="175" spans="1:31" ht="18">
      <c r="A175" s="526"/>
      <c r="B175" s="10" t="s">
        <v>485</v>
      </c>
      <c r="C175" s="462">
        <v>77237.012000000002</v>
      </c>
      <c r="D175" s="445">
        <v>12</v>
      </c>
      <c r="E175" s="446">
        <f t="shared" si="132"/>
        <v>926844.14399999997</v>
      </c>
      <c r="F175" s="446"/>
      <c r="G175" s="449"/>
      <c r="H175" s="449"/>
      <c r="I175" s="446">
        <f t="shared" si="133"/>
        <v>926844.14399999997</v>
      </c>
      <c r="J175" s="446">
        <v>200000</v>
      </c>
      <c r="K175" s="446">
        <v>0.2</v>
      </c>
      <c r="L175" s="446">
        <f t="shared" si="121"/>
        <v>185368.82879999999</v>
      </c>
      <c r="M175" s="446">
        <f t="shared" si="122"/>
        <v>385368.82880000002</v>
      </c>
      <c r="N175" s="446">
        <f t="shared" si="123"/>
        <v>385368.82880000002</v>
      </c>
      <c r="O175" s="446">
        <f t="shared" si="124"/>
        <v>541475.31519999995</v>
      </c>
      <c r="P175" s="446">
        <f t="shared" si="125"/>
        <v>21000</v>
      </c>
      <c r="Q175" s="446">
        <f t="shared" si="126"/>
        <v>26562.284672000002</v>
      </c>
      <c r="R175" s="446">
        <f t="shared" si="127"/>
        <v>0</v>
      </c>
      <c r="S175" s="446">
        <f t="shared" si="128"/>
        <v>0</v>
      </c>
      <c r="T175" s="446">
        <f t="shared" si="129"/>
        <v>0</v>
      </c>
      <c r="U175" s="446"/>
      <c r="V175" s="446">
        <f t="shared" si="135"/>
        <v>47562.284672000002</v>
      </c>
      <c r="W175" s="453">
        <v>12</v>
      </c>
      <c r="X175" s="446">
        <f t="shared" si="130"/>
        <v>3963.52372266667</v>
      </c>
      <c r="Y175" s="449"/>
      <c r="Z175" s="446">
        <f t="shared" si="131"/>
        <v>3963.52372266667</v>
      </c>
      <c r="AA175" s="533">
        <v>3963.52372266667</v>
      </c>
      <c r="AB175" s="192">
        <f t="shared" si="134"/>
        <v>0</v>
      </c>
      <c r="AC175" s="192"/>
      <c r="AD175" s="192"/>
      <c r="AE175" s="192"/>
    </row>
    <row r="176" spans="1:31" ht="18">
      <c r="A176" s="526"/>
      <c r="B176" s="10" t="s">
        <v>486</v>
      </c>
      <c r="C176" s="462">
        <v>80237.012000000002</v>
      </c>
      <c r="D176" s="445">
        <v>12</v>
      </c>
      <c r="E176" s="446">
        <f t="shared" si="132"/>
        <v>962844.14399999997</v>
      </c>
      <c r="F176" s="446"/>
      <c r="G176" s="449"/>
      <c r="H176" s="449"/>
      <c r="I176" s="446">
        <f t="shared" si="133"/>
        <v>962844.14399999997</v>
      </c>
      <c r="J176" s="446">
        <v>200000</v>
      </c>
      <c r="K176" s="446">
        <v>0.2</v>
      </c>
      <c r="L176" s="446">
        <f t="shared" si="121"/>
        <v>192568.82879999999</v>
      </c>
      <c r="M176" s="446">
        <f t="shared" si="122"/>
        <v>392568.82880000002</v>
      </c>
      <c r="N176" s="446">
        <f t="shared" si="123"/>
        <v>392568.82880000002</v>
      </c>
      <c r="O176" s="446">
        <f t="shared" si="124"/>
        <v>570275.31519999995</v>
      </c>
      <c r="P176" s="446">
        <f t="shared" si="125"/>
        <v>21000</v>
      </c>
      <c r="Q176" s="446">
        <f t="shared" si="126"/>
        <v>29730.284672000002</v>
      </c>
      <c r="R176" s="446">
        <f t="shared" si="127"/>
        <v>0</v>
      </c>
      <c r="S176" s="446">
        <f t="shared" si="128"/>
        <v>0</v>
      </c>
      <c r="T176" s="446">
        <f t="shared" si="129"/>
        <v>0</v>
      </c>
      <c r="U176" s="446"/>
      <c r="V176" s="446">
        <f t="shared" si="135"/>
        <v>50730.284672000002</v>
      </c>
      <c r="W176" s="453">
        <v>12</v>
      </c>
      <c r="X176" s="446">
        <f t="shared" si="130"/>
        <v>4227.5237226666704</v>
      </c>
      <c r="Y176" s="449"/>
      <c r="Z176" s="446">
        <f t="shared" si="131"/>
        <v>4227.5237226666704</v>
      </c>
      <c r="AA176" s="192">
        <v>4227.5237226666704</v>
      </c>
      <c r="AB176" s="192">
        <f t="shared" si="134"/>
        <v>0</v>
      </c>
    </row>
    <row r="177" spans="2:28" ht="18">
      <c r="B177" s="17" t="s">
        <v>487</v>
      </c>
      <c r="C177" s="458">
        <v>77237.012000000002</v>
      </c>
      <c r="D177" s="445">
        <v>12</v>
      </c>
      <c r="E177" s="446">
        <f t="shared" si="132"/>
        <v>926844.14399999997</v>
      </c>
      <c r="F177" s="274"/>
      <c r="G177" s="274"/>
      <c r="H177" s="274"/>
      <c r="I177" s="446">
        <f t="shared" si="133"/>
        <v>926844.14399999997</v>
      </c>
      <c r="J177" s="446">
        <v>200000</v>
      </c>
      <c r="K177" s="446">
        <v>0.2</v>
      </c>
      <c r="L177" s="446">
        <f t="shared" si="121"/>
        <v>185368.82879999999</v>
      </c>
      <c r="M177" s="446">
        <f t="shared" si="122"/>
        <v>385368.82880000002</v>
      </c>
      <c r="N177" s="446">
        <f t="shared" si="123"/>
        <v>385368.82880000002</v>
      </c>
      <c r="O177" s="446">
        <f t="shared" si="124"/>
        <v>541475.31519999995</v>
      </c>
      <c r="P177" s="446">
        <f t="shared" si="125"/>
        <v>21000</v>
      </c>
      <c r="Q177" s="446">
        <f t="shared" si="126"/>
        <v>26562.284672000002</v>
      </c>
      <c r="R177" s="446">
        <f t="shared" si="127"/>
        <v>0</v>
      </c>
      <c r="S177" s="446">
        <f t="shared" si="128"/>
        <v>0</v>
      </c>
      <c r="T177" s="446">
        <f t="shared" si="129"/>
        <v>0</v>
      </c>
      <c r="U177" s="446"/>
      <c r="V177" s="446">
        <f t="shared" si="135"/>
        <v>47562.284672000002</v>
      </c>
      <c r="W177" s="453">
        <v>12</v>
      </c>
      <c r="X177" s="446">
        <f t="shared" si="130"/>
        <v>3963.52372266667</v>
      </c>
      <c r="Y177" s="274"/>
      <c r="Z177" s="446">
        <f t="shared" si="131"/>
        <v>3963.52372266667</v>
      </c>
      <c r="AA177" s="192">
        <v>3963.52372266667</v>
      </c>
      <c r="AB177" s="192">
        <f t="shared" si="134"/>
        <v>0</v>
      </c>
    </row>
    <row r="178" spans="2:28" ht="18">
      <c r="B178" s="17" t="s">
        <v>488</v>
      </c>
      <c r="C178" s="458">
        <v>80237.012000000002</v>
      </c>
      <c r="D178" s="445">
        <v>12</v>
      </c>
      <c r="E178" s="446">
        <f t="shared" si="132"/>
        <v>962844.14399999997</v>
      </c>
      <c r="F178" s="274"/>
      <c r="G178" s="274"/>
      <c r="H178" s="274"/>
      <c r="I178" s="446">
        <f t="shared" si="133"/>
        <v>962844.14399999997</v>
      </c>
      <c r="J178" s="446">
        <v>200000</v>
      </c>
      <c r="K178" s="446">
        <v>0.2</v>
      </c>
      <c r="L178" s="446">
        <f t="shared" si="121"/>
        <v>192568.82879999999</v>
      </c>
      <c r="M178" s="446">
        <f t="shared" si="122"/>
        <v>392568.82880000002</v>
      </c>
      <c r="N178" s="446">
        <f t="shared" si="123"/>
        <v>392568.82880000002</v>
      </c>
      <c r="O178" s="446">
        <f t="shared" si="124"/>
        <v>570275.31519999995</v>
      </c>
      <c r="P178" s="446">
        <f t="shared" si="125"/>
        <v>21000</v>
      </c>
      <c r="Q178" s="446">
        <f t="shared" si="126"/>
        <v>29730.284672000002</v>
      </c>
      <c r="R178" s="446">
        <f t="shared" si="127"/>
        <v>0</v>
      </c>
      <c r="S178" s="446">
        <f t="shared" si="128"/>
        <v>0</v>
      </c>
      <c r="T178" s="446">
        <f t="shared" si="129"/>
        <v>0</v>
      </c>
      <c r="U178" s="274"/>
      <c r="V178" s="446">
        <f t="shared" si="135"/>
        <v>50730.284672000002</v>
      </c>
      <c r="W178" s="453">
        <v>12</v>
      </c>
      <c r="X178" s="446">
        <f t="shared" si="130"/>
        <v>4227.5237226666704</v>
      </c>
      <c r="Y178" s="274"/>
      <c r="Z178" s="446">
        <f t="shared" si="131"/>
        <v>4227.5237226666704</v>
      </c>
      <c r="AA178" s="192">
        <v>4227.5237226666704</v>
      </c>
      <c r="AB178" s="192">
        <f t="shared" si="134"/>
        <v>0</v>
      </c>
    </row>
    <row r="179" spans="2:28" ht="18">
      <c r="B179" s="10" t="s">
        <v>489</v>
      </c>
      <c r="C179" s="458">
        <v>78671.023000000001</v>
      </c>
      <c r="D179" s="445">
        <v>12</v>
      </c>
      <c r="E179" s="446">
        <f t="shared" si="132"/>
        <v>944052.27599999995</v>
      </c>
      <c r="F179" s="274"/>
      <c r="G179" s="274"/>
      <c r="H179" s="274"/>
      <c r="I179" s="446">
        <f t="shared" si="133"/>
        <v>944052.27599999995</v>
      </c>
      <c r="J179" s="446">
        <v>200000</v>
      </c>
      <c r="K179" s="446">
        <v>0.2</v>
      </c>
      <c r="L179" s="446">
        <f t="shared" si="121"/>
        <v>188810.4552</v>
      </c>
      <c r="M179" s="446">
        <f t="shared" si="122"/>
        <v>388810.45520000003</v>
      </c>
      <c r="N179" s="446">
        <f t="shared" si="123"/>
        <v>388810.45520000003</v>
      </c>
      <c r="O179" s="446">
        <f t="shared" si="124"/>
        <v>555241.82079999999</v>
      </c>
      <c r="P179" s="446">
        <f t="shared" si="125"/>
        <v>21000</v>
      </c>
      <c r="Q179" s="446">
        <f t="shared" si="126"/>
        <v>28076.600288000001</v>
      </c>
      <c r="R179" s="446">
        <f t="shared" si="127"/>
        <v>0</v>
      </c>
      <c r="S179" s="446">
        <f t="shared" si="128"/>
        <v>0</v>
      </c>
      <c r="T179" s="446">
        <f t="shared" si="129"/>
        <v>0</v>
      </c>
      <c r="U179" s="274"/>
      <c r="V179" s="446">
        <f t="shared" si="135"/>
        <v>49076.600288000001</v>
      </c>
      <c r="W179" s="453">
        <v>12</v>
      </c>
      <c r="X179" s="446">
        <f t="shared" si="130"/>
        <v>4089.7166906666698</v>
      </c>
      <c r="Y179" s="274"/>
      <c r="Z179" s="446">
        <f t="shared" si="131"/>
        <v>4089.7166906666698</v>
      </c>
      <c r="AA179" s="192">
        <v>4089.7166906666698</v>
      </c>
      <c r="AB179" s="192">
        <f t="shared" si="134"/>
        <v>0</v>
      </c>
    </row>
    <row r="180" spans="2:28" ht="18">
      <c r="B180" s="10" t="s">
        <v>490</v>
      </c>
      <c r="C180" s="458">
        <v>80237.012000000002</v>
      </c>
      <c r="D180" s="445">
        <v>12</v>
      </c>
      <c r="E180" s="446">
        <f t="shared" si="132"/>
        <v>962844.14399999997</v>
      </c>
      <c r="F180" s="274"/>
      <c r="G180" s="274"/>
      <c r="H180" s="274"/>
      <c r="I180" s="446">
        <f t="shared" si="133"/>
        <v>962844.14399999997</v>
      </c>
      <c r="J180" s="446">
        <v>200000</v>
      </c>
      <c r="K180" s="446">
        <v>0.2</v>
      </c>
      <c r="L180" s="446">
        <f t="shared" si="121"/>
        <v>192568.82879999999</v>
      </c>
      <c r="M180" s="446">
        <f t="shared" si="122"/>
        <v>392568.82880000002</v>
      </c>
      <c r="N180" s="446">
        <f t="shared" si="123"/>
        <v>392568.82880000002</v>
      </c>
      <c r="O180" s="446">
        <f t="shared" si="124"/>
        <v>570275.31519999995</v>
      </c>
      <c r="P180" s="446">
        <f t="shared" si="125"/>
        <v>21000</v>
      </c>
      <c r="Q180" s="446">
        <f t="shared" si="126"/>
        <v>29730.284672000002</v>
      </c>
      <c r="R180" s="446">
        <f t="shared" si="127"/>
        <v>0</v>
      </c>
      <c r="S180" s="446">
        <f t="shared" si="128"/>
        <v>0</v>
      </c>
      <c r="T180" s="446">
        <f t="shared" si="129"/>
        <v>0</v>
      </c>
      <c r="U180" s="274"/>
      <c r="V180" s="446">
        <f t="shared" si="135"/>
        <v>50730.284672000002</v>
      </c>
      <c r="W180" s="453">
        <v>12</v>
      </c>
      <c r="X180" s="446">
        <f t="shared" si="130"/>
        <v>4227.5237226666704</v>
      </c>
      <c r="Y180" s="274"/>
      <c r="Z180" s="446">
        <f t="shared" si="131"/>
        <v>4227.5237226666704</v>
      </c>
      <c r="AA180" s="192">
        <v>4227.5237226666704</v>
      </c>
      <c r="AB180" s="192">
        <f t="shared" si="134"/>
        <v>0</v>
      </c>
    </row>
    <row r="181" spans="2:28" ht="18">
      <c r="B181" s="17" t="s">
        <v>491</v>
      </c>
      <c r="C181" s="458">
        <v>78671.023000000001</v>
      </c>
      <c r="D181" s="445">
        <v>12</v>
      </c>
      <c r="E181" s="446">
        <f t="shared" si="132"/>
        <v>944052.27599999995</v>
      </c>
      <c r="F181" s="274"/>
      <c r="G181" s="274"/>
      <c r="H181" s="274"/>
      <c r="I181" s="446">
        <f t="shared" si="133"/>
        <v>944052.27599999995</v>
      </c>
      <c r="J181" s="446">
        <v>200000</v>
      </c>
      <c r="K181" s="446">
        <v>0.2</v>
      </c>
      <c r="L181" s="446">
        <f t="shared" si="121"/>
        <v>188810.4552</v>
      </c>
      <c r="M181" s="446">
        <f t="shared" si="122"/>
        <v>388810.45520000003</v>
      </c>
      <c r="N181" s="446">
        <f t="shared" si="123"/>
        <v>388810.45520000003</v>
      </c>
      <c r="O181" s="446">
        <f t="shared" si="124"/>
        <v>555241.82079999999</v>
      </c>
      <c r="P181" s="446">
        <f t="shared" si="125"/>
        <v>21000</v>
      </c>
      <c r="Q181" s="446">
        <f t="shared" si="126"/>
        <v>28076.600288000001</v>
      </c>
      <c r="R181" s="446">
        <f t="shared" si="127"/>
        <v>0</v>
      </c>
      <c r="S181" s="446">
        <f t="shared" si="128"/>
        <v>0</v>
      </c>
      <c r="T181" s="446">
        <f t="shared" si="129"/>
        <v>0</v>
      </c>
      <c r="U181" s="274"/>
      <c r="V181" s="446">
        <f t="shared" si="135"/>
        <v>49076.600288000001</v>
      </c>
      <c r="W181" s="453">
        <v>12</v>
      </c>
      <c r="X181" s="446">
        <f t="shared" si="130"/>
        <v>4089.7166906666698</v>
      </c>
      <c r="Y181" s="274"/>
      <c r="Z181" s="446">
        <f t="shared" si="131"/>
        <v>4089.7166906666698</v>
      </c>
      <c r="AA181" s="192">
        <v>4089.7166906666698</v>
      </c>
      <c r="AB181" s="192">
        <f t="shared" si="134"/>
        <v>0</v>
      </c>
    </row>
    <row r="182" spans="2:28" ht="18">
      <c r="B182" s="17" t="s">
        <v>493</v>
      </c>
      <c r="C182" s="458">
        <v>68675.997025000004</v>
      </c>
      <c r="D182" s="445">
        <v>12</v>
      </c>
      <c r="E182" s="446">
        <f t="shared" si="132"/>
        <v>824111.96429999999</v>
      </c>
      <c r="F182" s="274"/>
      <c r="G182" s="274"/>
      <c r="H182" s="274"/>
      <c r="I182" s="446">
        <f t="shared" si="133"/>
        <v>824111.96429999999</v>
      </c>
      <c r="J182" s="446">
        <v>200000</v>
      </c>
      <c r="K182" s="446">
        <v>0.2</v>
      </c>
      <c r="L182" s="446">
        <f t="shared" si="121"/>
        <v>164822.39285999999</v>
      </c>
      <c r="M182" s="446">
        <f t="shared" si="122"/>
        <v>364822.39286000002</v>
      </c>
      <c r="N182" s="446">
        <f t="shared" si="123"/>
        <v>364822.39286000002</v>
      </c>
      <c r="O182" s="446">
        <f t="shared" si="124"/>
        <v>459289.57144000003</v>
      </c>
      <c r="P182" s="446">
        <f t="shared" si="125"/>
        <v>21000</v>
      </c>
      <c r="Q182" s="446">
        <f t="shared" si="126"/>
        <v>17521.852858400001</v>
      </c>
      <c r="R182" s="446">
        <f t="shared" si="127"/>
        <v>0</v>
      </c>
      <c r="S182" s="446">
        <f t="shared" si="128"/>
        <v>0</v>
      </c>
      <c r="T182" s="446">
        <f t="shared" si="129"/>
        <v>0</v>
      </c>
      <c r="U182" s="274"/>
      <c r="V182" s="446">
        <f t="shared" si="135"/>
        <v>38521.852858400001</v>
      </c>
      <c r="W182" s="453">
        <v>12</v>
      </c>
      <c r="X182" s="446">
        <f t="shared" si="130"/>
        <v>3210.1544048666701</v>
      </c>
      <c r="Y182" s="274"/>
      <c r="Z182" s="446">
        <f t="shared" si="131"/>
        <v>3210.1544048666701</v>
      </c>
      <c r="AA182" s="192">
        <v>3210.1544048666701</v>
      </c>
      <c r="AB182" s="192">
        <f t="shared" si="134"/>
        <v>0</v>
      </c>
    </row>
    <row r="183" spans="2:28" ht="18">
      <c r="B183" s="17" t="s">
        <v>495</v>
      </c>
      <c r="C183" s="458">
        <v>62980.079250000003</v>
      </c>
      <c r="D183" s="445">
        <v>12</v>
      </c>
      <c r="E183" s="446">
        <f t="shared" si="132"/>
        <v>755760.951</v>
      </c>
      <c r="F183" s="274"/>
      <c r="G183" s="274"/>
      <c r="H183" s="274"/>
      <c r="I183" s="446">
        <f t="shared" si="133"/>
        <v>755760.951</v>
      </c>
      <c r="J183" s="446">
        <v>200000</v>
      </c>
      <c r="K183" s="446">
        <v>0.2</v>
      </c>
      <c r="L183" s="446">
        <f t="shared" si="121"/>
        <v>151152.19020000001</v>
      </c>
      <c r="M183" s="446">
        <f t="shared" si="122"/>
        <v>351152.19020000001</v>
      </c>
      <c r="N183" s="446">
        <f t="shared" si="123"/>
        <v>351152.19020000001</v>
      </c>
      <c r="O183" s="446">
        <f t="shared" si="124"/>
        <v>404608.76079999999</v>
      </c>
      <c r="P183" s="446">
        <f t="shared" si="125"/>
        <v>21000</v>
      </c>
      <c r="Q183" s="446">
        <f t="shared" si="126"/>
        <v>11506.963688</v>
      </c>
      <c r="R183" s="446">
        <f t="shared" si="127"/>
        <v>0</v>
      </c>
      <c r="S183" s="446">
        <f t="shared" si="128"/>
        <v>0</v>
      </c>
      <c r="T183" s="446">
        <f t="shared" si="129"/>
        <v>0</v>
      </c>
      <c r="U183" s="274"/>
      <c r="V183" s="446">
        <f t="shared" si="135"/>
        <v>32506.963688</v>
      </c>
      <c r="W183" s="453">
        <v>12</v>
      </c>
      <c r="X183" s="446">
        <f t="shared" si="130"/>
        <v>2708.9136406666698</v>
      </c>
      <c r="Y183" s="274"/>
      <c r="Z183" s="446">
        <f t="shared" si="131"/>
        <v>2708.9136406666698</v>
      </c>
      <c r="AA183" s="192">
        <v>2708.9136406666698</v>
      </c>
      <c r="AB183" s="192">
        <f t="shared" si="134"/>
        <v>0</v>
      </c>
    </row>
    <row r="184" spans="2:28" ht="18">
      <c r="B184" s="17" t="s">
        <v>498</v>
      </c>
      <c r="C184" s="458">
        <v>62980.079250000003</v>
      </c>
      <c r="D184" s="445">
        <v>12</v>
      </c>
      <c r="E184" s="446">
        <f t="shared" si="132"/>
        <v>755760.951</v>
      </c>
      <c r="F184" s="274"/>
      <c r="G184" s="274"/>
      <c r="H184" s="274"/>
      <c r="I184" s="446">
        <f t="shared" si="133"/>
        <v>755760.951</v>
      </c>
      <c r="J184" s="446">
        <v>200000</v>
      </c>
      <c r="K184" s="446">
        <v>0.2</v>
      </c>
      <c r="L184" s="446">
        <f t="shared" si="121"/>
        <v>151152.19020000001</v>
      </c>
      <c r="M184" s="446">
        <f t="shared" si="122"/>
        <v>351152.19020000001</v>
      </c>
      <c r="N184" s="446">
        <f t="shared" si="123"/>
        <v>351152.19020000001</v>
      </c>
      <c r="O184" s="446">
        <f t="shared" si="124"/>
        <v>404608.76079999999</v>
      </c>
      <c r="P184" s="446">
        <f t="shared" si="125"/>
        <v>21000</v>
      </c>
      <c r="Q184" s="446">
        <f t="shared" si="126"/>
        <v>11506.963688</v>
      </c>
      <c r="R184" s="446">
        <f t="shared" si="127"/>
        <v>0</v>
      </c>
      <c r="S184" s="446">
        <f t="shared" si="128"/>
        <v>0</v>
      </c>
      <c r="T184" s="446">
        <f t="shared" si="129"/>
        <v>0</v>
      </c>
      <c r="U184" s="274"/>
      <c r="V184" s="446">
        <f t="shared" si="135"/>
        <v>32506.963688</v>
      </c>
      <c r="W184" s="453">
        <v>12</v>
      </c>
      <c r="X184" s="446">
        <f t="shared" si="130"/>
        <v>2708.9136406666698</v>
      </c>
      <c r="Y184" s="274"/>
      <c r="Z184" s="446">
        <f t="shared" si="131"/>
        <v>2708.9136406666698</v>
      </c>
      <c r="AA184" s="192">
        <v>2708.9136406666698</v>
      </c>
      <c r="AB184" s="192">
        <f t="shared" si="134"/>
        <v>0</v>
      </c>
    </row>
    <row r="185" spans="2:28" ht="18">
      <c r="B185" s="17" t="s">
        <v>499</v>
      </c>
      <c r="C185" s="458">
        <v>62980.079250000003</v>
      </c>
      <c r="D185" s="445">
        <v>12</v>
      </c>
      <c r="E185" s="446">
        <f t="shared" si="132"/>
        <v>755760.951</v>
      </c>
      <c r="F185" s="274"/>
      <c r="G185" s="274"/>
      <c r="H185" s="274"/>
      <c r="I185" s="446">
        <f t="shared" si="133"/>
        <v>755760.951</v>
      </c>
      <c r="J185" s="446">
        <v>200000</v>
      </c>
      <c r="K185" s="446">
        <v>0.2</v>
      </c>
      <c r="L185" s="446">
        <f t="shared" si="121"/>
        <v>151152.19020000001</v>
      </c>
      <c r="M185" s="446">
        <f t="shared" si="122"/>
        <v>351152.19020000001</v>
      </c>
      <c r="N185" s="446">
        <f t="shared" si="123"/>
        <v>351152.19020000001</v>
      </c>
      <c r="O185" s="446">
        <f t="shared" si="124"/>
        <v>404608.76079999999</v>
      </c>
      <c r="P185" s="446">
        <f t="shared" si="125"/>
        <v>21000</v>
      </c>
      <c r="Q185" s="446">
        <f t="shared" si="126"/>
        <v>11506.963688</v>
      </c>
      <c r="R185" s="446">
        <f t="shared" si="127"/>
        <v>0</v>
      </c>
      <c r="S185" s="446">
        <f t="shared" si="128"/>
        <v>0</v>
      </c>
      <c r="T185" s="446">
        <f t="shared" si="129"/>
        <v>0</v>
      </c>
      <c r="U185" s="274"/>
      <c r="V185" s="446">
        <f t="shared" si="135"/>
        <v>32506.963688</v>
      </c>
      <c r="W185" s="453">
        <v>12</v>
      </c>
      <c r="X185" s="446">
        <f t="shared" si="130"/>
        <v>2708.9136406666698</v>
      </c>
      <c r="Y185" s="274"/>
      <c r="Z185" s="446">
        <f t="shared" si="131"/>
        <v>2708.9136406666698</v>
      </c>
      <c r="AA185" s="192">
        <v>2708.9136406666698</v>
      </c>
      <c r="AB185" s="192">
        <f t="shared" si="134"/>
        <v>0</v>
      </c>
    </row>
    <row r="186" spans="2:28" ht="18">
      <c r="B186" s="17" t="s">
        <v>500</v>
      </c>
      <c r="C186" s="458">
        <v>72103.749500000005</v>
      </c>
      <c r="D186" s="445">
        <v>12</v>
      </c>
      <c r="E186" s="446">
        <f t="shared" si="132"/>
        <v>865244.99399999995</v>
      </c>
      <c r="F186" s="274"/>
      <c r="G186" s="274"/>
      <c r="H186" s="274"/>
      <c r="I186" s="446">
        <f t="shared" si="133"/>
        <v>865244.99399999995</v>
      </c>
      <c r="J186" s="446">
        <v>200000</v>
      </c>
      <c r="K186" s="446">
        <v>0.2</v>
      </c>
      <c r="L186" s="446">
        <f t="shared" si="121"/>
        <v>173048.9988</v>
      </c>
      <c r="M186" s="446">
        <f t="shared" si="122"/>
        <v>373048.9988</v>
      </c>
      <c r="N186" s="446">
        <f t="shared" si="123"/>
        <v>373048.9988</v>
      </c>
      <c r="O186" s="446">
        <f t="shared" si="124"/>
        <v>492195.9952</v>
      </c>
      <c r="P186" s="446">
        <f t="shared" si="125"/>
        <v>21000</v>
      </c>
      <c r="Q186" s="446">
        <f t="shared" si="126"/>
        <v>21141.559472000001</v>
      </c>
      <c r="R186" s="446">
        <f t="shared" si="127"/>
        <v>0</v>
      </c>
      <c r="S186" s="446">
        <f t="shared" si="128"/>
        <v>0</v>
      </c>
      <c r="T186" s="446">
        <f t="shared" si="129"/>
        <v>0</v>
      </c>
      <c r="U186" s="274"/>
      <c r="V186" s="446">
        <f t="shared" si="135"/>
        <v>42141.559472000001</v>
      </c>
      <c r="W186" s="453">
        <v>12</v>
      </c>
      <c r="X186" s="446">
        <f t="shared" si="130"/>
        <v>3511.7966226666699</v>
      </c>
      <c r="Y186" s="274"/>
      <c r="Z186" s="446">
        <f t="shared" si="131"/>
        <v>3511.7966226666699</v>
      </c>
      <c r="AA186" s="192">
        <v>3511.7966226666699</v>
      </c>
      <c r="AB186" s="192">
        <f t="shared" si="134"/>
        <v>0</v>
      </c>
    </row>
    <row r="187" spans="2:28" ht="18">
      <c r="B187" s="17" t="s">
        <v>503</v>
      </c>
      <c r="C187" s="458">
        <v>72103.749500000005</v>
      </c>
      <c r="D187" s="445">
        <v>12</v>
      </c>
      <c r="E187" s="446">
        <f t="shared" si="132"/>
        <v>865244.99399999995</v>
      </c>
      <c r="F187" s="274"/>
      <c r="G187" s="274"/>
      <c r="H187" s="274"/>
      <c r="I187" s="446">
        <f t="shared" si="133"/>
        <v>865244.99399999995</v>
      </c>
      <c r="J187" s="446">
        <v>200000</v>
      </c>
      <c r="K187" s="446">
        <v>0.2</v>
      </c>
      <c r="L187" s="446">
        <f t="shared" si="121"/>
        <v>173048.9988</v>
      </c>
      <c r="M187" s="446">
        <f t="shared" si="122"/>
        <v>373048.9988</v>
      </c>
      <c r="N187" s="446">
        <f t="shared" si="123"/>
        <v>373048.9988</v>
      </c>
      <c r="O187" s="446">
        <f t="shared" si="124"/>
        <v>492195.9952</v>
      </c>
      <c r="P187" s="446">
        <f t="shared" si="125"/>
        <v>21000</v>
      </c>
      <c r="Q187" s="446">
        <f t="shared" si="126"/>
        <v>21141.559472000001</v>
      </c>
      <c r="R187" s="446">
        <f t="shared" si="127"/>
        <v>0</v>
      </c>
      <c r="S187" s="446">
        <f t="shared" si="128"/>
        <v>0</v>
      </c>
      <c r="T187" s="446">
        <f t="shared" si="129"/>
        <v>0</v>
      </c>
      <c r="U187" s="274"/>
      <c r="V187" s="446">
        <f t="shared" si="135"/>
        <v>42141.559472000001</v>
      </c>
      <c r="W187" s="453">
        <v>12</v>
      </c>
      <c r="X187" s="446">
        <f t="shared" si="130"/>
        <v>3511.7966226666699</v>
      </c>
      <c r="Y187" s="274"/>
      <c r="Z187" s="446">
        <f t="shared" si="131"/>
        <v>3511.7966226666699</v>
      </c>
      <c r="AA187" s="192">
        <v>3511.7966226666699</v>
      </c>
      <c r="AB187" s="192">
        <f t="shared" si="134"/>
        <v>0</v>
      </c>
    </row>
    <row r="188" spans="2:28" ht="30.75" customHeight="1">
      <c r="B188" s="7"/>
      <c r="C188" s="192"/>
      <c r="E188" s="523"/>
      <c r="W188" s="272" t="s">
        <v>554</v>
      </c>
      <c r="Z188" s="539">
        <f>SUM(Z6:Z187)</f>
        <v>7214215.7686455902</v>
      </c>
      <c r="AA188" s="540">
        <f>SUM(AA6:AA187)</f>
        <v>7445494.5793200703</v>
      </c>
      <c r="AB188" s="541">
        <f>AB77+AB90+AB97+AB107+AB61+AB33</f>
        <v>-231278.81067447999</v>
      </c>
    </row>
    <row r="189" spans="2:28" ht="17.5">
      <c r="B189" s="29"/>
      <c r="C189" s="192"/>
    </row>
    <row r="190" spans="2:28" ht="17.5">
      <c r="B190" s="32"/>
      <c r="X190" s="272" t="s">
        <v>555</v>
      </c>
      <c r="AB190" s="542">
        <f>AB81+AB82+AB83+AB84+AB86+AB88+AB89+AB94+AB95+AB96+AB102+AB103+AB104+AB105+AB106</f>
        <v>-351613.55740448</v>
      </c>
    </row>
    <row r="191" spans="2:28" ht="14">
      <c r="X191" s="272" t="s">
        <v>556</v>
      </c>
      <c r="AB191" s="543">
        <f>AB87+AB85+AB74+AB61+AB21+AB19+AB18+AB16+AB15</f>
        <v>126852.23813</v>
      </c>
    </row>
    <row r="192" spans="2:28" ht="14">
      <c r="X192" s="538" t="s">
        <v>557</v>
      </c>
      <c r="AB192" s="544">
        <f>SUM(AB190:AB191)</f>
        <v>-224761.31927447999</v>
      </c>
    </row>
    <row r="193" spans="24:28" ht="14">
      <c r="X193" s="272" t="s">
        <v>558</v>
      </c>
      <c r="AB193" s="545">
        <f>-6517.49</f>
        <v>-6517.49</v>
      </c>
    </row>
    <row r="194" spans="24:28" ht="24.75" customHeight="1">
      <c r="X194" s="272" t="s">
        <v>167</v>
      </c>
      <c r="AA194" s="192"/>
      <c r="AB194" s="546">
        <f>AB192+AB193</f>
        <v>-231278.80927448001</v>
      </c>
    </row>
    <row r="196" spans="24:28">
      <c r="AA196" s="387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506"/>
      <c r="B1" s="506"/>
      <c r="C1" s="506"/>
      <c r="D1" s="506"/>
      <c r="E1" s="506"/>
    </row>
    <row r="2" spans="1:6" ht="53.5">
      <c r="A2" s="507" t="s">
        <v>21</v>
      </c>
      <c r="B2" s="507" t="s">
        <v>146</v>
      </c>
      <c r="C2" s="508" t="s">
        <v>559</v>
      </c>
      <c r="D2" s="508" t="s">
        <v>560</v>
      </c>
      <c r="E2" s="508" t="s">
        <v>561</v>
      </c>
      <c r="F2" s="509"/>
    </row>
    <row r="3" spans="1:6" ht="18.5">
      <c r="A3" s="507"/>
      <c r="B3" s="507"/>
      <c r="C3" s="508" t="s">
        <v>20</v>
      </c>
      <c r="D3" s="508" t="s">
        <v>20</v>
      </c>
      <c r="E3" s="508" t="s">
        <v>20</v>
      </c>
      <c r="F3" s="509"/>
    </row>
    <row r="4" spans="1:6" ht="18.5">
      <c r="A4" s="510">
        <v>1</v>
      </c>
      <c r="B4" s="511" t="s">
        <v>350</v>
      </c>
      <c r="C4" s="512">
        <v>98996.103146666705</v>
      </c>
      <c r="D4" s="512">
        <v>79796.103146666603</v>
      </c>
      <c r="E4" s="512">
        <f>C4-D4</f>
        <v>19200</v>
      </c>
      <c r="F4" s="509"/>
    </row>
    <row r="5" spans="1:6" ht="18.5">
      <c r="A5" s="510">
        <v>2</v>
      </c>
      <c r="B5" s="511" t="s">
        <v>351</v>
      </c>
      <c r="C5" s="512">
        <v>79956.9391466667</v>
      </c>
      <c r="D5" s="512">
        <v>75574.677290666703</v>
      </c>
      <c r="E5" s="512">
        <f t="shared" ref="E5:E11" si="0">C5-D5</f>
        <v>4382.2618559999701</v>
      </c>
      <c r="F5" s="509"/>
    </row>
    <row r="6" spans="1:6" ht="18.5">
      <c r="A6" s="510">
        <v>3</v>
      </c>
      <c r="B6" s="511" t="s">
        <v>352</v>
      </c>
      <c r="C6" s="512">
        <v>75574.677290666703</v>
      </c>
      <c r="D6" s="512">
        <v>50985.977546666698</v>
      </c>
      <c r="E6" s="512">
        <f t="shared" si="0"/>
        <v>24588.699744000001</v>
      </c>
      <c r="F6" s="509"/>
    </row>
    <row r="7" spans="1:6" ht="18.5">
      <c r="A7" s="510">
        <v>4</v>
      </c>
      <c r="B7" s="511" t="s">
        <v>354</v>
      </c>
      <c r="C7" s="512">
        <v>50985.977546666698</v>
      </c>
      <c r="D7" s="512">
        <v>49548.776186666699</v>
      </c>
      <c r="E7" s="512">
        <f t="shared" si="0"/>
        <v>1437.20136</v>
      </c>
      <c r="F7" s="509"/>
    </row>
    <row r="8" spans="1:6" ht="18.5">
      <c r="A8" s="510">
        <v>5</v>
      </c>
      <c r="B8" s="511" t="s">
        <v>357</v>
      </c>
      <c r="C8" s="512">
        <v>53384.053562666697</v>
      </c>
      <c r="D8" s="512">
        <v>41338.951098666701</v>
      </c>
      <c r="E8" s="512">
        <f t="shared" si="0"/>
        <v>12045.102464</v>
      </c>
      <c r="F8" s="509"/>
    </row>
    <row r="9" spans="1:6" ht="18.5">
      <c r="A9" s="510">
        <v>6</v>
      </c>
      <c r="B9" s="511" t="s">
        <v>359</v>
      </c>
      <c r="C9" s="512">
        <v>45414.4562526667</v>
      </c>
      <c r="D9" s="512">
        <v>33825.986562666702</v>
      </c>
      <c r="E9" s="512">
        <f t="shared" si="0"/>
        <v>11588.46969</v>
      </c>
      <c r="F9" s="509"/>
    </row>
    <row r="10" spans="1:6" ht="18.5">
      <c r="A10" s="510">
        <v>7</v>
      </c>
      <c r="B10" s="511" t="s">
        <v>361</v>
      </c>
      <c r="C10" s="512">
        <v>33825.986562666702</v>
      </c>
      <c r="D10" s="512">
        <v>29984.870925426701</v>
      </c>
      <c r="E10" s="512">
        <f t="shared" si="0"/>
        <v>3841.1156372399901</v>
      </c>
      <c r="F10" s="509"/>
    </row>
    <row r="11" spans="1:6" ht="18.5">
      <c r="A11" s="510">
        <v>8</v>
      </c>
      <c r="B11" s="511" t="s">
        <v>366</v>
      </c>
      <c r="C11" s="513">
        <v>82627.951418666693</v>
      </c>
      <c r="D11" s="512">
        <v>43492.373376666699</v>
      </c>
      <c r="E11" s="512">
        <f t="shared" si="0"/>
        <v>39135.578042000001</v>
      </c>
      <c r="F11" s="509"/>
    </row>
    <row r="12" spans="1:6" ht="18.5">
      <c r="A12" s="510">
        <v>9</v>
      </c>
      <c r="B12" s="511" t="s">
        <v>368</v>
      </c>
      <c r="C12" s="512">
        <v>43492.373376666699</v>
      </c>
      <c r="D12" s="512">
        <v>34968.882414666703</v>
      </c>
      <c r="E12" s="512">
        <f t="shared" ref="E12:E14" si="1">C12-D12</f>
        <v>8523.4909619999999</v>
      </c>
      <c r="F12" s="509"/>
    </row>
    <row r="13" spans="1:6" ht="18.5">
      <c r="A13" s="510">
        <v>10</v>
      </c>
      <c r="B13" s="511" t="s">
        <v>370</v>
      </c>
      <c r="C13" s="512">
        <v>34968.882414666703</v>
      </c>
      <c r="D13" s="512">
        <v>27105.986562666702</v>
      </c>
      <c r="E13" s="512">
        <f t="shared" si="1"/>
        <v>7862.8958520000097</v>
      </c>
      <c r="F13" s="509"/>
    </row>
    <row r="14" spans="1:6" ht="18.5">
      <c r="A14" s="510">
        <v>11</v>
      </c>
      <c r="B14" s="511" t="s">
        <v>377</v>
      </c>
      <c r="C14" s="512">
        <v>180180.378218667</v>
      </c>
      <c r="D14" s="512">
        <v>58814.673103466703</v>
      </c>
      <c r="E14" s="512">
        <f t="shared" si="1"/>
        <v>121365.70511520001</v>
      </c>
      <c r="F14" s="509"/>
    </row>
    <row r="15" spans="1:6" ht="18.5">
      <c r="A15" s="510">
        <v>12</v>
      </c>
      <c r="B15" s="511" t="s">
        <v>379</v>
      </c>
      <c r="C15" s="512">
        <v>99907.951418666693</v>
      </c>
      <c r="D15" s="512">
        <v>58631.439944426696</v>
      </c>
      <c r="E15" s="512">
        <f t="shared" ref="E15:E18" si="2">C15-D15</f>
        <v>41276.511474239996</v>
      </c>
      <c r="F15" s="509"/>
    </row>
    <row r="16" spans="1:6" ht="18.5">
      <c r="A16" s="510">
        <v>13</v>
      </c>
      <c r="B16" s="511" t="s">
        <v>380</v>
      </c>
      <c r="C16" s="512">
        <v>58941.101743466701</v>
      </c>
      <c r="D16" s="512">
        <v>31871.335203306699</v>
      </c>
      <c r="E16" s="512">
        <f t="shared" si="2"/>
        <v>27069.766540159999</v>
      </c>
      <c r="F16" s="509"/>
    </row>
    <row r="17" spans="1:6" ht="18.5">
      <c r="A17" s="510">
        <v>14</v>
      </c>
      <c r="B17" s="511" t="s">
        <v>383</v>
      </c>
      <c r="C17" s="512">
        <v>58631.439944426696</v>
      </c>
      <c r="D17" s="512">
        <v>31221.145554666698</v>
      </c>
      <c r="E17" s="512">
        <f t="shared" si="2"/>
        <v>27410.294389760002</v>
      </c>
      <c r="F17" s="509"/>
    </row>
    <row r="18" spans="1:6" ht="18.5">
      <c r="A18" s="510">
        <v>15</v>
      </c>
      <c r="B18" s="511" t="s">
        <v>385</v>
      </c>
      <c r="C18" s="512">
        <v>31871.335203306699</v>
      </c>
      <c r="D18" s="512">
        <v>29984.870925426701</v>
      </c>
      <c r="E18" s="512">
        <f t="shared" si="2"/>
        <v>1886.46427787999</v>
      </c>
      <c r="F18" s="509"/>
    </row>
    <row r="19" spans="1:6" ht="18.5">
      <c r="A19" s="511"/>
      <c r="B19" s="514" t="s">
        <v>34</v>
      </c>
      <c r="C19" s="514">
        <f>SUM(C4:C18)</f>
        <v>1028759.6072472</v>
      </c>
      <c r="D19" s="514">
        <f t="shared" ref="D19:E19" si="3">SUM(D4:D18)</f>
        <v>677146.04984272004</v>
      </c>
      <c r="E19" s="514">
        <f t="shared" si="3"/>
        <v>351613.55740448</v>
      </c>
      <c r="F19" s="509"/>
    </row>
    <row r="20" spans="1:6" ht="24.75" customHeight="1">
      <c r="A20" s="515"/>
      <c r="B20" s="515"/>
      <c r="C20" s="515"/>
      <c r="D20" s="515"/>
      <c r="E20" s="515"/>
      <c r="F20" s="50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18.26953125" style="1" customWidth="1"/>
    <col min="8" max="8" width="18.1796875" style="1" customWidth="1"/>
    <col min="9" max="9" width="17.81640625" style="1" customWidth="1"/>
    <col min="10" max="12" width="20" style="1" customWidth="1"/>
    <col min="13" max="15" width="19.7265625" style="1" customWidth="1"/>
    <col min="16" max="16" width="21.7265625" style="1" customWidth="1"/>
    <col min="17" max="16384" width="9.1796875" style="1"/>
  </cols>
  <sheetData>
    <row r="1" spans="1:16" ht="27" customHeight="1">
      <c r="A1" s="787" t="s">
        <v>0</v>
      </c>
      <c r="B1" s="787"/>
      <c r="C1" s="787"/>
      <c r="D1" s="787"/>
      <c r="E1" s="787"/>
      <c r="F1" s="787"/>
      <c r="G1" s="198"/>
      <c r="H1" s="198"/>
      <c r="I1" s="198"/>
      <c r="J1" s="198"/>
      <c r="K1" s="198"/>
      <c r="L1" s="198"/>
    </row>
    <row r="2" spans="1:16" ht="33.75" customHeight="1">
      <c r="A2" s="481" t="s">
        <v>562</v>
      </c>
      <c r="B2" s="482"/>
      <c r="C2" s="481"/>
      <c r="D2" s="481"/>
      <c r="E2" s="483"/>
      <c r="F2" s="483"/>
      <c r="G2" s="277"/>
      <c r="H2" s="277"/>
      <c r="I2" s="277"/>
      <c r="J2" s="277"/>
      <c r="K2" s="277"/>
      <c r="L2" s="277"/>
      <c r="M2" s="64"/>
      <c r="N2" s="64"/>
      <c r="O2" s="64"/>
    </row>
    <row r="3" spans="1:16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  <c r="J3" s="198"/>
      <c r="K3" s="198"/>
      <c r="L3" s="198"/>
    </row>
    <row r="4" spans="1:16" ht="52.5" customHeight="1">
      <c r="A4" s="3"/>
      <c r="B4" s="4" t="s">
        <v>2</v>
      </c>
      <c r="C4" s="5" t="s">
        <v>3</v>
      </c>
      <c r="D4" s="6" t="s">
        <v>4</v>
      </c>
      <c r="E4" s="199" t="s">
        <v>195</v>
      </c>
      <c r="F4" s="199" t="s">
        <v>539</v>
      </c>
      <c r="G4" s="199" t="s">
        <v>540</v>
      </c>
      <c r="H4" s="199" t="s">
        <v>541</v>
      </c>
      <c r="I4" s="199" t="s">
        <v>8</v>
      </c>
      <c r="J4" s="484" t="s">
        <v>542</v>
      </c>
      <c r="K4" s="484" t="s">
        <v>543</v>
      </c>
      <c r="L4" s="484" t="s">
        <v>544</v>
      </c>
      <c r="M4" s="485" t="s">
        <v>545</v>
      </c>
      <c r="N4" s="485" t="s">
        <v>546</v>
      </c>
      <c r="O4" s="485" t="s">
        <v>547</v>
      </c>
    </row>
    <row r="5" spans="1:16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486"/>
      <c r="K5" s="486"/>
      <c r="L5" s="486"/>
      <c r="M5" s="487" t="s">
        <v>20</v>
      </c>
      <c r="N5" s="487"/>
      <c r="O5" s="487"/>
    </row>
    <row r="6" spans="1:16" ht="20.149999999999999" customHeight="1">
      <c r="A6" s="8" t="s">
        <v>21</v>
      </c>
      <c r="B6" s="7" t="s">
        <v>22</v>
      </c>
      <c r="C6" s="7"/>
      <c r="D6" s="7"/>
      <c r="E6" s="68"/>
      <c r="F6" s="20"/>
      <c r="G6" s="68"/>
      <c r="H6" s="68"/>
      <c r="I6" s="68"/>
      <c r="J6" s="486"/>
      <c r="K6" s="486"/>
      <c r="L6" s="486"/>
      <c r="M6" s="487"/>
      <c r="N6" s="487"/>
      <c r="O6" s="487"/>
    </row>
    <row r="7" spans="1:1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71">
        <v>1659751.1669999999</v>
      </c>
      <c r="F7" s="71"/>
      <c r="G7" s="201">
        <f>250000</f>
        <v>250000</v>
      </c>
      <c r="H7" s="201"/>
      <c r="I7" s="71">
        <v>25235</v>
      </c>
      <c r="J7" s="488">
        <f>E7+F7+G7+H7+I7</f>
        <v>1934986.1669999999</v>
      </c>
      <c r="K7" s="488">
        <v>1158849.8400000001</v>
      </c>
      <c r="L7" s="488">
        <f>J7-K7</f>
        <v>776136.32700000005</v>
      </c>
      <c r="M7" s="489">
        <v>350184.01073066698</v>
      </c>
      <c r="N7" s="489">
        <v>201165.83594666701</v>
      </c>
      <c r="O7" s="490">
        <f>M7-N7</f>
        <v>149018.174784</v>
      </c>
      <c r="P7" s="12"/>
    </row>
    <row r="8" spans="1:16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71">
        <v>762373.16666666698</v>
      </c>
      <c r="F8" s="71"/>
      <c r="G8" s="201"/>
      <c r="H8" s="201">
        <f>90000</f>
        <v>90000</v>
      </c>
      <c r="I8" s="71">
        <v>0</v>
      </c>
      <c r="J8" s="488">
        <f t="shared" ref="J8:J33" si="0">E8+F8+G8+H8+I8</f>
        <v>852373.16666666698</v>
      </c>
      <c r="K8" s="488">
        <v>541465.02474999998</v>
      </c>
      <c r="L8" s="488">
        <f t="shared" ref="L8:L33" si="1">J8-K8</f>
        <v>310908.14191666699</v>
      </c>
      <c r="M8" s="489">
        <v>130612.26282666701</v>
      </c>
      <c r="N8" s="489">
        <v>82627.951418666693</v>
      </c>
      <c r="O8" s="490">
        <f t="shared" ref="O8:O33" si="2">M8-N8</f>
        <v>47984.311408000001</v>
      </c>
      <c r="P8" s="12"/>
    </row>
    <row r="9" spans="1:16" ht="20.149999999999999" customHeight="1">
      <c r="A9" s="9">
        <v>3</v>
      </c>
      <c r="B9" s="13" t="s">
        <v>241</v>
      </c>
      <c r="C9" s="3" t="s">
        <v>242</v>
      </c>
      <c r="D9" s="9" t="s">
        <v>234</v>
      </c>
      <c r="E9" s="71">
        <v>762373.16666666698</v>
      </c>
      <c r="F9" s="71"/>
      <c r="G9" s="201"/>
      <c r="H9" s="201">
        <f>90000</f>
        <v>90000</v>
      </c>
      <c r="I9" s="71">
        <f>100000+100000</f>
        <v>200000</v>
      </c>
      <c r="J9" s="488">
        <f t="shared" si="0"/>
        <v>1052373.16666667</v>
      </c>
      <c r="K9" s="488">
        <v>741465.02474999998</v>
      </c>
      <c r="L9" s="488">
        <f t="shared" si="1"/>
        <v>310908.14191666601</v>
      </c>
      <c r="M9" s="489">
        <v>180722.31466666699</v>
      </c>
      <c r="N9" s="489">
        <v>121027.951418667</v>
      </c>
      <c r="O9" s="490">
        <f t="shared" si="2"/>
        <v>59694.363248000001</v>
      </c>
      <c r="P9" s="12"/>
    </row>
    <row r="10" spans="1:16" ht="20.149999999999999" customHeight="1">
      <c r="A10" s="9">
        <v>4</v>
      </c>
      <c r="B10" s="10" t="s">
        <v>243</v>
      </c>
      <c r="C10" s="16" t="s">
        <v>244</v>
      </c>
      <c r="D10" s="9" t="s">
        <v>234</v>
      </c>
      <c r="E10" s="71">
        <v>762373.16666666698</v>
      </c>
      <c r="F10" s="71"/>
      <c r="G10" s="201">
        <v>180000</v>
      </c>
      <c r="H10" s="201"/>
      <c r="I10" s="71">
        <v>0</v>
      </c>
      <c r="J10" s="488">
        <f t="shared" si="0"/>
        <v>942373.16666666698</v>
      </c>
      <c r="K10" s="488">
        <v>631465.02474999998</v>
      </c>
      <c r="L10" s="488">
        <f t="shared" si="1"/>
        <v>310908.14191666699</v>
      </c>
      <c r="M10" s="489">
        <v>147687.52761066699</v>
      </c>
      <c r="N10" s="489">
        <v>99703.216202666707</v>
      </c>
      <c r="O10" s="490">
        <f t="shared" si="2"/>
        <v>47984.311408000001</v>
      </c>
      <c r="P10" s="12"/>
    </row>
    <row r="11" spans="1:16" ht="20.149999999999999" customHeight="1">
      <c r="A11" s="9">
        <v>5</v>
      </c>
      <c r="B11" s="13" t="s">
        <v>245</v>
      </c>
      <c r="C11" s="3" t="s">
        <v>530</v>
      </c>
      <c r="D11" s="9" t="s">
        <v>234</v>
      </c>
      <c r="E11" s="71">
        <v>762373.16666666698</v>
      </c>
      <c r="F11" s="71"/>
      <c r="G11" s="201"/>
      <c r="H11" s="201">
        <f>80000+10000</f>
        <v>90000</v>
      </c>
      <c r="I11" s="71">
        <v>150000</v>
      </c>
      <c r="J11" s="488">
        <f t="shared" si="0"/>
        <v>1002373.16666667</v>
      </c>
      <c r="K11" s="488">
        <v>691465.02474999998</v>
      </c>
      <c r="L11" s="488">
        <f t="shared" si="1"/>
        <v>310908.14191666699</v>
      </c>
      <c r="M11" s="489">
        <v>159207.52761066699</v>
      </c>
      <c r="N11" s="489">
        <v>111223.216202667</v>
      </c>
      <c r="O11" s="490">
        <f t="shared" si="2"/>
        <v>47984.311408000001</v>
      </c>
      <c r="P11" s="12"/>
    </row>
    <row r="12" spans="1:16" ht="20.149999999999999" customHeight="1">
      <c r="A12" s="9">
        <v>6</v>
      </c>
      <c r="B12" s="17" t="s">
        <v>232</v>
      </c>
      <c r="C12" s="9" t="s">
        <v>233</v>
      </c>
      <c r="D12" s="9" t="s">
        <v>234</v>
      </c>
      <c r="E12" s="71">
        <v>762373.16666666698</v>
      </c>
      <c r="F12" s="71"/>
      <c r="G12" s="201"/>
      <c r="H12" s="201">
        <f>90000</f>
        <v>90000</v>
      </c>
      <c r="I12" s="71">
        <v>100000</v>
      </c>
      <c r="J12" s="488">
        <f t="shared" si="0"/>
        <v>952373.16666666698</v>
      </c>
      <c r="K12" s="488">
        <v>641465.02474999998</v>
      </c>
      <c r="L12" s="488">
        <f t="shared" si="1"/>
        <v>310908.14191666699</v>
      </c>
      <c r="M12" s="489">
        <v>161522.31466666699</v>
      </c>
      <c r="N12" s="489">
        <v>101827.951418667</v>
      </c>
      <c r="O12" s="490">
        <f t="shared" si="2"/>
        <v>59694.363248000001</v>
      </c>
      <c r="P12" s="12"/>
    </row>
    <row r="13" spans="1:16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71">
        <v>620675.58333333302</v>
      </c>
      <c r="F13" s="71"/>
      <c r="G13" s="201"/>
      <c r="H13" s="201">
        <f t="shared" ref="H13:H124" si="3">80000</f>
        <v>80000</v>
      </c>
      <c r="I13" s="71">
        <v>50000</v>
      </c>
      <c r="J13" s="488">
        <f t="shared" si="0"/>
        <v>750675.58333333302</v>
      </c>
      <c r="K13" s="488">
        <v>497553.5025</v>
      </c>
      <c r="L13" s="488">
        <f t="shared" si="1"/>
        <v>253122.08083333299</v>
      </c>
      <c r="M13" s="489">
        <v>113101.965706667</v>
      </c>
      <c r="N13" s="489">
        <v>74036.103146666705</v>
      </c>
      <c r="O13" s="490">
        <f t="shared" si="2"/>
        <v>39065.862560000001</v>
      </c>
      <c r="P13" s="12"/>
    </row>
    <row r="14" spans="1:16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71">
        <v>582118.08333333302</v>
      </c>
      <c r="F14" s="71"/>
      <c r="G14" s="201">
        <v>160000</v>
      </c>
      <c r="H14" s="201"/>
      <c r="I14" s="71">
        <f>100000</f>
        <v>100000</v>
      </c>
      <c r="J14" s="488">
        <f t="shared" si="0"/>
        <v>842118.08333333302</v>
      </c>
      <c r="K14" s="488">
        <v>604729.22199999995</v>
      </c>
      <c r="L14" s="488">
        <f t="shared" si="1"/>
        <v>237388.86133333301</v>
      </c>
      <c r="M14" s="489">
        <v>131263.10967466701</v>
      </c>
      <c r="N14" s="489">
        <v>94625.782058666693</v>
      </c>
      <c r="O14" s="490">
        <f t="shared" si="2"/>
        <v>36637.327616000002</v>
      </c>
      <c r="P14" s="12"/>
    </row>
    <row r="15" spans="1:16" ht="20.149999999999999" customHeight="1">
      <c r="A15" s="9">
        <v>9</v>
      </c>
      <c r="B15" s="10" t="s">
        <v>252</v>
      </c>
      <c r="C15" s="3" t="s">
        <v>253</v>
      </c>
      <c r="D15" s="14" t="s">
        <v>254</v>
      </c>
      <c r="E15" s="71">
        <v>484373.75</v>
      </c>
      <c r="F15" s="71"/>
      <c r="G15" s="201"/>
      <c r="H15" s="201">
        <f t="shared" ref="H15" si="4">70000</f>
        <v>70000</v>
      </c>
      <c r="I15" s="71">
        <f>0</f>
        <v>0</v>
      </c>
      <c r="J15" s="488">
        <f t="shared" si="0"/>
        <v>554373.75</v>
      </c>
      <c r="K15" s="488">
        <v>343333.03525000002</v>
      </c>
      <c r="L15" s="488">
        <f t="shared" si="1"/>
        <v>211040.71475000001</v>
      </c>
      <c r="M15" s="489">
        <v>77666.445866666705</v>
      </c>
      <c r="N15" s="489">
        <v>44846.6165886667</v>
      </c>
      <c r="O15" s="490">
        <f t="shared" si="2"/>
        <v>32819.829277999997</v>
      </c>
      <c r="P15" s="12"/>
    </row>
    <row r="16" spans="1:16" ht="20.149999999999999" customHeight="1">
      <c r="A16" s="9">
        <v>10</v>
      </c>
      <c r="B16" s="13" t="s">
        <v>255</v>
      </c>
      <c r="C16" s="16" t="s">
        <v>256</v>
      </c>
      <c r="D16" s="14" t="s">
        <v>257</v>
      </c>
      <c r="E16" s="71">
        <v>470498</v>
      </c>
      <c r="F16" s="71"/>
      <c r="G16" s="201">
        <v>140000</v>
      </c>
      <c r="H16" s="201"/>
      <c r="I16" s="71">
        <v>50000</v>
      </c>
      <c r="J16" s="488">
        <f t="shared" si="0"/>
        <v>660498</v>
      </c>
      <c r="K16" s="488">
        <v>463333.03525000002</v>
      </c>
      <c r="L16" s="488">
        <f t="shared" si="1"/>
        <v>197164.96475000001</v>
      </c>
      <c r="M16" s="491">
        <v>98255.4333866667</v>
      </c>
      <c r="N16" s="489">
        <v>67626.609434666694</v>
      </c>
      <c r="O16" s="490">
        <f t="shared" si="2"/>
        <v>30628.823951999999</v>
      </c>
      <c r="P16" s="12"/>
    </row>
    <row r="17" spans="1:16" ht="20.149999999999999" customHeight="1">
      <c r="A17" s="9">
        <v>11</v>
      </c>
      <c r="B17" s="10" t="s">
        <v>258</v>
      </c>
      <c r="C17" s="3" t="s">
        <v>259</v>
      </c>
      <c r="D17" s="9" t="s">
        <v>260</v>
      </c>
      <c r="E17" s="71">
        <v>442746.5</v>
      </c>
      <c r="F17" s="71"/>
      <c r="G17" s="201">
        <f>140000</f>
        <v>140000</v>
      </c>
      <c r="H17" s="201"/>
      <c r="I17" s="71">
        <v>150000</v>
      </c>
      <c r="J17" s="488">
        <f t="shared" si="0"/>
        <v>732746.5</v>
      </c>
      <c r="K17" s="488">
        <v>547211.36750000005</v>
      </c>
      <c r="L17" s="488">
        <f t="shared" si="1"/>
        <v>185535.13250000001</v>
      </c>
      <c r="M17" s="489">
        <v>112553.408426667</v>
      </c>
      <c r="N17" s="489">
        <v>83731.249226666696</v>
      </c>
      <c r="O17" s="490">
        <f t="shared" si="2"/>
        <v>28822.159199999998</v>
      </c>
      <c r="P17" s="12"/>
    </row>
    <row r="18" spans="1:16" ht="20.149999999999999" customHeight="1">
      <c r="A18" s="9">
        <v>12</v>
      </c>
      <c r="B18" s="10" t="s">
        <v>261</v>
      </c>
      <c r="C18" s="3" t="s">
        <v>262</v>
      </c>
      <c r="D18" s="9" t="s">
        <v>263</v>
      </c>
      <c r="E18" s="71">
        <v>441804.91666666698</v>
      </c>
      <c r="F18" s="71"/>
      <c r="G18" s="201"/>
      <c r="H18" s="201">
        <v>70000</v>
      </c>
      <c r="I18" s="71"/>
      <c r="J18" s="488">
        <f t="shared" si="0"/>
        <v>511804.91666666698</v>
      </c>
      <c r="K18" s="488">
        <v>326663.07750000001</v>
      </c>
      <c r="L18" s="488">
        <f t="shared" si="1"/>
        <v>185141.83916666699</v>
      </c>
      <c r="M18" s="489">
        <v>70147.087146666701</v>
      </c>
      <c r="N18" s="489">
        <v>42046.063686666697</v>
      </c>
      <c r="O18" s="490">
        <f t="shared" si="2"/>
        <v>28101.02346</v>
      </c>
    </row>
    <row r="19" spans="1:16" ht="20.149999999999999" customHeight="1">
      <c r="A19" s="9">
        <v>13</v>
      </c>
      <c r="B19" s="10" t="s">
        <v>264</v>
      </c>
      <c r="C19" s="11" t="s">
        <v>265</v>
      </c>
      <c r="D19" s="14" t="s">
        <v>266</v>
      </c>
      <c r="E19" s="71">
        <v>428915.91666666698</v>
      </c>
      <c r="F19" s="71"/>
      <c r="G19" s="201">
        <f>120000</f>
        <v>120000</v>
      </c>
      <c r="H19" s="201"/>
      <c r="I19" s="71">
        <v>0</v>
      </c>
      <c r="J19" s="488">
        <f t="shared" si="0"/>
        <v>548915.91666666698</v>
      </c>
      <c r="K19" s="488">
        <v>369177.65375</v>
      </c>
      <c r="L19" s="488">
        <f t="shared" si="1"/>
        <v>179738.26291666701</v>
      </c>
      <c r="M19" s="489">
        <v>77470.374186666697</v>
      </c>
      <c r="N19" s="489">
        <v>49548.776186666699</v>
      </c>
      <c r="O19" s="490">
        <f t="shared" si="2"/>
        <v>27921.598000000002</v>
      </c>
      <c r="P19" s="12"/>
    </row>
    <row r="20" spans="1:16" ht="20.149999999999999" customHeight="1">
      <c r="A20" s="9">
        <v>14</v>
      </c>
      <c r="B20" s="17" t="s">
        <v>267</v>
      </c>
      <c r="C20" s="3" t="s">
        <v>531</v>
      </c>
      <c r="D20" s="14" t="s">
        <v>269</v>
      </c>
      <c r="E20" s="71">
        <v>416026.91666666698</v>
      </c>
      <c r="F20" s="71"/>
      <c r="G20" s="201">
        <f>120000</f>
        <v>120000</v>
      </c>
      <c r="H20" s="201"/>
      <c r="I20" s="71">
        <f>100000</f>
        <v>100000</v>
      </c>
      <c r="J20" s="488">
        <f t="shared" si="0"/>
        <v>636026.91666666698</v>
      </c>
      <c r="K20" s="488">
        <v>462001.06050000002</v>
      </c>
      <c r="L20" s="488">
        <f t="shared" si="1"/>
        <v>174025.85616666701</v>
      </c>
      <c r="M20" s="489">
        <v>94274.903466666699</v>
      </c>
      <c r="N20" s="489">
        <v>67370.870282666699</v>
      </c>
      <c r="O20" s="490">
        <f t="shared" si="2"/>
        <v>26904.033184</v>
      </c>
      <c r="P20" s="12"/>
    </row>
    <row r="21" spans="1:16" ht="18.75" customHeight="1">
      <c r="A21" s="9">
        <v>15</v>
      </c>
      <c r="B21" s="10" t="s">
        <v>270</v>
      </c>
      <c r="C21" s="11" t="s">
        <v>50</v>
      </c>
      <c r="D21" s="14" t="s">
        <v>271</v>
      </c>
      <c r="E21" s="71">
        <v>377895.16666666698</v>
      </c>
      <c r="F21" s="71"/>
      <c r="G21" s="201"/>
      <c r="H21" s="201">
        <f>60000</f>
        <v>60000</v>
      </c>
      <c r="I21" s="71">
        <v>100000</v>
      </c>
      <c r="J21" s="488">
        <f t="shared" si="0"/>
        <v>537895.16666666698</v>
      </c>
      <c r="K21" s="488">
        <v>384536.99849999999</v>
      </c>
      <c r="L21" s="488">
        <f t="shared" si="1"/>
        <v>153358.16816666699</v>
      </c>
      <c r="M21" s="489">
        <v>76138.068906666696</v>
      </c>
      <c r="N21" s="489">
        <v>52497.770378666602</v>
      </c>
      <c r="O21" s="490">
        <f t="shared" si="2"/>
        <v>23640.298527999999</v>
      </c>
      <c r="P21" s="12"/>
    </row>
    <row r="22" spans="1:16" ht="20.149999999999999" customHeight="1">
      <c r="A22" s="9">
        <v>16</v>
      </c>
      <c r="B22" s="13" t="s">
        <v>272</v>
      </c>
      <c r="C22" s="16" t="s">
        <v>532</v>
      </c>
      <c r="D22" s="9" t="s">
        <v>42</v>
      </c>
      <c r="E22" s="71">
        <v>353512.5</v>
      </c>
      <c r="F22" s="71"/>
      <c r="G22" s="201">
        <f t="shared" ref="G22" si="5">100000</f>
        <v>100000</v>
      </c>
      <c r="H22" s="201"/>
      <c r="I22" s="71">
        <v>100000</v>
      </c>
      <c r="J22" s="488">
        <f t="shared" si="0"/>
        <v>553512.5</v>
      </c>
      <c r="K22" s="488">
        <v>400372.07500000001</v>
      </c>
      <c r="L22" s="488">
        <f t="shared" si="1"/>
        <v>153140.42499999999</v>
      </c>
      <c r="M22" s="489">
        <v>79511.114666666705</v>
      </c>
      <c r="N22" s="489">
        <v>55538.1050666667</v>
      </c>
      <c r="O22" s="490">
        <f t="shared" si="2"/>
        <v>23973.009600000001</v>
      </c>
      <c r="P22" s="12"/>
    </row>
    <row r="23" spans="1:16" ht="21.65" customHeight="1">
      <c r="A23" s="9">
        <v>17</v>
      </c>
      <c r="B23" s="10" t="s">
        <v>274</v>
      </c>
      <c r="C23" s="16" t="s">
        <v>275</v>
      </c>
      <c r="D23" s="14" t="s">
        <v>42</v>
      </c>
      <c r="E23" s="71">
        <v>353512.5</v>
      </c>
      <c r="F23" s="71"/>
      <c r="G23" s="201">
        <v>110000</v>
      </c>
      <c r="H23" s="201"/>
      <c r="I23" s="71">
        <v>0</v>
      </c>
      <c r="J23" s="488">
        <f t="shared" si="0"/>
        <v>463512.5</v>
      </c>
      <c r="K23" s="488">
        <v>1015372.075</v>
      </c>
      <c r="L23" s="488">
        <f t="shared" si="1"/>
        <v>-551859.57499999995</v>
      </c>
      <c r="M23" s="489">
        <v>62231.114666666697</v>
      </c>
      <c r="N23" s="489">
        <v>40149.175266666702</v>
      </c>
      <c r="O23" s="490">
        <f t="shared" si="2"/>
        <v>22081.939399999999</v>
      </c>
      <c r="P23" s="12"/>
    </row>
    <row r="24" spans="1:16" ht="20.149999999999999" customHeight="1">
      <c r="A24" s="9">
        <v>18</v>
      </c>
      <c r="B24" s="13" t="s">
        <v>276</v>
      </c>
      <c r="C24" s="16" t="s">
        <v>277</v>
      </c>
      <c r="D24" s="9" t="s">
        <v>38</v>
      </c>
      <c r="E24" s="71">
        <v>293029.66666666698</v>
      </c>
      <c r="F24" s="71"/>
      <c r="G24" s="201"/>
      <c r="H24" s="201">
        <f>50000+10000</f>
        <v>60000</v>
      </c>
      <c r="I24" s="71">
        <v>100000</v>
      </c>
      <c r="J24" s="488">
        <f t="shared" si="0"/>
        <v>453029.66666666698</v>
      </c>
      <c r="K24" s="488">
        <v>328602.07775</v>
      </c>
      <c r="L24" s="488">
        <f t="shared" si="1"/>
        <v>124427.58891666699</v>
      </c>
      <c r="M24" s="489">
        <v>61147.426986666702</v>
      </c>
      <c r="N24" s="489">
        <v>42371.815728666697</v>
      </c>
      <c r="O24" s="490">
        <f t="shared" si="2"/>
        <v>18775.611258000001</v>
      </c>
      <c r="P24" s="12"/>
    </row>
    <row r="25" spans="1:16" ht="18.75" customHeight="1">
      <c r="A25" s="9">
        <v>19</v>
      </c>
      <c r="B25" s="3" t="s">
        <v>278</v>
      </c>
      <c r="C25" s="3" t="s">
        <v>176</v>
      </c>
      <c r="D25" s="9" t="s">
        <v>279</v>
      </c>
      <c r="E25" s="71">
        <v>270481.66666666698</v>
      </c>
      <c r="F25" s="71"/>
      <c r="G25" s="201"/>
      <c r="H25" s="201">
        <f>50000+10000</f>
        <v>60000</v>
      </c>
      <c r="I25" s="71"/>
      <c r="J25" s="488">
        <f t="shared" si="0"/>
        <v>330481.66666666698</v>
      </c>
      <c r="K25" s="488">
        <v>213508.01</v>
      </c>
      <c r="L25" s="488">
        <f t="shared" si="1"/>
        <v>116973.656666667</v>
      </c>
      <c r="M25" s="491">
        <v>39052.313066666698</v>
      </c>
      <c r="N25" s="489">
        <v>23036.012346666699</v>
      </c>
      <c r="O25" s="490">
        <f t="shared" si="2"/>
        <v>16016.300719999999</v>
      </c>
      <c r="P25" s="12"/>
    </row>
    <row r="26" spans="1:16" ht="18.75" customHeight="1">
      <c r="A26" s="9">
        <v>20</v>
      </c>
      <c r="B26" s="17" t="s">
        <v>280</v>
      </c>
      <c r="C26" s="11" t="s">
        <v>176</v>
      </c>
      <c r="D26" s="14" t="s">
        <v>279</v>
      </c>
      <c r="E26" s="71">
        <v>270481.66666666698</v>
      </c>
      <c r="F26" s="71"/>
      <c r="G26" s="201"/>
      <c r="H26" s="201">
        <f>50000+10000</f>
        <v>60000</v>
      </c>
      <c r="I26" s="71"/>
      <c r="J26" s="488">
        <f t="shared" si="0"/>
        <v>330481.66666666698</v>
      </c>
      <c r="K26" s="488">
        <v>213508.01</v>
      </c>
      <c r="L26" s="488">
        <f t="shared" si="1"/>
        <v>116973.656666667</v>
      </c>
      <c r="M26" s="489">
        <v>39052.313066666698</v>
      </c>
      <c r="N26" s="489">
        <v>23036.012346666699</v>
      </c>
      <c r="O26" s="490">
        <f t="shared" si="2"/>
        <v>16016.300719999999</v>
      </c>
      <c r="P26" s="12"/>
    </row>
    <row r="27" spans="1:16" ht="20.149999999999999" customHeight="1">
      <c r="A27" s="9">
        <v>21</v>
      </c>
      <c r="B27" s="10" t="s">
        <v>281</v>
      </c>
      <c r="C27" s="16" t="s">
        <v>273</v>
      </c>
      <c r="D27" s="9" t="s">
        <v>279</v>
      </c>
      <c r="E27" s="71">
        <v>270481.66666666698</v>
      </c>
      <c r="F27" s="71"/>
      <c r="G27" s="201">
        <f t="shared" ref="G27" si="6">100000</f>
        <v>100000</v>
      </c>
      <c r="H27" s="201"/>
      <c r="I27" s="71"/>
      <c r="J27" s="488">
        <f t="shared" si="0"/>
        <v>370481.66666666698</v>
      </c>
      <c r="K27" s="488">
        <v>253508.01</v>
      </c>
      <c r="L27" s="488">
        <f t="shared" si="1"/>
        <v>116973.656666667</v>
      </c>
      <c r="M27" s="489">
        <v>45772.313066666698</v>
      </c>
      <c r="N27" s="489">
        <v>29756.012346666699</v>
      </c>
      <c r="O27" s="490">
        <f t="shared" si="2"/>
        <v>16016.300719999999</v>
      </c>
      <c r="P27" s="12"/>
    </row>
    <row r="28" spans="1:16" ht="18.75" customHeight="1">
      <c r="A28" s="9">
        <v>22</v>
      </c>
      <c r="B28" s="17" t="s">
        <v>282</v>
      </c>
      <c r="C28" s="11" t="s">
        <v>28</v>
      </c>
      <c r="D28" s="14" t="s">
        <v>283</v>
      </c>
      <c r="E28" s="71">
        <v>263165.33333333302</v>
      </c>
      <c r="F28" s="71"/>
      <c r="G28" s="201"/>
      <c r="H28" s="201">
        <f>60000</f>
        <v>60000</v>
      </c>
      <c r="I28" s="3"/>
      <c r="J28" s="488">
        <f t="shared" si="0"/>
        <v>323165.33333333302</v>
      </c>
      <c r="K28" s="488">
        <v>209356.04725</v>
      </c>
      <c r="L28" s="488">
        <f t="shared" si="1"/>
        <v>113809.28608333301</v>
      </c>
      <c r="M28" s="489">
        <v>37921.500586666698</v>
      </c>
      <c r="N28" s="489">
        <v>22338.4826046667</v>
      </c>
      <c r="O28" s="490">
        <f t="shared" si="2"/>
        <v>15583.017981999999</v>
      </c>
      <c r="P28" s="12"/>
    </row>
    <row r="29" spans="1:16" ht="18.75" customHeight="1">
      <c r="A29" s="9">
        <v>23</v>
      </c>
      <c r="B29" s="17" t="s">
        <v>284</v>
      </c>
      <c r="C29" s="3" t="s">
        <v>285</v>
      </c>
      <c r="D29" s="9" t="s">
        <v>25</v>
      </c>
      <c r="E29" s="71">
        <v>255849</v>
      </c>
      <c r="F29" s="71"/>
      <c r="G29" s="201"/>
      <c r="H29" s="201">
        <f>60000</f>
        <v>60000</v>
      </c>
      <c r="I29" s="71"/>
      <c r="J29" s="488">
        <f t="shared" si="0"/>
        <v>315849</v>
      </c>
      <c r="K29" s="488">
        <v>205204.0845</v>
      </c>
      <c r="L29" s="488">
        <f t="shared" si="1"/>
        <v>110644.9155</v>
      </c>
      <c r="M29" s="489">
        <v>36790.688106666697</v>
      </c>
      <c r="N29" s="489">
        <v>21640.952862666702</v>
      </c>
      <c r="O29" s="490">
        <f t="shared" si="2"/>
        <v>15149.735244</v>
      </c>
      <c r="P29" s="12"/>
    </row>
    <row r="30" spans="1:16" ht="18.75" customHeight="1">
      <c r="A30" s="9">
        <v>24</v>
      </c>
      <c r="B30" s="17" t="s">
        <v>286</v>
      </c>
      <c r="C30" s="3" t="s">
        <v>285</v>
      </c>
      <c r="D30" s="9" t="s">
        <v>25</v>
      </c>
      <c r="E30" s="71">
        <v>255849</v>
      </c>
      <c r="F30" s="71"/>
      <c r="G30" s="201"/>
      <c r="H30" s="201">
        <f>60000</f>
        <v>60000</v>
      </c>
      <c r="I30" s="71"/>
      <c r="J30" s="488">
        <f t="shared" si="0"/>
        <v>315849</v>
      </c>
      <c r="K30" s="488">
        <v>205204.0845</v>
      </c>
      <c r="L30" s="488">
        <f t="shared" si="1"/>
        <v>110644.9155</v>
      </c>
      <c r="M30" s="489">
        <v>36790.688106666697</v>
      </c>
      <c r="N30" s="489">
        <v>21640.952862666702</v>
      </c>
      <c r="O30" s="490">
        <f t="shared" si="2"/>
        <v>15149.735244</v>
      </c>
      <c r="P30" s="12"/>
    </row>
    <row r="31" spans="1:16" ht="18.75" customHeight="1">
      <c r="A31" s="9">
        <v>25</v>
      </c>
      <c r="B31" s="17" t="s">
        <v>287</v>
      </c>
      <c r="C31" s="16" t="s">
        <v>288</v>
      </c>
      <c r="D31" s="14" t="s">
        <v>279</v>
      </c>
      <c r="E31" s="71">
        <v>270481.66666666698</v>
      </c>
      <c r="F31" s="71"/>
      <c r="G31" s="201"/>
      <c r="H31" s="201">
        <f>60000</f>
        <v>60000</v>
      </c>
      <c r="I31" s="71"/>
      <c r="J31" s="488">
        <f t="shared" si="0"/>
        <v>330481.66666666698</v>
      </c>
      <c r="K31" s="488">
        <v>209356.04725</v>
      </c>
      <c r="L31" s="488">
        <f t="shared" si="1"/>
        <v>121125.619416667</v>
      </c>
      <c r="M31" s="492">
        <v>39052.313066666698</v>
      </c>
      <c r="N31" s="492">
        <v>22338.4826046667</v>
      </c>
      <c r="O31" s="490">
        <f t="shared" si="2"/>
        <v>16713.830462000002</v>
      </c>
      <c r="P31" s="12"/>
    </row>
    <row r="32" spans="1:16" ht="18.75" customHeight="1">
      <c r="A32" s="9">
        <v>26</v>
      </c>
      <c r="B32" s="17" t="s">
        <v>289</v>
      </c>
      <c r="C32" s="3" t="s">
        <v>290</v>
      </c>
      <c r="D32" s="9" t="s">
        <v>291</v>
      </c>
      <c r="E32" s="71">
        <v>230631.91666666701</v>
      </c>
      <c r="F32" s="71"/>
      <c r="G32" s="201"/>
      <c r="H32" s="201">
        <f>50000</f>
        <v>50000</v>
      </c>
      <c r="I32" s="71"/>
      <c r="J32" s="488">
        <f t="shared" si="0"/>
        <v>280631.91666666698</v>
      </c>
      <c r="K32" s="488">
        <v>180304.068</v>
      </c>
      <c r="L32" s="488">
        <f t="shared" si="1"/>
        <v>100327.84866666701</v>
      </c>
      <c r="M32" s="489">
        <v>31213.135706666701</v>
      </c>
      <c r="N32" s="489">
        <v>17572.885002666699</v>
      </c>
      <c r="O32" s="490">
        <f t="shared" si="2"/>
        <v>13640.250704</v>
      </c>
      <c r="P32" s="12"/>
    </row>
    <row r="33" spans="1:16" ht="18.75" customHeight="1">
      <c r="A33" s="9">
        <v>27</v>
      </c>
      <c r="B33" s="17" t="s">
        <v>292</v>
      </c>
      <c r="C33" s="11" t="s">
        <v>293</v>
      </c>
      <c r="D33" s="14" t="s">
        <v>294</v>
      </c>
      <c r="E33" s="71">
        <v>224459.75</v>
      </c>
      <c r="F33" s="71"/>
      <c r="G33" s="201"/>
      <c r="H33" s="201">
        <v>50000</v>
      </c>
      <c r="I33" s="71"/>
      <c r="J33" s="488">
        <f t="shared" si="0"/>
        <v>274459.75</v>
      </c>
      <c r="K33" s="488">
        <v>173329.04949999999</v>
      </c>
      <c r="L33" s="488">
        <f t="shared" si="1"/>
        <v>101130.70050000001</v>
      </c>
      <c r="M33" s="489">
        <v>30259.165626666701</v>
      </c>
      <c r="N33" s="489">
        <v>16512.682190666699</v>
      </c>
      <c r="O33" s="490">
        <f t="shared" si="2"/>
        <v>13746.483436</v>
      </c>
      <c r="P33" s="12"/>
    </row>
    <row r="34" spans="1:16" ht="26.25" customHeight="1">
      <c r="A34" s="9"/>
      <c r="B34" s="19" t="s">
        <v>34</v>
      </c>
      <c r="C34" s="20">
        <v>27</v>
      </c>
      <c r="D34" s="14"/>
      <c r="E34" s="202">
        <f>SUM(E7:E33)</f>
        <v>13048608.166999999</v>
      </c>
      <c r="F34" s="202">
        <f t="shared" ref="F34:O34" si="7">SUM(F7:F33)</f>
        <v>0</v>
      </c>
      <c r="G34" s="202">
        <f t="shared" si="7"/>
        <v>1420000</v>
      </c>
      <c r="H34" s="202">
        <f t="shared" si="7"/>
        <v>1160000</v>
      </c>
      <c r="I34" s="202">
        <f t="shared" si="7"/>
        <v>1225235</v>
      </c>
      <c r="J34" s="202">
        <f t="shared" si="7"/>
        <v>16853843.166999999</v>
      </c>
      <c r="K34" s="202">
        <v>12012337.55525</v>
      </c>
      <c r="L34" s="202">
        <f t="shared" si="7"/>
        <v>4841505.6117500002</v>
      </c>
      <c r="M34" s="202">
        <f t="shared" si="7"/>
        <v>2519600.8415999999</v>
      </c>
      <c r="N34" s="202">
        <v>1629837.534828</v>
      </c>
      <c r="O34" s="202">
        <f t="shared" si="7"/>
        <v>889763.30677200004</v>
      </c>
      <c r="P34" s="12"/>
    </row>
    <row r="35" spans="1:16" ht="18.75" customHeight="1">
      <c r="A35" s="9"/>
      <c r="B35" s="21"/>
      <c r="C35" s="3"/>
      <c r="D35" s="14"/>
      <c r="E35" s="202"/>
      <c r="F35" s="202"/>
      <c r="G35" s="201"/>
      <c r="H35" s="201"/>
      <c r="I35" s="202"/>
      <c r="J35" s="493"/>
      <c r="K35" s="493"/>
      <c r="L35" s="493"/>
      <c r="M35" s="494"/>
      <c r="N35" s="494"/>
      <c r="O35" s="494"/>
      <c r="P35" s="12"/>
    </row>
    <row r="36" spans="1:16" ht="18.75" customHeight="1">
      <c r="A36" s="9"/>
      <c r="B36" s="19" t="s">
        <v>35</v>
      </c>
      <c r="C36" s="3"/>
      <c r="D36" s="14"/>
      <c r="E36" s="71"/>
      <c r="F36" s="71"/>
      <c r="G36" s="201"/>
      <c r="H36" s="201"/>
      <c r="I36" s="71"/>
      <c r="J36" s="488"/>
      <c r="K36" s="488"/>
      <c r="L36" s="488"/>
      <c r="M36" s="489"/>
      <c r="N36" s="489"/>
      <c r="O36" s="489"/>
      <c r="P36" s="12"/>
    </row>
    <row r="37" spans="1:16" ht="18.75" customHeight="1">
      <c r="A37" s="9">
        <v>1</v>
      </c>
      <c r="B37" s="17" t="s">
        <v>295</v>
      </c>
      <c r="C37" s="3" t="s">
        <v>296</v>
      </c>
      <c r="D37" s="9" t="s">
        <v>297</v>
      </c>
      <c r="E37" s="71">
        <v>1435720</v>
      </c>
      <c r="F37" s="71"/>
      <c r="G37" s="201"/>
      <c r="H37" s="201">
        <f>100000</f>
        <v>100000</v>
      </c>
      <c r="I37" s="71"/>
      <c r="J37" s="488">
        <f>E37+F37+G37+H37+I37</f>
        <v>1535720</v>
      </c>
      <c r="K37" s="488">
        <v>950209.06350000005</v>
      </c>
      <c r="L37" s="488">
        <f>J37-K37</f>
        <v>585510.93649999995</v>
      </c>
      <c r="M37" s="490">
        <v>251472.247466667</v>
      </c>
      <c r="N37" s="489">
        <v>161106.806858667</v>
      </c>
      <c r="O37" s="490">
        <f>M37-N37</f>
        <v>90365.440607999903</v>
      </c>
      <c r="P37" s="12"/>
    </row>
    <row r="38" spans="1:16" ht="18.75" customHeight="1">
      <c r="A38" s="9">
        <v>2</v>
      </c>
      <c r="B38" s="17" t="s">
        <v>298</v>
      </c>
      <c r="C38" s="3" t="s">
        <v>533</v>
      </c>
      <c r="D38" s="9" t="s">
        <v>38</v>
      </c>
      <c r="E38" s="71">
        <v>293029.66666666698</v>
      </c>
      <c r="F38" s="71"/>
      <c r="G38" s="201"/>
      <c r="H38" s="201">
        <f>60000</f>
        <v>60000</v>
      </c>
      <c r="I38" s="71"/>
      <c r="J38" s="488">
        <f t="shared" ref="J38:J39" si="8">E38+F38+G38+H38+I38</f>
        <v>353029.66666666698</v>
      </c>
      <c r="K38" s="488">
        <v>176816.1</v>
      </c>
      <c r="L38" s="488">
        <f t="shared" ref="L38:L39" si="9">J38-K38</f>
        <v>176213.566666667</v>
      </c>
      <c r="M38" s="490">
        <v>42537.331946666702</v>
      </c>
      <c r="N38" s="489">
        <v>17042.713866666702</v>
      </c>
      <c r="O38" s="490">
        <f>M38-N38</f>
        <v>25494.61808</v>
      </c>
      <c r="P38" s="12"/>
    </row>
    <row r="39" spans="1:16" ht="18.75" customHeight="1">
      <c r="A39" s="9">
        <v>3</v>
      </c>
      <c r="B39" s="10" t="s">
        <v>300</v>
      </c>
      <c r="C39" s="11" t="s">
        <v>534</v>
      </c>
      <c r="D39" s="14" t="s">
        <v>301</v>
      </c>
      <c r="E39" s="71">
        <v>300965.58333333302</v>
      </c>
      <c r="F39" s="71"/>
      <c r="G39" s="201"/>
      <c r="H39" s="201">
        <f>50000+10000</f>
        <v>60000</v>
      </c>
      <c r="I39" s="71"/>
      <c r="J39" s="488">
        <f t="shared" si="8"/>
        <v>360965.58333333302</v>
      </c>
      <c r="K39" s="488">
        <v>233169.11749999999</v>
      </c>
      <c r="L39" s="488">
        <f t="shared" si="9"/>
        <v>127796.465833333</v>
      </c>
      <c r="M39" s="490">
        <v>43763.907226666699</v>
      </c>
      <c r="N39" s="489">
        <v>26339.0784066667</v>
      </c>
      <c r="O39" s="490">
        <f>M39-N39</f>
        <v>17424.828819999999</v>
      </c>
      <c r="P39" s="12"/>
    </row>
    <row r="40" spans="1:16" ht="19.5" customHeight="1">
      <c r="A40" s="9"/>
      <c r="B40" s="13"/>
      <c r="C40" s="20">
        <v>3</v>
      </c>
      <c r="D40" s="9"/>
      <c r="E40" s="202">
        <f>SUM(E37:E39)</f>
        <v>2029715.25</v>
      </c>
      <c r="F40" s="202">
        <f t="shared" ref="F40:O40" si="10">SUM(F37:F39)</f>
        <v>0</v>
      </c>
      <c r="G40" s="202">
        <f t="shared" si="10"/>
        <v>0</v>
      </c>
      <c r="H40" s="202">
        <f t="shared" si="10"/>
        <v>220000</v>
      </c>
      <c r="I40" s="202">
        <f t="shared" si="10"/>
        <v>0</v>
      </c>
      <c r="J40" s="202">
        <f t="shared" si="10"/>
        <v>2249715.25</v>
      </c>
      <c r="K40" s="202">
        <v>1360194.281</v>
      </c>
      <c r="L40" s="202">
        <f t="shared" si="10"/>
        <v>889520.96900000004</v>
      </c>
      <c r="M40" s="202">
        <f t="shared" si="10"/>
        <v>337773.48664000002</v>
      </c>
      <c r="N40" s="202">
        <v>204488.599132</v>
      </c>
      <c r="O40" s="202">
        <f t="shared" si="10"/>
        <v>133284.88750800001</v>
      </c>
      <c r="P40" s="12"/>
    </row>
    <row r="41" spans="1:16" ht="20.149999999999999" customHeight="1">
      <c r="A41" s="9"/>
      <c r="B41" s="13"/>
      <c r="C41" s="3"/>
      <c r="D41" s="9"/>
      <c r="E41" s="202"/>
      <c r="F41" s="202"/>
      <c r="G41" s="201"/>
      <c r="H41" s="201"/>
      <c r="I41" s="202"/>
      <c r="J41" s="493"/>
      <c r="K41" s="493"/>
      <c r="L41" s="493"/>
      <c r="M41" s="494"/>
      <c r="N41" s="494"/>
      <c r="O41" s="494"/>
      <c r="P41" s="12"/>
    </row>
    <row r="42" spans="1:16" ht="20.149999999999999" customHeight="1">
      <c r="A42" s="9"/>
      <c r="B42" s="22" t="s">
        <v>39</v>
      </c>
      <c r="C42" s="4"/>
      <c r="D42" s="23"/>
      <c r="E42" s="202"/>
      <c r="F42" s="202"/>
      <c r="G42" s="201"/>
      <c r="H42" s="201"/>
      <c r="I42" s="71"/>
      <c r="J42" s="488"/>
      <c r="K42" s="488"/>
      <c r="L42" s="488"/>
      <c r="M42" s="489"/>
      <c r="N42" s="489"/>
      <c r="O42" s="489"/>
      <c r="P42" s="12"/>
    </row>
    <row r="43" spans="1:16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71">
        <v>1435720</v>
      </c>
      <c r="F43" s="71"/>
      <c r="G43" s="201">
        <f>200000</f>
        <v>200000</v>
      </c>
      <c r="H43" s="201"/>
      <c r="I43" s="71"/>
      <c r="J43" s="488">
        <f>E43+F43+G43+H43+I43</f>
        <v>1635720</v>
      </c>
      <c r="K43" s="488">
        <v>1050209.0634999999</v>
      </c>
      <c r="L43" s="488">
        <f>J43-K43</f>
        <v>585510.93649999995</v>
      </c>
      <c r="M43" s="490">
        <v>270672.24746666697</v>
      </c>
      <c r="N43" s="489">
        <v>180306.806858667</v>
      </c>
      <c r="O43" s="490">
        <f t="shared" ref="O43:O53" si="11">M43-N43</f>
        <v>90365.440607999903</v>
      </c>
      <c r="P43" s="12"/>
    </row>
    <row r="44" spans="1:16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71">
        <v>620675.58333333302</v>
      </c>
      <c r="F44" s="71"/>
      <c r="G44" s="201">
        <f>160000</f>
        <v>160000</v>
      </c>
      <c r="H44" s="201"/>
      <c r="I44" s="71">
        <v>0</v>
      </c>
      <c r="J44" s="488">
        <f t="shared" ref="J44:J53" si="12">E44+F44+G44+H44+I44</f>
        <v>780675.58333333302</v>
      </c>
      <c r="K44" s="488">
        <v>527553.50249999994</v>
      </c>
      <c r="L44" s="488">
        <f t="shared" ref="L44:L53" si="13">J44-K44</f>
        <v>253122.08083333299</v>
      </c>
      <c r="M44" s="490">
        <v>119022.801706667</v>
      </c>
      <c r="N44" s="489">
        <v>79956.9391466667</v>
      </c>
      <c r="O44" s="490">
        <f t="shared" si="11"/>
        <v>39065.862560000001</v>
      </c>
      <c r="P44" s="12"/>
    </row>
    <row r="45" spans="1:16" ht="20.149999999999999" customHeight="1">
      <c r="A45" s="9">
        <v>3</v>
      </c>
      <c r="B45" s="10" t="s">
        <v>306</v>
      </c>
      <c r="C45" s="3" t="s">
        <v>307</v>
      </c>
      <c r="D45" s="9" t="s">
        <v>308</v>
      </c>
      <c r="E45" s="71">
        <v>739203.58333333302</v>
      </c>
      <c r="F45" s="71"/>
      <c r="G45" s="201">
        <f>180000</f>
        <v>180000</v>
      </c>
      <c r="H45" s="201"/>
      <c r="I45" s="71"/>
      <c r="J45" s="488">
        <f t="shared" si="12"/>
        <v>919203.58333333302</v>
      </c>
      <c r="K45" s="488">
        <v>617743.99575</v>
      </c>
      <c r="L45" s="488">
        <f t="shared" si="13"/>
        <v>301459.58758333302</v>
      </c>
      <c r="M45" s="490">
        <v>143799.58762666699</v>
      </c>
      <c r="N45" s="489">
        <v>97273.513850666699</v>
      </c>
      <c r="O45" s="490">
        <f t="shared" si="11"/>
        <v>46526.073775999997</v>
      </c>
      <c r="P45" s="12"/>
    </row>
    <row r="46" spans="1:16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71">
        <v>620675.58333333302</v>
      </c>
      <c r="F46" s="71"/>
      <c r="G46" s="201">
        <f>160000</f>
        <v>160000</v>
      </c>
      <c r="H46" s="201"/>
      <c r="I46" s="71"/>
      <c r="J46" s="488">
        <f t="shared" si="12"/>
        <v>780675.58333333302</v>
      </c>
      <c r="K46" s="488">
        <v>527553.50249999994</v>
      </c>
      <c r="L46" s="488">
        <f t="shared" si="13"/>
        <v>253122.08083333299</v>
      </c>
      <c r="M46" s="490">
        <v>119022.801706667</v>
      </c>
      <c r="N46" s="489">
        <v>79956.9391466667</v>
      </c>
      <c r="O46" s="490">
        <f t="shared" si="11"/>
        <v>39065.862560000001</v>
      </c>
      <c r="P46" s="12"/>
    </row>
    <row r="47" spans="1:16" ht="20.149999999999999" customHeight="1">
      <c r="A47" s="9">
        <v>5</v>
      </c>
      <c r="B47" s="10" t="s">
        <v>311</v>
      </c>
      <c r="C47" s="3" t="s">
        <v>310</v>
      </c>
      <c r="D47" s="9" t="s">
        <v>249</v>
      </c>
      <c r="E47" s="71">
        <v>620675.58333333302</v>
      </c>
      <c r="F47" s="71"/>
      <c r="G47" s="201">
        <f>140000+20000</f>
        <v>160000</v>
      </c>
      <c r="H47" s="201"/>
      <c r="I47" s="71">
        <v>0</v>
      </c>
      <c r="J47" s="488">
        <f t="shared" si="12"/>
        <v>780675.58333333302</v>
      </c>
      <c r="K47" s="488">
        <v>527553.50249999994</v>
      </c>
      <c r="L47" s="488">
        <f t="shared" si="13"/>
        <v>253122.08083333299</v>
      </c>
      <c r="M47" s="490">
        <v>118861.965706667</v>
      </c>
      <c r="N47" s="489">
        <v>79796.103146666603</v>
      </c>
      <c r="O47" s="490">
        <f t="shared" si="11"/>
        <v>39065.862560000001</v>
      </c>
      <c r="P47" s="12"/>
    </row>
    <row r="48" spans="1:16" ht="20.149999999999999" customHeight="1">
      <c r="A48" s="9">
        <v>6</v>
      </c>
      <c r="B48" s="10" t="s">
        <v>312</v>
      </c>
      <c r="C48" s="3" t="s">
        <v>310</v>
      </c>
      <c r="D48" s="9" t="s">
        <v>228</v>
      </c>
      <c r="E48" s="71">
        <v>582118.08333333302</v>
      </c>
      <c r="F48" s="71"/>
      <c r="G48" s="201">
        <f>140000+20000</f>
        <v>160000</v>
      </c>
      <c r="H48" s="201"/>
      <c r="I48" s="71"/>
      <c r="J48" s="488">
        <f t="shared" si="12"/>
        <v>742118.08333333302</v>
      </c>
      <c r="K48" s="488">
        <v>504720.04700000002</v>
      </c>
      <c r="L48" s="488">
        <f t="shared" si="13"/>
        <v>237398.036333333</v>
      </c>
      <c r="M48" s="490">
        <v>112212.004906667</v>
      </c>
      <c r="N48" s="489">
        <v>75572.915690666705</v>
      </c>
      <c r="O48" s="490">
        <f t="shared" si="11"/>
        <v>36639.089216</v>
      </c>
      <c r="P48" s="12"/>
    </row>
    <row r="49" spans="1:16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71">
        <v>470498</v>
      </c>
      <c r="F49" s="71"/>
      <c r="G49" s="201">
        <f>140000</f>
        <v>140000</v>
      </c>
      <c r="H49" s="201"/>
      <c r="I49" s="71"/>
      <c r="J49" s="488">
        <f t="shared" si="12"/>
        <v>610498</v>
      </c>
      <c r="K49" s="488">
        <v>413333.03525000002</v>
      </c>
      <c r="L49" s="488">
        <f t="shared" si="13"/>
        <v>197164.96475000001</v>
      </c>
      <c r="M49" s="490">
        <v>88655.4333866667</v>
      </c>
      <c r="N49" s="489">
        <v>58026.609434666701</v>
      </c>
      <c r="O49" s="490">
        <f t="shared" si="11"/>
        <v>30628.823951999999</v>
      </c>
      <c r="P49" s="12"/>
    </row>
    <row r="50" spans="1:16" ht="20.149999999999999" customHeight="1">
      <c r="A50" s="9">
        <v>8</v>
      </c>
      <c r="B50" s="10" t="s">
        <v>314</v>
      </c>
      <c r="C50" s="3" t="s">
        <v>63</v>
      </c>
      <c r="D50" s="9" t="s">
        <v>301</v>
      </c>
      <c r="E50" s="71">
        <v>300965.58333333302</v>
      </c>
      <c r="F50" s="71"/>
      <c r="G50" s="201">
        <v>100000</v>
      </c>
      <c r="H50" s="201"/>
      <c r="I50" s="71"/>
      <c r="J50" s="488">
        <f t="shared" si="12"/>
        <v>400965.58333333302</v>
      </c>
      <c r="K50" s="488">
        <v>273169.11749999999</v>
      </c>
      <c r="L50" s="488">
        <f t="shared" si="13"/>
        <v>127796.465833333</v>
      </c>
      <c r="M50" s="490">
        <v>51029.227306666697</v>
      </c>
      <c r="N50" s="489">
        <v>33059.078406666697</v>
      </c>
      <c r="O50" s="490">
        <f t="shared" si="11"/>
        <v>17970.1489</v>
      </c>
      <c r="P50" s="12"/>
    </row>
    <row r="51" spans="1:16" ht="20.149999999999999" customHeight="1">
      <c r="A51" s="9">
        <v>9</v>
      </c>
      <c r="B51" s="10" t="s">
        <v>315</v>
      </c>
      <c r="C51" s="3" t="s">
        <v>63</v>
      </c>
      <c r="D51" s="9" t="s">
        <v>283</v>
      </c>
      <c r="E51" s="71">
        <v>263165.33333333302</v>
      </c>
      <c r="F51" s="71"/>
      <c r="G51" s="201">
        <f>100000</f>
        <v>100000</v>
      </c>
      <c r="H51" s="201"/>
      <c r="I51" s="71"/>
      <c r="J51" s="488">
        <f t="shared" si="12"/>
        <v>363165.33333333302</v>
      </c>
      <c r="K51" s="488">
        <v>249356.04725</v>
      </c>
      <c r="L51" s="488">
        <f t="shared" si="13"/>
        <v>113809.28608333301</v>
      </c>
      <c r="M51" s="490">
        <v>44641.500586666698</v>
      </c>
      <c r="N51" s="489">
        <v>29058.4826046667</v>
      </c>
      <c r="O51" s="490">
        <f t="shared" si="11"/>
        <v>15583.017981999999</v>
      </c>
      <c r="P51" s="12"/>
    </row>
    <row r="52" spans="1:16" ht="20.149999999999999" customHeight="1">
      <c r="A52" s="9">
        <v>10</v>
      </c>
      <c r="B52" s="10" t="s">
        <v>316</v>
      </c>
      <c r="C52" s="3" t="s">
        <v>63</v>
      </c>
      <c r="D52" s="9" t="s">
        <v>283</v>
      </c>
      <c r="E52" s="71">
        <v>263165.33333333302</v>
      </c>
      <c r="F52" s="71"/>
      <c r="G52" s="201">
        <f>100000</f>
        <v>100000</v>
      </c>
      <c r="H52" s="201"/>
      <c r="I52" s="71"/>
      <c r="J52" s="488">
        <f t="shared" si="12"/>
        <v>363165.33333333302</v>
      </c>
      <c r="K52" s="488">
        <v>249356.04725</v>
      </c>
      <c r="L52" s="488">
        <f t="shared" si="13"/>
        <v>113809.28608333301</v>
      </c>
      <c r="M52" s="490">
        <v>44641.500586666698</v>
      </c>
      <c r="N52" s="489">
        <v>28360.952862666702</v>
      </c>
      <c r="O52" s="490">
        <f t="shared" si="11"/>
        <v>16280.547724</v>
      </c>
      <c r="P52" s="12"/>
    </row>
    <row r="53" spans="1:16" ht="20.149999999999999" customHeight="1">
      <c r="A53" s="9">
        <v>11</v>
      </c>
      <c r="B53" s="10" t="s">
        <v>317</v>
      </c>
      <c r="C53" s="3" t="s">
        <v>63</v>
      </c>
      <c r="D53" s="9" t="s">
        <v>283</v>
      </c>
      <c r="E53" s="71">
        <v>263165.33333333302</v>
      </c>
      <c r="F53" s="71"/>
      <c r="G53" s="201">
        <f>100000</f>
        <v>100000</v>
      </c>
      <c r="H53" s="201"/>
      <c r="I53" s="71"/>
      <c r="J53" s="488">
        <f t="shared" si="12"/>
        <v>363165.33333333302</v>
      </c>
      <c r="K53" s="488">
        <v>249356.04725</v>
      </c>
      <c r="L53" s="488">
        <f t="shared" si="13"/>
        <v>113809.28608333301</v>
      </c>
      <c r="M53" s="490">
        <v>44641.500586666698</v>
      </c>
      <c r="N53" s="489">
        <v>29058.4826046667</v>
      </c>
      <c r="O53" s="490">
        <f t="shared" si="11"/>
        <v>15583.017981999999</v>
      </c>
      <c r="P53" s="12"/>
    </row>
    <row r="54" spans="1:16" ht="25.5" customHeight="1">
      <c r="A54" s="9"/>
      <c r="B54" s="19" t="s">
        <v>34</v>
      </c>
      <c r="C54" s="20">
        <v>11</v>
      </c>
      <c r="D54" s="20"/>
      <c r="E54" s="79">
        <f>SUM(E43:E53)</f>
        <v>6180028</v>
      </c>
      <c r="F54" s="79">
        <f t="shared" ref="F54:O54" si="14">SUM(F43:F53)</f>
        <v>0</v>
      </c>
      <c r="G54" s="79">
        <f t="shared" si="14"/>
        <v>1560000</v>
      </c>
      <c r="H54" s="79">
        <f t="shared" si="14"/>
        <v>0</v>
      </c>
      <c r="I54" s="79">
        <f t="shared" si="14"/>
        <v>0</v>
      </c>
      <c r="J54" s="79">
        <f t="shared" si="14"/>
        <v>7740028</v>
      </c>
      <c r="K54" s="79">
        <v>5189903.9082500003</v>
      </c>
      <c r="L54" s="79">
        <f t="shared" si="14"/>
        <v>2550124.0917500001</v>
      </c>
      <c r="M54" s="79">
        <f t="shared" si="14"/>
        <v>1157200.5715733301</v>
      </c>
      <c r="N54" s="79">
        <v>770426.82375333295</v>
      </c>
      <c r="O54" s="79">
        <f t="shared" si="14"/>
        <v>386773.74781999999</v>
      </c>
      <c r="P54" s="12"/>
    </row>
    <row r="55" spans="1:16" ht="20.149999999999999" customHeight="1">
      <c r="A55" s="9"/>
      <c r="B55" s="21"/>
      <c r="C55" s="20"/>
      <c r="D55" s="20"/>
      <c r="E55" s="133"/>
      <c r="F55" s="133"/>
      <c r="G55" s="201"/>
      <c r="H55" s="201"/>
      <c r="I55" s="133"/>
      <c r="J55" s="495"/>
      <c r="K55" s="495"/>
      <c r="L55" s="495"/>
      <c r="M55" s="496"/>
      <c r="N55" s="496"/>
      <c r="O55" s="496"/>
      <c r="P55" s="12"/>
    </row>
    <row r="56" spans="1:16" ht="20.149999999999999" customHeight="1">
      <c r="A56" s="9"/>
      <c r="B56" s="19" t="s">
        <v>318</v>
      </c>
      <c r="C56" s="20"/>
      <c r="D56" s="20"/>
      <c r="E56" s="133"/>
      <c r="F56" s="133"/>
      <c r="G56" s="201"/>
      <c r="H56" s="201"/>
      <c r="I56" s="133"/>
      <c r="J56" s="495"/>
      <c r="K56" s="495"/>
      <c r="L56" s="495"/>
      <c r="M56" s="496"/>
      <c r="N56" s="496"/>
      <c r="O56" s="496"/>
      <c r="P56" s="12"/>
    </row>
    <row r="57" spans="1:16" ht="20.149999999999999" customHeight="1">
      <c r="A57" s="9">
        <v>1</v>
      </c>
      <c r="B57" s="10" t="s">
        <v>319</v>
      </c>
      <c r="C57" s="11" t="s">
        <v>320</v>
      </c>
      <c r="D57" s="14" t="s">
        <v>297</v>
      </c>
      <c r="E57" s="71">
        <v>1435720</v>
      </c>
      <c r="F57" s="71"/>
      <c r="G57" s="201">
        <f>200000</f>
        <v>200000</v>
      </c>
      <c r="H57" s="201"/>
      <c r="I57" s="71">
        <v>0</v>
      </c>
      <c r="J57" s="488">
        <f>E57+F57+G57+H57+I57</f>
        <v>1635720</v>
      </c>
      <c r="K57" s="488">
        <v>1050209.0634999999</v>
      </c>
      <c r="L57" s="488">
        <f>J57-K57</f>
        <v>585510.93649999995</v>
      </c>
      <c r="M57" s="490">
        <v>270672.24746666697</v>
      </c>
      <c r="N57" s="491">
        <v>180306.806858667</v>
      </c>
      <c r="O57" s="490">
        <f>M57-N57</f>
        <v>90365.440607999903</v>
      </c>
      <c r="P57" s="12"/>
    </row>
    <row r="58" spans="1:16" ht="20.149999999999999" customHeight="1">
      <c r="A58" s="9">
        <v>2</v>
      </c>
      <c r="B58" s="10" t="s">
        <v>321</v>
      </c>
      <c r="C58" s="11" t="s">
        <v>322</v>
      </c>
      <c r="D58" s="14" t="s">
        <v>225</v>
      </c>
      <c r="E58" s="71">
        <v>620675.58333333302</v>
      </c>
      <c r="F58" s="71"/>
      <c r="G58" s="201"/>
      <c r="H58" s="201">
        <v>80000</v>
      </c>
      <c r="I58" s="71"/>
      <c r="J58" s="488">
        <f>E58+F58+G58+H58+I58</f>
        <v>700675.58333333302</v>
      </c>
      <c r="K58" s="488">
        <v>447553.5025</v>
      </c>
      <c r="L58" s="488">
        <f>J58-K58</f>
        <v>253122.08083333299</v>
      </c>
      <c r="M58" s="490">
        <v>103662.801706667</v>
      </c>
      <c r="N58" s="491">
        <v>64596.9391466667</v>
      </c>
      <c r="O58" s="490">
        <f>M58-N58</f>
        <v>39065.862560000001</v>
      </c>
      <c r="P58" s="12"/>
    </row>
    <row r="59" spans="1:16" ht="20.149999999999999" customHeight="1">
      <c r="A59" s="9"/>
      <c r="B59" s="19" t="s">
        <v>34</v>
      </c>
      <c r="C59" s="20">
        <v>2</v>
      </c>
      <c r="D59" s="20"/>
      <c r="E59" s="79">
        <f>SUM(E57:E58)</f>
        <v>2056395.58333333</v>
      </c>
      <c r="F59" s="79">
        <f t="shared" ref="F59:O59" si="15">SUM(F57:F58)</f>
        <v>0</v>
      </c>
      <c r="G59" s="79">
        <f t="shared" si="15"/>
        <v>200000</v>
      </c>
      <c r="H59" s="79">
        <f t="shared" si="15"/>
        <v>80000</v>
      </c>
      <c r="I59" s="79">
        <f t="shared" si="15"/>
        <v>0</v>
      </c>
      <c r="J59" s="79">
        <f t="shared" si="15"/>
        <v>2336395.5833333302</v>
      </c>
      <c r="K59" s="79">
        <v>1497762.5660000001</v>
      </c>
      <c r="L59" s="79">
        <f t="shared" si="15"/>
        <v>838633.01733333303</v>
      </c>
      <c r="M59" s="79">
        <f t="shared" si="15"/>
        <v>374335.04917333298</v>
      </c>
      <c r="N59" s="79">
        <v>244903.746005333</v>
      </c>
      <c r="O59" s="79">
        <f t="shared" si="15"/>
        <v>129431.303168</v>
      </c>
      <c r="P59" s="12"/>
    </row>
    <row r="60" spans="1:16" ht="20.149999999999999" customHeight="1">
      <c r="A60" s="9"/>
      <c r="B60" s="19"/>
      <c r="C60" s="20"/>
      <c r="D60" s="20"/>
      <c r="E60" s="133"/>
      <c r="F60" s="133"/>
      <c r="G60" s="201"/>
      <c r="H60" s="201"/>
      <c r="I60" s="133"/>
      <c r="J60" s="495"/>
      <c r="K60" s="495"/>
      <c r="L60" s="495"/>
      <c r="M60" s="496"/>
      <c r="N60" s="496"/>
      <c r="O60" s="496"/>
      <c r="P60" s="12"/>
    </row>
    <row r="61" spans="1:16" ht="20.149999999999999" customHeight="1">
      <c r="A61" s="9"/>
      <c r="B61" s="19" t="s">
        <v>45</v>
      </c>
      <c r="C61" s="20"/>
      <c r="D61" s="20"/>
      <c r="E61" s="133"/>
      <c r="F61" s="133"/>
      <c r="G61" s="201"/>
      <c r="H61" s="201"/>
      <c r="I61" s="133"/>
      <c r="J61" s="495"/>
      <c r="K61" s="495"/>
      <c r="L61" s="495"/>
      <c r="M61" s="496"/>
      <c r="N61" s="496"/>
      <c r="O61" s="496"/>
      <c r="P61" s="12"/>
    </row>
    <row r="62" spans="1:16" ht="20.149999999999999" customHeight="1">
      <c r="A62" s="9">
        <v>1</v>
      </c>
      <c r="B62" s="10" t="s">
        <v>323</v>
      </c>
      <c r="C62" s="16" t="s">
        <v>324</v>
      </c>
      <c r="D62" s="9" t="s">
        <v>297</v>
      </c>
      <c r="E62" s="71">
        <v>1435720</v>
      </c>
      <c r="F62" s="71"/>
      <c r="G62" s="201">
        <f>200000</f>
        <v>200000</v>
      </c>
      <c r="H62" s="201"/>
      <c r="I62" s="71">
        <v>0</v>
      </c>
      <c r="J62" s="488">
        <f>E62+F62+G62+H62+I62</f>
        <v>1635720</v>
      </c>
      <c r="K62" s="488">
        <v>1050209.0634999999</v>
      </c>
      <c r="L62" s="488">
        <f>J62-K62</f>
        <v>585510.93649999995</v>
      </c>
      <c r="M62" s="490">
        <v>292724.90666666703</v>
      </c>
      <c r="N62" s="489">
        <v>180306.806858667</v>
      </c>
      <c r="O62" s="490">
        <f t="shared" ref="O62:O71" si="16">M62-N62</f>
        <v>112418.099808</v>
      </c>
      <c r="P62" s="12"/>
    </row>
    <row r="63" spans="1:16" ht="20.149999999999999" customHeight="1">
      <c r="A63" s="9">
        <v>2</v>
      </c>
      <c r="B63" s="328" t="s">
        <v>325</v>
      </c>
      <c r="C63" s="16" t="s">
        <v>326</v>
      </c>
      <c r="D63" s="14" t="s">
        <v>327</v>
      </c>
      <c r="E63" s="71">
        <v>601396.83333333302</v>
      </c>
      <c r="F63" s="71"/>
      <c r="G63" s="201">
        <f>160000</f>
        <v>160000</v>
      </c>
      <c r="H63" s="201"/>
      <c r="I63" s="133">
        <v>0</v>
      </c>
      <c r="J63" s="488">
        <f t="shared" ref="J63:J71" si="17">E63+F63+G63+H63+I63</f>
        <v>761396.83333333302</v>
      </c>
      <c r="K63" s="488">
        <v>516137.05</v>
      </c>
      <c r="L63" s="488">
        <f t="shared" ref="L63:L71" si="18">J63-K63</f>
        <v>245259.78333333301</v>
      </c>
      <c r="M63" s="490">
        <v>115617.40330666699</v>
      </c>
      <c r="N63" s="489">
        <v>77764.980266666695</v>
      </c>
      <c r="O63" s="490">
        <f t="shared" si="16"/>
        <v>37852.423040000001</v>
      </c>
      <c r="P63" s="12"/>
    </row>
    <row r="64" spans="1:16" ht="20.149999999999999" customHeight="1">
      <c r="A64" s="9">
        <v>3</v>
      </c>
      <c r="B64" s="10" t="s">
        <v>328</v>
      </c>
      <c r="C64" s="3" t="s">
        <v>256</v>
      </c>
      <c r="D64" s="9" t="s">
        <v>260</v>
      </c>
      <c r="E64" s="71">
        <v>442746.5</v>
      </c>
      <c r="F64" s="71"/>
      <c r="G64" s="201">
        <v>140000</v>
      </c>
      <c r="H64" s="201"/>
      <c r="I64" s="71"/>
      <c r="J64" s="488">
        <f t="shared" si="17"/>
        <v>582746.5</v>
      </c>
      <c r="K64" s="488">
        <v>397211.36749999999</v>
      </c>
      <c r="L64" s="488">
        <f t="shared" si="18"/>
        <v>185535.13250000001</v>
      </c>
      <c r="M64" s="490">
        <v>83753.408426666603</v>
      </c>
      <c r="N64" s="489">
        <v>54931.249226666703</v>
      </c>
      <c r="O64" s="490">
        <f t="shared" si="16"/>
        <v>28822.159199999998</v>
      </c>
      <c r="P64" s="12"/>
    </row>
    <row r="65" spans="1:16" ht="20.149999999999999" customHeight="1">
      <c r="A65" s="9">
        <v>4</v>
      </c>
      <c r="B65" s="17" t="s">
        <v>329</v>
      </c>
      <c r="C65" s="16" t="s">
        <v>47</v>
      </c>
      <c r="D65" s="14" t="s">
        <v>266</v>
      </c>
      <c r="E65" s="71">
        <v>428915.91666666698</v>
      </c>
      <c r="F65" s="71"/>
      <c r="G65" s="201">
        <f t="shared" ref="G65" si="19">120000</f>
        <v>120000</v>
      </c>
      <c r="H65" s="201"/>
      <c r="I65" s="71">
        <v>0</v>
      </c>
      <c r="J65" s="488">
        <f t="shared" si="17"/>
        <v>548915.91666666698</v>
      </c>
      <c r="K65" s="488">
        <v>369177.65375</v>
      </c>
      <c r="L65" s="488">
        <f t="shared" si="18"/>
        <v>179738.26291666701</v>
      </c>
      <c r="M65" s="490">
        <v>77470.374186666697</v>
      </c>
      <c r="N65" s="489">
        <v>49548.776186666699</v>
      </c>
      <c r="O65" s="490">
        <f t="shared" si="16"/>
        <v>27921.598000000002</v>
      </c>
      <c r="P65" s="12"/>
    </row>
    <row r="66" spans="1:16" ht="20.149999999999999" customHeight="1">
      <c r="A66" s="9">
        <v>5</v>
      </c>
      <c r="B66" s="13" t="s">
        <v>330</v>
      </c>
      <c r="C66" s="16" t="s">
        <v>256</v>
      </c>
      <c r="D66" s="14" t="s">
        <v>254</v>
      </c>
      <c r="E66" s="71">
        <v>484373.75</v>
      </c>
      <c r="F66" s="71"/>
      <c r="G66" s="201">
        <f>140000</f>
        <v>140000</v>
      </c>
      <c r="H66" s="201"/>
      <c r="I66" s="71"/>
      <c r="J66" s="488">
        <f t="shared" si="17"/>
        <v>624373.75</v>
      </c>
      <c r="K66" s="488">
        <v>421394.00675</v>
      </c>
      <c r="L66" s="488">
        <f t="shared" si="18"/>
        <v>202979.74325</v>
      </c>
      <c r="M66" s="490">
        <v>91106.445866666705</v>
      </c>
      <c r="N66" s="489">
        <v>59574.315962666697</v>
      </c>
      <c r="O66" s="490">
        <f t="shared" si="16"/>
        <v>31532.129904000001</v>
      </c>
      <c r="P66" s="12"/>
    </row>
    <row r="67" spans="1:16" ht="20.149999999999999" customHeight="1">
      <c r="A67" s="9">
        <v>7</v>
      </c>
      <c r="B67" s="10" t="s">
        <v>331</v>
      </c>
      <c r="C67" s="3" t="s">
        <v>63</v>
      </c>
      <c r="D67" s="9" t="s">
        <v>332</v>
      </c>
      <c r="E67" s="71">
        <v>365703.83333333302</v>
      </c>
      <c r="F67" s="71"/>
      <c r="G67" s="201">
        <f>110000</f>
        <v>110000</v>
      </c>
      <c r="H67" s="201"/>
      <c r="I67" s="71">
        <v>0</v>
      </c>
      <c r="J67" s="488">
        <f t="shared" si="17"/>
        <v>475703.83333333302</v>
      </c>
      <c r="K67" s="488">
        <v>322454.07400000002</v>
      </c>
      <c r="L67" s="488">
        <f t="shared" si="18"/>
        <v>153249.759333333</v>
      </c>
      <c r="M67" s="490">
        <v>64384.591786666701</v>
      </c>
      <c r="N67" s="489">
        <v>41338.951098666701</v>
      </c>
      <c r="O67" s="490">
        <f t="shared" si="16"/>
        <v>23045.640687999999</v>
      </c>
      <c r="P67" s="12"/>
    </row>
    <row r="68" spans="1:16" ht="20.149999999999999" customHeight="1">
      <c r="A68" s="9">
        <v>8</v>
      </c>
      <c r="B68" s="10" t="s">
        <v>333</v>
      </c>
      <c r="C68" s="16" t="s">
        <v>275</v>
      </c>
      <c r="D68" s="9" t="s">
        <v>332</v>
      </c>
      <c r="E68" s="71">
        <v>365703.83333333302</v>
      </c>
      <c r="F68" s="71"/>
      <c r="G68" s="201">
        <f t="shared" ref="G68:G70" si="20">110000</f>
        <v>110000</v>
      </c>
      <c r="H68" s="201"/>
      <c r="I68" s="71">
        <v>0</v>
      </c>
      <c r="J68" s="488">
        <f t="shared" si="17"/>
        <v>475703.83333333302</v>
      </c>
      <c r="K68" s="488">
        <v>322454.07400000002</v>
      </c>
      <c r="L68" s="488">
        <f t="shared" si="18"/>
        <v>153249.759333333</v>
      </c>
      <c r="M68" s="490">
        <v>64384.591786666701</v>
      </c>
      <c r="N68" s="489">
        <v>41338.951098666701</v>
      </c>
      <c r="O68" s="490">
        <f t="shared" si="16"/>
        <v>23045.640687999999</v>
      </c>
      <c r="P68" s="12"/>
    </row>
    <row r="69" spans="1:16" ht="20.149999999999999" customHeight="1">
      <c r="A69" s="9">
        <v>9</v>
      </c>
      <c r="B69" s="10" t="s">
        <v>334</v>
      </c>
      <c r="C69" s="16" t="s">
        <v>275</v>
      </c>
      <c r="D69" s="9" t="s">
        <v>332</v>
      </c>
      <c r="E69" s="71">
        <v>365703.83333333302</v>
      </c>
      <c r="F69" s="71"/>
      <c r="G69" s="201">
        <f t="shared" si="20"/>
        <v>110000</v>
      </c>
      <c r="H69" s="201"/>
      <c r="I69" s="71">
        <v>0</v>
      </c>
      <c r="J69" s="488">
        <f t="shared" si="17"/>
        <v>475703.83333333302</v>
      </c>
      <c r="K69" s="488">
        <v>322454.07400000002</v>
      </c>
      <c r="L69" s="488">
        <f t="shared" si="18"/>
        <v>153249.759333333</v>
      </c>
      <c r="M69" s="490">
        <v>64384.591786666701</v>
      </c>
      <c r="N69" s="489">
        <v>41338.951098666701</v>
      </c>
      <c r="O69" s="490">
        <f t="shared" si="16"/>
        <v>23045.640687999999</v>
      </c>
      <c r="P69" s="12"/>
    </row>
    <row r="70" spans="1:16" ht="20.149999999999999" customHeight="1">
      <c r="A70" s="9">
        <v>10</v>
      </c>
      <c r="B70" s="10" t="s">
        <v>335</v>
      </c>
      <c r="C70" s="3" t="s">
        <v>336</v>
      </c>
      <c r="D70" s="9" t="s">
        <v>271</v>
      </c>
      <c r="E70" s="439">
        <v>377895.16666666698</v>
      </c>
      <c r="F70" s="71"/>
      <c r="G70" s="201">
        <f t="shared" si="20"/>
        <v>110000</v>
      </c>
      <c r="H70" s="201"/>
      <c r="I70" s="71"/>
      <c r="J70" s="488">
        <f t="shared" si="17"/>
        <v>487895.16666666698</v>
      </c>
      <c r="K70" s="488">
        <v>334536.99849999999</v>
      </c>
      <c r="L70" s="488">
        <f t="shared" si="18"/>
        <v>153358.16816666699</v>
      </c>
      <c r="M70" s="490">
        <v>66538.068906666696</v>
      </c>
      <c r="N70" s="489">
        <v>43368.882414666703</v>
      </c>
      <c r="O70" s="490">
        <f t="shared" si="16"/>
        <v>23169.186492000001</v>
      </c>
      <c r="P70" s="12"/>
    </row>
    <row r="71" spans="1:16" ht="21.65" customHeight="1">
      <c r="A71" s="9">
        <v>11</v>
      </c>
      <c r="B71" s="10" t="s">
        <v>337</v>
      </c>
      <c r="C71" s="3" t="s">
        <v>63</v>
      </c>
      <c r="D71" s="9" t="s">
        <v>301</v>
      </c>
      <c r="E71" s="201">
        <v>300965.58333333302</v>
      </c>
      <c r="F71" s="71"/>
      <c r="G71" s="201">
        <v>100000</v>
      </c>
      <c r="H71" s="201"/>
      <c r="I71" s="71"/>
      <c r="J71" s="488">
        <f t="shared" si="17"/>
        <v>400965.58333333302</v>
      </c>
      <c r="K71" s="488">
        <v>277734.04700000002</v>
      </c>
      <c r="L71" s="488">
        <f t="shared" si="18"/>
        <v>123231.536333333</v>
      </c>
      <c r="M71" s="490">
        <v>51029.227306666697</v>
      </c>
      <c r="N71" s="489">
        <v>33825.986562666702</v>
      </c>
      <c r="O71" s="490">
        <f t="shared" si="16"/>
        <v>17203.240743999999</v>
      </c>
    </row>
    <row r="72" spans="1:16" ht="27" customHeight="1">
      <c r="A72" s="9"/>
      <c r="B72" s="19" t="s">
        <v>34</v>
      </c>
      <c r="C72" s="20">
        <v>12</v>
      </c>
      <c r="D72" s="20"/>
      <c r="E72" s="79">
        <f>SUM(E62:E71)</f>
        <v>5169125.25</v>
      </c>
      <c r="F72" s="79">
        <f t="shared" ref="F72:O72" si="21">SUM(F62:F71)</f>
        <v>0</v>
      </c>
      <c r="G72" s="79">
        <f t="shared" si="21"/>
        <v>1300000</v>
      </c>
      <c r="H72" s="79">
        <f t="shared" si="21"/>
        <v>0</v>
      </c>
      <c r="I72" s="79">
        <f t="shared" si="21"/>
        <v>0</v>
      </c>
      <c r="J72" s="79">
        <f t="shared" si="21"/>
        <v>6469125.25</v>
      </c>
      <c r="K72" s="79">
        <v>4333762.409</v>
      </c>
      <c r="L72" s="79">
        <f t="shared" si="21"/>
        <v>2135362.841</v>
      </c>
      <c r="M72" s="79">
        <f t="shared" si="21"/>
        <v>971393.61002666701</v>
      </c>
      <c r="N72" s="79">
        <v>623337.85077466699</v>
      </c>
      <c r="O72" s="79">
        <f t="shared" si="21"/>
        <v>348055.75925200002</v>
      </c>
      <c r="P72" s="12"/>
    </row>
    <row r="73" spans="1:16" ht="20.149999999999999" customHeight="1">
      <c r="A73" s="9"/>
      <c r="B73" s="21"/>
      <c r="C73" s="20"/>
      <c r="D73" s="20"/>
      <c r="E73" s="133"/>
      <c r="F73" s="133"/>
      <c r="G73" s="201"/>
      <c r="H73" s="201"/>
      <c r="I73" s="133"/>
      <c r="J73" s="495"/>
      <c r="K73" s="495"/>
      <c r="L73" s="495"/>
      <c r="M73" s="496"/>
      <c r="N73" s="496"/>
      <c r="O73" s="496"/>
      <c r="P73" s="12"/>
    </row>
    <row r="74" spans="1:16" ht="20.149999999999999" customHeight="1">
      <c r="A74" s="9"/>
      <c r="B74" s="19" t="s">
        <v>51</v>
      </c>
      <c r="C74" s="20"/>
      <c r="D74" s="20"/>
      <c r="E74" s="133"/>
      <c r="F74" s="133"/>
      <c r="G74" s="201"/>
      <c r="H74" s="201"/>
      <c r="I74" s="133"/>
      <c r="J74" s="495"/>
      <c r="K74" s="495"/>
      <c r="L74" s="495"/>
      <c r="M74" s="496"/>
      <c r="N74" s="496"/>
      <c r="O74" s="496"/>
      <c r="P74" s="12"/>
    </row>
    <row r="75" spans="1:16" ht="20.149999999999999" customHeight="1">
      <c r="A75" s="9">
        <v>1</v>
      </c>
      <c r="B75" s="10" t="s">
        <v>338</v>
      </c>
      <c r="C75" s="3" t="s">
        <v>339</v>
      </c>
      <c r="D75" s="9" t="s">
        <v>297</v>
      </c>
      <c r="E75" s="71">
        <v>1435720</v>
      </c>
      <c r="F75" s="71"/>
      <c r="G75" s="201">
        <f>200000</f>
        <v>200000</v>
      </c>
      <c r="H75" s="201"/>
      <c r="I75" s="71">
        <v>0</v>
      </c>
      <c r="J75" s="488">
        <f>E75+F75+G75+H75+I75</f>
        <v>1635720</v>
      </c>
      <c r="K75" s="488">
        <v>1050209.0634999999</v>
      </c>
      <c r="L75" s="488">
        <f>J75-K75</f>
        <v>585510.93649999995</v>
      </c>
      <c r="M75" s="490">
        <v>270672.24746666697</v>
      </c>
      <c r="N75" s="489">
        <v>180306.806858667</v>
      </c>
      <c r="O75" s="490">
        <f t="shared" ref="O75:O81" si="22">M75-N75</f>
        <v>90365.440607999903</v>
      </c>
      <c r="P75" s="12"/>
    </row>
    <row r="76" spans="1:16" ht="20.149999999999999" customHeight="1">
      <c r="A76" s="9">
        <v>2</v>
      </c>
      <c r="B76" s="13" t="s">
        <v>220</v>
      </c>
      <c r="C76" s="3" t="s">
        <v>221</v>
      </c>
      <c r="D76" s="14" t="s">
        <v>222</v>
      </c>
      <c r="E76" s="71">
        <v>601396.83333333302</v>
      </c>
      <c r="F76" s="71"/>
      <c r="G76" s="201">
        <f>160000</f>
        <v>160000</v>
      </c>
      <c r="H76" s="201"/>
      <c r="I76" s="133">
        <v>0</v>
      </c>
      <c r="J76" s="488">
        <f t="shared" ref="J76:J81" si="23">E76+F76+G76+H76+I76</f>
        <v>761396.83333333302</v>
      </c>
      <c r="K76" s="488">
        <v>516137.05</v>
      </c>
      <c r="L76" s="488">
        <f t="shared" ref="L76:L81" si="24">J76-K76</f>
        <v>245259.78333333301</v>
      </c>
      <c r="M76" s="490">
        <v>124854.858666667</v>
      </c>
      <c r="N76" s="489">
        <v>77764.980266666695</v>
      </c>
      <c r="O76" s="490">
        <f t="shared" si="22"/>
        <v>47089.878400000001</v>
      </c>
      <c r="P76" s="12"/>
    </row>
    <row r="77" spans="1:16" ht="20.149999999999999" customHeight="1">
      <c r="A77" s="9">
        <v>3</v>
      </c>
      <c r="B77" s="17" t="s">
        <v>223</v>
      </c>
      <c r="C77" s="11" t="s">
        <v>224</v>
      </c>
      <c r="D77" s="9" t="s">
        <v>225</v>
      </c>
      <c r="E77" s="71">
        <v>620675.58333333302</v>
      </c>
      <c r="F77" s="71"/>
      <c r="G77" s="201">
        <v>0</v>
      </c>
      <c r="H77" s="201">
        <v>80000</v>
      </c>
      <c r="I77" s="133">
        <v>0</v>
      </c>
      <c r="J77" s="488">
        <f t="shared" si="23"/>
        <v>700675.58333333302</v>
      </c>
      <c r="K77" s="488">
        <v>447553.5025</v>
      </c>
      <c r="L77" s="488">
        <f t="shared" si="24"/>
        <v>253122.08083333299</v>
      </c>
      <c r="M77" s="490">
        <v>113196.37866666701</v>
      </c>
      <c r="N77" s="489">
        <v>64596.9391466667</v>
      </c>
      <c r="O77" s="490">
        <f t="shared" si="22"/>
        <v>48599.43952</v>
      </c>
      <c r="P77" s="12"/>
    </row>
    <row r="78" spans="1:16" ht="20.149999999999999" customHeight="1">
      <c r="A78" s="9">
        <v>4</v>
      </c>
      <c r="B78" s="10" t="s">
        <v>340</v>
      </c>
      <c r="C78" s="3" t="s">
        <v>341</v>
      </c>
      <c r="D78" s="14" t="s">
        <v>342</v>
      </c>
      <c r="E78" s="71">
        <v>456622.25</v>
      </c>
      <c r="F78" s="71"/>
      <c r="G78" s="201">
        <f>140000</f>
        <v>140000</v>
      </c>
      <c r="H78" s="201"/>
      <c r="I78" s="71">
        <v>0</v>
      </c>
      <c r="J78" s="488">
        <f t="shared" si="23"/>
        <v>596622.25</v>
      </c>
      <c r="K78" s="488">
        <v>405272.06374999997</v>
      </c>
      <c r="L78" s="488">
        <f t="shared" si="24"/>
        <v>191350.18625</v>
      </c>
      <c r="M78" s="490">
        <v>86076.104186666693</v>
      </c>
      <c r="N78" s="489">
        <v>56350.586186666696</v>
      </c>
      <c r="O78" s="490">
        <f t="shared" si="22"/>
        <v>29725.518</v>
      </c>
      <c r="P78" s="12"/>
    </row>
    <row r="79" spans="1:16" ht="20.149999999999999" customHeight="1">
      <c r="A79" s="9">
        <v>5</v>
      </c>
      <c r="B79" s="10" t="s">
        <v>343</v>
      </c>
      <c r="C79" s="3" t="s">
        <v>344</v>
      </c>
      <c r="D79" s="9" t="s">
        <v>345</v>
      </c>
      <c r="E79" s="71">
        <v>308901.5</v>
      </c>
      <c r="F79" s="71"/>
      <c r="G79" s="201">
        <f>100000</f>
        <v>100000</v>
      </c>
      <c r="H79" s="201"/>
      <c r="I79" s="71"/>
      <c r="J79" s="488">
        <f t="shared" si="23"/>
        <v>408901.5</v>
      </c>
      <c r="K79" s="488">
        <v>273169.11749999999</v>
      </c>
      <c r="L79" s="488">
        <f t="shared" si="24"/>
        <v>135732.38250000001</v>
      </c>
      <c r="M79" s="490">
        <v>52431.027626666699</v>
      </c>
      <c r="N79" s="489">
        <v>33059.078406666697</v>
      </c>
      <c r="O79" s="490">
        <f t="shared" si="22"/>
        <v>19371.949219999999</v>
      </c>
      <c r="P79" s="12"/>
    </row>
    <row r="80" spans="1:16" ht="20.149999999999999" customHeight="1">
      <c r="A80" s="9">
        <v>6</v>
      </c>
      <c r="B80" s="10" t="s">
        <v>346</v>
      </c>
      <c r="C80" s="3" t="s">
        <v>344</v>
      </c>
      <c r="D80" s="9" t="s">
        <v>283</v>
      </c>
      <c r="E80" s="71">
        <v>263165.33333333302</v>
      </c>
      <c r="F80" s="71"/>
      <c r="G80" s="201">
        <v>100000</v>
      </c>
      <c r="H80" s="201"/>
      <c r="I80" s="71"/>
      <c r="J80" s="488">
        <f t="shared" si="23"/>
        <v>363165.33333333302</v>
      </c>
      <c r="K80" s="488">
        <v>249356.04725</v>
      </c>
      <c r="L80" s="488">
        <f t="shared" si="24"/>
        <v>113809.28608333301</v>
      </c>
      <c r="M80" s="490">
        <v>44641.500586666698</v>
      </c>
      <c r="N80" s="489">
        <v>29058.4826046667</v>
      </c>
      <c r="O80" s="490">
        <f t="shared" si="22"/>
        <v>15583.017981999999</v>
      </c>
      <c r="P80" s="12"/>
    </row>
    <row r="81" spans="1:16" ht="20.149999999999999" customHeight="1">
      <c r="A81" s="9">
        <v>7</v>
      </c>
      <c r="B81" s="10" t="s">
        <v>347</v>
      </c>
      <c r="C81" s="3" t="s">
        <v>348</v>
      </c>
      <c r="D81" s="9" t="s">
        <v>294</v>
      </c>
      <c r="E81" s="71">
        <v>224459.75</v>
      </c>
      <c r="F81" s="71"/>
      <c r="G81" s="201">
        <v>100000</v>
      </c>
      <c r="H81" s="201">
        <v>0</v>
      </c>
      <c r="I81" s="71"/>
      <c r="J81" s="488">
        <f t="shared" si="23"/>
        <v>324459.75</v>
      </c>
      <c r="K81" s="488">
        <v>223717.28450000001</v>
      </c>
      <c r="L81" s="488">
        <f t="shared" si="24"/>
        <v>100742.46550000001</v>
      </c>
      <c r="M81" s="490">
        <v>38659.165626666698</v>
      </c>
      <c r="N81" s="489">
        <v>24751.170462666701</v>
      </c>
      <c r="O81" s="490">
        <f t="shared" si="22"/>
        <v>13907.995164</v>
      </c>
      <c r="P81" s="12"/>
    </row>
    <row r="82" spans="1:16" ht="20.149999999999999" customHeight="1">
      <c r="A82" s="9"/>
      <c r="B82" s="19" t="s">
        <v>34</v>
      </c>
      <c r="C82" s="20">
        <v>7</v>
      </c>
      <c r="D82" s="20"/>
      <c r="E82" s="79">
        <f>SUM(E75:E81)</f>
        <v>3910941.25</v>
      </c>
      <c r="F82" s="79">
        <f t="shared" ref="F82:O82" si="25">SUM(F75:F81)</f>
        <v>0</v>
      </c>
      <c r="G82" s="79">
        <f t="shared" si="25"/>
        <v>800000</v>
      </c>
      <c r="H82" s="79">
        <f t="shared" si="25"/>
        <v>80000</v>
      </c>
      <c r="I82" s="79">
        <f t="shared" si="25"/>
        <v>0</v>
      </c>
      <c r="J82" s="79">
        <f t="shared" si="25"/>
        <v>4790941.25</v>
      </c>
      <c r="K82" s="79">
        <v>3165414.1290000002</v>
      </c>
      <c r="L82" s="79">
        <f t="shared" si="25"/>
        <v>1625527.121</v>
      </c>
      <c r="M82" s="79">
        <f t="shared" si="25"/>
        <v>730531.28282666695</v>
      </c>
      <c r="N82" s="79">
        <v>465888.043932667</v>
      </c>
      <c r="O82" s="79">
        <f t="shared" si="25"/>
        <v>264643.23889400001</v>
      </c>
      <c r="P82" s="12"/>
    </row>
    <row r="83" spans="1:16" ht="20.149999999999999" customHeight="1">
      <c r="A83" s="9"/>
      <c r="B83" s="19"/>
      <c r="C83" s="20"/>
      <c r="D83" s="20"/>
      <c r="E83" s="133"/>
      <c r="F83" s="133"/>
      <c r="G83" s="201"/>
      <c r="H83" s="201"/>
      <c r="I83" s="133"/>
      <c r="J83" s="495"/>
      <c r="K83" s="495"/>
      <c r="L83" s="495"/>
      <c r="M83" s="496"/>
      <c r="N83" s="496"/>
      <c r="O83" s="496"/>
      <c r="P83" s="12"/>
    </row>
    <row r="84" spans="1:16" ht="20.149999999999999" customHeight="1">
      <c r="A84" s="9"/>
      <c r="B84" s="19" t="s">
        <v>56</v>
      </c>
      <c r="C84" s="24"/>
      <c r="D84" s="20"/>
      <c r="E84" s="133"/>
      <c r="F84" s="133"/>
      <c r="G84" s="201"/>
      <c r="H84" s="201"/>
      <c r="I84" s="133"/>
      <c r="J84" s="495"/>
      <c r="K84" s="495"/>
      <c r="L84" s="495"/>
      <c r="M84" s="496"/>
      <c r="N84" s="496"/>
      <c r="O84" s="496"/>
      <c r="P84" s="12"/>
    </row>
    <row r="85" spans="1:16" ht="20.149999999999999" customHeight="1">
      <c r="A85" s="9">
        <v>1</v>
      </c>
      <c r="B85" s="10" t="s">
        <v>349</v>
      </c>
      <c r="C85" s="3" t="s">
        <v>310</v>
      </c>
      <c r="D85" s="9" t="s">
        <v>249</v>
      </c>
      <c r="E85" s="71">
        <v>620675.58333333302</v>
      </c>
      <c r="F85" s="71"/>
      <c r="G85" s="201">
        <f>160000</f>
        <v>160000</v>
      </c>
      <c r="H85" s="201"/>
      <c r="I85" s="71">
        <v>100000</v>
      </c>
      <c r="J85" s="488">
        <f>E85+F85+G85+H85+I85</f>
        <v>880675.58333333302</v>
      </c>
      <c r="K85" s="488">
        <v>627553.50249999994</v>
      </c>
      <c r="L85" s="488">
        <f>J85-K85</f>
        <v>253122.08083333299</v>
      </c>
      <c r="M85" s="490">
        <v>138222.801706667</v>
      </c>
      <c r="N85" s="489">
        <v>99156.9391466667</v>
      </c>
      <c r="O85" s="490">
        <f t="shared" ref="O85:O94" si="26">M85-N85</f>
        <v>39065.862560000001</v>
      </c>
      <c r="P85" s="12"/>
    </row>
    <row r="86" spans="1:16" ht="20.149999999999999" customHeight="1">
      <c r="A86" s="9">
        <v>2</v>
      </c>
      <c r="B86" s="10" t="s">
        <v>350</v>
      </c>
      <c r="C86" s="3" t="s">
        <v>310</v>
      </c>
      <c r="D86" s="9" t="s">
        <v>249</v>
      </c>
      <c r="E86" s="71">
        <v>620675.58333333302</v>
      </c>
      <c r="F86" s="71"/>
      <c r="G86" s="201">
        <f>160000</f>
        <v>160000</v>
      </c>
      <c r="H86" s="201"/>
      <c r="I86" s="71"/>
      <c r="J86" s="488">
        <f t="shared" ref="J86:J94" si="27">E86+F86+G86+H86+I86</f>
        <v>780675.58333333302</v>
      </c>
      <c r="K86" s="488">
        <v>527553.50249999994</v>
      </c>
      <c r="L86" s="488">
        <f t="shared" ref="L86:L94" si="28">J86-K86</f>
        <v>253122.08083333299</v>
      </c>
      <c r="M86" s="490">
        <v>118861.965706667</v>
      </c>
      <c r="N86" s="489">
        <v>79796.103146666603</v>
      </c>
      <c r="O86" s="490">
        <f t="shared" si="26"/>
        <v>39065.862560000001</v>
      </c>
      <c r="P86" s="12"/>
    </row>
    <row r="87" spans="1:16" ht="20.149999999999999" customHeight="1">
      <c r="A87" s="9">
        <v>3</v>
      </c>
      <c r="B87" s="10" t="s">
        <v>351</v>
      </c>
      <c r="C87" s="3" t="s">
        <v>310</v>
      </c>
      <c r="D87" s="9" t="s">
        <v>228</v>
      </c>
      <c r="E87" s="71">
        <v>582118.08333333302</v>
      </c>
      <c r="F87" s="71"/>
      <c r="G87" s="201">
        <v>160000</v>
      </c>
      <c r="H87" s="201"/>
      <c r="I87" s="71"/>
      <c r="J87" s="488">
        <f t="shared" si="27"/>
        <v>742118.08333333302</v>
      </c>
      <c r="K87" s="488">
        <v>504729.22200000001</v>
      </c>
      <c r="L87" s="488">
        <f t="shared" si="28"/>
        <v>237388.86133333301</v>
      </c>
      <c r="M87" s="490">
        <v>112212.004906667</v>
      </c>
      <c r="N87" s="489">
        <v>75574.677290666703</v>
      </c>
      <c r="O87" s="490">
        <f t="shared" si="26"/>
        <v>36637.327616000002</v>
      </c>
      <c r="P87" s="12"/>
    </row>
    <row r="88" spans="1:16" ht="21.65" customHeight="1">
      <c r="A88" s="9">
        <v>4</v>
      </c>
      <c r="B88" s="10" t="s">
        <v>352</v>
      </c>
      <c r="C88" s="3" t="s">
        <v>353</v>
      </c>
      <c r="D88" s="14" t="s">
        <v>263</v>
      </c>
      <c r="E88" s="71">
        <v>441804.91666666698</v>
      </c>
      <c r="F88" s="71"/>
      <c r="G88" s="201">
        <f>120000</f>
        <v>120000</v>
      </c>
      <c r="H88" s="201"/>
      <c r="I88" s="71">
        <v>0</v>
      </c>
      <c r="J88" s="488">
        <f t="shared" si="27"/>
        <v>561804.91666666698</v>
      </c>
      <c r="K88" s="488">
        <v>376663.07750000001</v>
      </c>
      <c r="L88" s="488">
        <f t="shared" si="28"/>
        <v>185141.83916666699</v>
      </c>
      <c r="M88" s="490">
        <v>79747.087146666701</v>
      </c>
      <c r="N88" s="489">
        <v>50985.977546666698</v>
      </c>
      <c r="O88" s="490">
        <f t="shared" si="26"/>
        <v>28761.1096</v>
      </c>
      <c r="P88" s="12"/>
    </row>
    <row r="89" spans="1:16" ht="21.65" customHeight="1">
      <c r="A89" s="9">
        <v>5</v>
      </c>
      <c r="B89" s="10" t="s">
        <v>354</v>
      </c>
      <c r="C89" s="11" t="s">
        <v>47</v>
      </c>
      <c r="D89" s="14" t="s">
        <v>266</v>
      </c>
      <c r="E89" s="71">
        <v>428915.91666666698</v>
      </c>
      <c r="F89" s="71"/>
      <c r="G89" s="201">
        <f t="shared" ref="G89" si="29">120000</f>
        <v>120000</v>
      </c>
      <c r="H89" s="201"/>
      <c r="I89" s="71">
        <v>0</v>
      </c>
      <c r="J89" s="488">
        <f t="shared" si="27"/>
        <v>548915.91666666698</v>
      </c>
      <c r="K89" s="488">
        <v>369177.65375</v>
      </c>
      <c r="L89" s="488">
        <f t="shared" si="28"/>
        <v>179738.26291666701</v>
      </c>
      <c r="M89" s="490">
        <v>77470.374186666697</v>
      </c>
      <c r="N89" s="489">
        <v>49548.776186666699</v>
      </c>
      <c r="O89" s="490">
        <f t="shared" si="26"/>
        <v>27921.598000000002</v>
      </c>
      <c r="P89" s="12"/>
    </row>
    <row r="90" spans="1:16" ht="21.65" customHeight="1">
      <c r="A90" s="9">
        <v>6</v>
      </c>
      <c r="B90" s="10" t="s">
        <v>355</v>
      </c>
      <c r="C90" s="11" t="s">
        <v>256</v>
      </c>
      <c r="D90" s="14" t="s">
        <v>356</v>
      </c>
      <c r="E90" s="71">
        <v>428870.75</v>
      </c>
      <c r="F90" s="71"/>
      <c r="G90" s="201">
        <f>140000</f>
        <v>140000</v>
      </c>
      <c r="H90" s="201"/>
      <c r="I90" s="71">
        <v>0</v>
      </c>
      <c r="J90" s="488">
        <f t="shared" si="27"/>
        <v>568870.75</v>
      </c>
      <c r="K90" s="488">
        <v>389153.05674999999</v>
      </c>
      <c r="L90" s="488">
        <f t="shared" si="28"/>
        <v>179717.69325000001</v>
      </c>
      <c r="M90" s="490">
        <v>81302.3959466667</v>
      </c>
      <c r="N90" s="489">
        <v>53384.053562666697</v>
      </c>
      <c r="O90" s="490">
        <f t="shared" si="26"/>
        <v>27918.342384</v>
      </c>
      <c r="P90" s="12"/>
    </row>
    <row r="91" spans="1:16" ht="21.65" customHeight="1">
      <c r="A91" s="9">
        <v>7</v>
      </c>
      <c r="B91" s="10" t="s">
        <v>357</v>
      </c>
      <c r="C91" s="16" t="s">
        <v>275</v>
      </c>
      <c r="D91" s="14" t="s">
        <v>332</v>
      </c>
      <c r="E91" s="71">
        <v>365703.83333333302</v>
      </c>
      <c r="F91" s="71"/>
      <c r="G91" s="201">
        <f t="shared" ref="G91" si="30">110000</f>
        <v>110000</v>
      </c>
      <c r="H91" s="201"/>
      <c r="I91" s="71">
        <v>0</v>
      </c>
      <c r="J91" s="488">
        <f t="shared" si="27"/>
        <v>475703.83333333302</v>
      </c>
      <c r="K91" s="488">
        <v>322454.07400000002</v>
      </c>
      <c r="L91" s="488">
        <f t="shared" si="28"/>
        <v>153249.759333333</v>
      </c>
      <c r="M91" s="490">
        <v>64384.591786666701</v>
      </c>
      <c r="N91" s="489">
        <v>41338.951098666701</v>
      </c>
      <c r="O91" s="490">
        <f t="shared" si="26"/>
        <v>23045.640687999999</v>
      </c>
      <c r="P91" s="12"/>
    </row>
    <row r="92" spans="1:16" ht="21.65" customHeight="1">
      <c r="A92" s="9">
        <v>8</v>
      </c>
      <c r="B92" s="10" t="s">
        <v>358</v>
      </c>
      <c r="C92" s="16" t="s">
        <v>47</v>
      </c>
      <c r="D92" s="14" t="s">
        <v>48</v>
      </c>
      <c r="E92" s="71">
        <v>390248.91666666698</v>
      </c>
      <c r="F92" s="71"/>
      <c r="G92" s="201">
        <v>120000</v>
      </c>
      <c r="H92" s="201"/>
      <c r="I92" s="71">
        <v>0</v>
      </c>
      <c r="J92" s="488">
        <f t="shared" si="27"/>
        <v>510248.91666666698</v>
      </c>
      <c r="K92" s="488">
        <v>346713.03324999998</v>
      </c>
      <c r="L92" s="488">
        <f t="shared" si="28"/>
        <v>163535.883416667</v>
      </c>
      <c r="M92" s="490">
        <v>70529.475354666705</v>
      </c>
      <c r="N92" s="489">
        <v>45317.541294666698</v>
      </c>
      <c r="O92" s="490">
        <f t="shared" si="26"/>
        <v>25211.93406</v>
      </c>
      <c r="P92" s="12"/>
    </row>
    <row r="93" spans="1:16" ht="21.65" customHeight="1">
      <c r="A93" s="9">
        <v>9</v>
      </c>
      <c r="B93" s="10" t="s">
        <v>359</v>
      </c>
      <c r="C93" s="3" t="s">
        <v>360</v>
      </c>
      <c r="D93" s="9" t="s">
        <v>301</v>
      </c>
      <c r="E93" s="201">
        <v>300965.58333333302</v>
      </c>
      <c r="F93" s="71"/>
      <c r="G93" s="201">
        <v>100000</v>
      </c>
      <c r="H93" s="201"/>
      <c r="I93" s="71"/>
      <c r="J93" s="488">
        <f t="shared" si="27"/>
        <v>400965.58333333302</v>
      </c>
      <c r="K93" s="488">
        <v>277734.04700000002</v>
      </c>
      <c r="L93" s="488">
        <f t="shared" si="28"/>
        <v>123231.536333333</v>
      </c>
      <c r="M93" s="490">
        <v>51029.227306666697</v>
      </c>
      <c r="N93" s="489">
        <v>33825.986562666702</v>
      </c>
      <c r="O93" s="490">
        <f t="shared" si="26"/>
        <v>17203.240743999999</v>
      </c>
      <c r="P93" s="12"/>
    </row>
    <row r="94" spans="1:16" ht="21.65" customHeight="1">
      <c r="A94" s="9">
        <v>10</v>
      </c>
      <c r="B94" s="10" t="s">
        <v>361</v>
      </c>
      <c r="C94" s="16" t="s">
        <v>362</v>
      </c>
      <c r="D94" s="14" t="s">
        <v>291</v>
      </c>
      <c r="E94" s="201">
        <v>230631.91666666701</v>
      </c>
      <c r="F94" s="71"/>
      <c r="G94" s="201">
        <f t="shared" ref="G94" si="31">100000</f>
        <v>100000</v>
      </c>
      <c r="H94" s="201"/>
      <c r="I94" s="71"/>
      <c r="J94" s="488">
        <f t="shared" si="27"/>
        <v>330631.91666666698</v>
      </c>
      <c r="K94" s="488">
        <v>254870.26344499999</v>
      </c>
      <c r="L94" s="488">
        <f t="shared" si="28"/>
        <v>75761.653221666595</v>
      </c>
      <c r="M94" s="490">
        <v>39613.135706666697</v>
      </c>
      <c r="N94" s="489">
        <v>29984.870925426701</v>
      </c>
      <c r="O94" s="490">
        <f t="shared" si="26"/>
        <v>9628.26478123999</v>
      </c>
      <c r="P94" s="12"/>
    </row>
    <row r="95" spans="1:16" ht="20.149999999999999" customHeight="1">
      <c r="A95" s="9"/>
      <c r="B95" s="19" t="s">
        <v>34</v>
      </c>
      <c r="C95" s="20">
        <v>11</v>
      </c>
      <c r="D95" s="20"/>
      <c r="E95" s="79">
        <f>SUM(E85:E94)</f>
        <v>4410611.0833333302</v>
      </c>
      <c r="F95" s="79">
        <f t="shared" ref="F95:O95" si="32">SUM(F85:F94)</f>
        <v>0</v>
      </c>
      <c r="G95" s="79">
        <f t="shared" si="32"/>
        <v>1290000</v>
      </c>
      <c r="H95" s="79">
        <f t="shared" si="32"/>
        <v>0</v>
      </c>
      <c r="I95" s="79">
        <f t="shared" si="32"/>
        <v>100000</v>
      </c>
      <c r="J95" s="79">
        <f t="shared" si="32"/>
        <v>5800611.0833333302</v>
      </c>
      <c r="K95" s="79">
        <v>3996601.432695</v>
      </c>
      <c r="L95" s="79">
        <f t="shared" si="32"/>
        <v>1804009.65063833</v>
      </c>
      <c r="M95" s="79">
        <f t="shared" si="32"/>
        <v>833373.05975466699</v>
      </c>
      <c r="N95" s="79">
        <v>558913.87676142703</v>
      </c>
      <c r="O95" s="79">
        <f t="shared" si="32"/>
        <v>274459.18299324001</v>
      </c>
      <c r="P95" s="12"/>
    </row>
    <row r="96" spans="1:16" ht="20.149999999999999" customHeight="1">
      <c r="A96" s="9"/>
      <c r="B96" s="21"/>
      <c r="C96" s="20"/>
      <c r="D96" s="20"/>
      <c r="E96" s="133"/>
      <c r="F96" s="133"/>
      <c r="G96" s="201"/>
      <c r="H96" s="201"/>
      <c r="I96" s="133"/>
      <c r="J96" s="495"/>
      <c r="K96" s="495"/>
      <c r="L96" s="495"/>
      <c r="M96" s="496"/>
      <c r="N96" s="496"/>
      <c r="O96" s="496"/>
      <c r="P96" s="12"/>
    </row>
    <row r="97" spans="1:16" ht="20.149999999999999" customHeight="1">
      <c r="A97" s="9"/>
      <c r="B97" s="19" t="s">
        <v>58</v>
      </c>
      <c r="C97" s="20"/>
      <c r="D97" s="20"/>
      <c r="E97" s="133"/>
      <c r="F97" s="133"/>
      <c r="G97" s="201"/>
      <c r="H97" s="201"/>
      <c r="I97" s="133"/>
      <c r="J97" s="495"/>
      <c r="K97" s="495"/>
      <c r="L97" s="495"/>
      <c r="M97" s="496"/>
      <c r="N97" s="496"/>
      <c r="O97" s="496"/>
      <c r="P97" s="12"/>
    </row>
    <row r="98" spans="1:16" ht="20.149999999999999" customHeight="1">
      <c r="A98" s="9">
        <v>1</v>
      </c>
      <c r="B98" s="13" t="s">
        <v>363</v>
      </c>
      <c r="C98" s="3" t="s">
        <v>364</v>
      </c>
      <c r="D98" s="15" t="s">
        <v>231</v>
      </c>
      <c r="E98" s="71">
        <v>762373.16666666698</v>
      </c>
      <c r="F98" s="71"/>
      <c r="G98" s="201"/>
      <c r="H98" s="201">
        <f>80000+10000</f>
        <v>90000</v>
      </c>
      <c r="I98" s="71"/>
      <c r="J98" s="488">
        <f>E98+F98+G98+H98+I98</f>
        <v>852373.16666666698</v>
      </c>
      <c r="K98" s="488">
        <v>541465.02474999998</v>
      </c>
      <c r="L98" s="488">
        <f>J98-K98</f>
        <v>310908.14191666699</v>
      </c>
      <c r="M98" s="498">
        <v>130407.52761066701</v>
      </c>
      <c r="N98" s="489">
        <v>82423.216202666707</v>
      </c>
      <c r="O98" s="498">
        <f>M98-N98</f>
        <v>47984.311408000001</v>
      </c>
      <c r="P98" s="12"/>
    </row>
    <row r="99" spans="1:16" ht="20.149999999999999" customHeight="1">
      <c r="A99" s="9">
        <v>2</v>
      </c>
      <c r="B99" s="10" t="s">
        <v>366</v>
      </c>
      <c r="C99" s="3" t="s">
        <v>367</v>
      </c>
      <c r="D99" s="14" t="s">
        <v>342</v>
      </c>
      <c r="E99" s="71">
        <v>456622.25</v>
      </c>
      <c r="F99" s="71"/>
      <c r="G99" s="201"/>
      <c r="H99" s="201">
        <v>70000</v>
      </c>
      <c r="I99" s="71">
        <v>0</v>
      </c>
      <c r="J99" s="488">
        <f t="shared" ref="J99:J101" si="33">E99+F99+G99+H99+I99</f>
        <v>526622.25</v>
      </c>
      <c r="K99" s="488">
        <v>335272.06374999997</v>
      </c>
      <c r="L99" s="488">
        <f t="shared" ref="L99:L101" si="34">J99-K99</f>
        <v>191350.18625</v>
      </c>
      <c r="M99" s="498">
        <v>72764.420906666695</v>
      </c>
      <c r="N99" s="489">
        <v>43492.373376666699</v>
      </c>
      <c r="O99" s="498">
        <f>M99-N99</f>
        <v>29272.04753</v>
      </c>
      <c r="P99" s="12"/>
    </row>
    <row r="100" spans="1:16" ht="20.149999999999999" customHeight="1">
      <c r="A100" s="9">
        <v>3</v>
      </c>
      <c r="B100" s="10" t="s">
        <v>368</v>
      </c>
      <c r="C100" s="3" t="s">
        <v>369</v>
      </c>
      <c r="D100" s="14" t="s">
        <v>271</v>
      </c>
      <c r="E100" s="71">
        <v>377895.16666666698</v>
      </c>
      <c r="F100" s="71"/>
      <c r="G100" s="201"/>
      <c r="H100" s="201">
        <f>60000</f>
        <v>60000</v>
      </c>
      <c r="I100" s="71"/>
      <c r="J100" s="488">
        <f t="shared" si="33"/>
        <v>437895.16666666698</v>
      </c>
      <c r="K100" s="488">
        <v>284536.99849999999</v>
      </c>
      <c r="L100" s="488">
        <f t="shared" si="34"/>
        <v>153358.16816666699</v>
      </c>
      <c r="M100" s="498">
        <v>56938.068906666696</v>
      </c>
      <c r="N100" s="489">
        <v>34968.882414666703</v>
      </c>
      <c r="O100" s="498">
        <f>M100-N100</f>
        <v>21969.186492000001</v>
      </c>
      <c r="P100" s="12"/>
    </row>
    <row r="101" spans="1:16" ht="20.149999999999999" customHeight="1">
      <c r="A101" s="9">
        <v>4</v>
      </c>
      <c r="B101" s="10" t="s">
        <v>370</v>
      </c>
      <c r="C101" s="3" t="s">
        <v>371</v>
      </c>
      <c r="D101" s="14" t="s">
        <v>301</v>
      </c>
      <c r="E101" s="201">
        <v>300965.58333333302</v>
      </c>
      <c r="F101" s="71"/>
      <c r="G101" s="201"/>
      <c r="H101" s="201">
        <f>60000</f>
        <v>60000</v>
      </c>
      <c r="I101" s="71"/>
      <c r="J101" s="488">
        <f t="shared" si="33"/>
        <v>360965.58333333302</v>
      </c>
      <c r="K101" s="488">
        <v>237734.04699999999</v>
      </c>
      <c r="L101" s="488">
        <f t="shared" si="34"/>
        <v>123231.536333333</v>
      </c>
      <c r="M101" s="498">
        <v>43763.907226666699</v>
      </c>
      <c r="N101" s="489">
        <v>27105.986562666702</v>
      </c>
      <c r="O101" s="498">
        <f>M101-N101</f>
        <v>16657.920664000001</v>
      </c>
      <c r="P101" s="12"/>
    </row>
    <row r="102" spans="1:16" ht="20.149999999999999" customHeight="1">
      <c r="A102" s="3"/>
      <c r="B102" s="19" t="s">
        <v>34</v>
      </c>
      <c r="C102" s="20">
        <v>4</v>
      </c>
      <c r="D102" s="25"/>
      <c r="E102" s="79">
        <f>SUM(E98:E101)</f>
        <v>1897856.16666667</v>
      </c>
      <c r="F102" s="79">
        <f t="shared" ref="F102:O102" si="35">SUM(F98:F101)</f>
        <v>0</v>
      </c>
      <c r="G102" s="79">
        <f t="shared" si="35"/>
        <v>0</v>
      </c>
      <c r="H102" s="79">
        <f t="shared" si="35"/>
        <v>280000</v>
      </c>
      <c r="I102" s="79">
        <f t="shared" si="35"/>
        <v>0</v>
      </c>
      <c r="J102" s="79">
        <f t="shared" si="35"/>
        <v>2177856.1666666698</v>
      </c>
      <c r="K102" s="79">
        <v>1399008.1340000001</v>
      </c>
      <c r="L102" s="79">
        <f t="shared" si="35"/>
        <v>778848.03266666702</v>
      </c>
      <c r="M102" s="79">
        <f t="shared" si="35"/>
        <v>303873.924650667</v>
      </c>
      <c r="N102" s="79">
        <v>187990.458556667</v>
      </c>
      <c r="O102" s="79">
        <f t="shared" si="35"/>
        <v>115883.466094</v>
      </c>
      <c r="P102" s="12"/>
    </row>
    <row r="103" spans="1:16" ht="20.149999999999999" customHeight="1">
      <c r="A103" s="3"/>
      <c r="B103" s="21"/>
      <c r="C103" s="20"/>
      <c r="D103" s="25"/>
      <c r="E103" s="133"/>
      <c r="F103" s="133"/>
      <c r="G103" s="201"/>
      <c r="H103" s="201"/>
      <c r="I103" s="133"/>
      <c r="J103" s="495"/>
      <c r="K103" s="495"/>
      <c r="L103" s="495"/>
      <c r="M103" s="496"/>
      <c r="N103" s="496"/>
      <c r="O103" s="496"/>
      <c r="P103" s="12"/>
    </row>
    <row r="104" spans="1:16" ht="20.149999999999999" customHeight="1">
      <c r="A104" s="3"/>
      <c r="B104" s="19" t="s">
        <v>372</v>
      </c>
      <c r="C104" s="3"/>
      <c r="D104" s="3"/>
      <c r="E104" s="3"/>
      <c r="F104" s="3"/>
      <c r="G104" s="201"/>
      <c r="H104" s="201"/>
      <c r="I104" s="3"/>
      <c r="J104" s="499"/>
      <c r="K104" s="499"/>
      <c r="L104" s="499"/>
      <c r="M104" s="500"/>
      <c r="N104" s="500"/>
      <c r="O104" s="500"/>
      <c r="P104" s="12"/>
    </row>
    <row r="105" spans="1:16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71">
        <v>1435720</v>
      </c>
      <c r="F105" s="71"/>
      <c r="G105" s="201">
        <f>200000</f>
        <v>200000</v>
      </c>
      <c r="H105" s="201"/>
      <c r="I105" s="71">
        <v>0</v>
      </c>
      <c r="J105" s="488">
        <f>E105+F105+G105+H105+I105</f>
        <v>1635720</v>
      </c>
      <c r="K105" s="488">
        <v>1050209.0634999999</v>
      </c>
      <c r="L105" s="488">
        <f>J105-K105</f>
        <v>585510.93649999995</v>
      </c>
      <c r="M105" s="490">
        <v>270672.24746666697</v>
      </c>
      <c r="N105" s="489">
        <v>180306.806858667</v>
      </c>
      <c r="O105" s="490">
        <f t="shared" ref="O105:O111" si="36">M105-N105</f>
        <v>90365.440607999903</v>
      </c>
      <c r="P105" s="12"/>
    </row>
    <row r="106" spans="1:16" ht="20.149999999999999" customHeight="1">
      <c r="A106" s="3">
        <v>2</v>
      </c>
      <c r="B106" s="10" t="s">
        <v>375</v>
      </c>
      <c r="C106" s="3" t="s">
        <v>376</v>
      </c>
      <c r="D106" s="15" t="s">
        <v>231</v>
      </c>
      <c r="E106" s="71">
        <v>762373.16666666698</v>
      </c>
      <c r="F106" s="71"/>
      <c r="G106" s="201">
        <f>160000+20000</f>
        <v>180000</v>
      </c>
      <c r="H106" s="201"/>
      <c r="I106" s="71">
        <v>0</v>
      </c>
      <c r="J106" s="488">
        <f t="shared" ref="J106:J111" si="37">E106+F106+G106+H106+I106</f>
        <v>942373.16666666698</v>
      </c>
      <c r="K106" s="488">
        <v>631465.02474999998</v>
      </c>
      <c r="L106" s="488">
        <f t="shared" ref="L106:L111" si="38">J106-K106</f>
        <v>310908.14191666699</v>
      </c>
      <c r="M106" s="490">
        <v>147687.52761066699</v>
      </c>
      <c r="N106" s="489">
        <v>99703.216202666707</v>
      </c>
      <c r="O106" s="490">
        <f t="shared" si="36"/>
        <v>47984.311408000001</v>
      </c>
      <c r="P106" s="12"/>
    </row>
    <row r="107" spans="1:16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71">
        <v>441804.91666666698</v>
      </c>
      <c r="F107" s="71"/>
      <c r="G107" s="201">
        <f>120000</f>
        <v>120000</v>
      </c>
      <c r="H107" s="201"/>
      <c r="I107" s="71">
        <v>41432.938524999998</v>
      </c>
      <c r="J107" s="488">
        <f t="shared" si="37"/>
        <v>603237.85519166698</v>
      </c>
      <c r="K107" s="488">
        <v>418096.01602500002</v>
      </c>
      <c r="L107" s="488">
        <f t="shared" si="38"/>
        <v>185141.83916666699</v>
      </c>
      <c r="M107" s="490">
        <v>87575.782703466699</v>
      </c>
      <c r="N107" s="489">
        <v>58814.673103466703</v>
      </c>
      <c r="O107" s="490">
        <f t="shared" si="36"/>
        <v>28761.1096</v>
      </c>
      <c r="P107" s="12"/>
    </row>
    <row r="108" spans="1:16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71">
        <v>441804.91666666698</v>
      </c>
      <c r="F108" s="71"/>
      <c r="G108" s="201">
        <f>120000</f>
        <v>120000</v>
      </c>
      <c r="H108" s="201"/>
      <c r="I108" s="71">
        <v>39820.116654999998</v>
      </c>
      <c r="J108" s="488">
        <f t="shared" si="37"/>
        <v>601625.033321667</v>
      </c>
      <c r="K108" s="488">
        <v>416483.19415499998</v>
      </c>
      <c r="L108" s="488">
        <f t="shared" si="38"/>
        <v>185141.83916666699</v>
      </c>
      <c r="M108" s="490">
        <v>87392.5495444267</v>
      </c>
      <c r="N108" s="489">
        <v>58631.439944426696</v>
      </c>
      <c r="O108" s="490">
        <f t="shared" si="36"/>
        <v>28761.1096</v>
      </c>
      <c r="P108" s="12"/>
    </row>
    <row r="109" spans="1:16" ht="20.149999999999999" customHeight="1">
      <c r="A109" s="3">
        <v>5</v>
      </c>
      <c r="B109" s="10" t="s">
        <v>380</v>
      </c>
      <c r="C109" s="3" t="s">
        <v>381</v>
      </c>
      <c r="D109" s="14" t="s">
        <v>382</v>
      </c>
      <c r="E109" s="201">
        <v>249148.41666666701</v>
      </c>
      <c r="F109" s="71"/>
      <c r="G109" s="201">
        <f>100000</f>
        <v>100000</v>
      </c>
      <c r="H109" s="201"/>
      <c r="I109" s="71">
        <v>25333.447479999999</v>
      </c>
      <c r="J109" s="488">
        <f t="shared" si="37"/>
        <v>374481.86414666701</v>
      </c>
      <c r="K109" s="488">
        <v>266099.21747999999</v>
      </c>
      <c r="L109" s="488">
        <f t="shared" si="38"/>
        <v>108382.646666667</v>
      </c>
      <c r="M109" s="490">
        <v>46740.264902826697</v>
      </c>
      <c r="N109" s="489">
        <v>31871.335203306699</v>
      </c>
      <c r="O109" s="490">
        <f t="shared" si="36"/>
        <v>14868.92969952</v>
      </c>
      <c r="P109" s="12"/>
    </row>
    <row r="110" spans="1:16" ht="20.149999999999999" customHeight="1">
      <c r="A110" s="3">
        <v>6</v>
      </c>
      <c r="B110" s="17" t="s">
        <v>383</v>
      </c>
      <c r="C110" s="3" t="s">
        <v>381</v>
      </c>
      <c r="D110" s="9" t="s">
        <v>384</v>
      </c>
      <c r="E110" s="201">
        <v>242976.25</v>
      </c>
      <c r="F110" s="71"/>
      <c r="G110" s="201">
        <f>100000</f>
        <v>100000</v>
      </c>
      <c r="H110" s="201"/>
      <c r="I110" s="71">
        <v>24949.771000000001</v>
      </c>
      <c r="J110" s="488">
        <f t="shared" si="37"/>
        <v>367926.02100000001</v>
      </c>
      <c r="K110" s="488">
        <v>262229.04100000003</v>
      </c>
      <c r="L110" s="488">
        <f t="shared" si="38"/>
        <v>105696.98</v>
      </c>
      <c r="M110" s="490">
        <v>45712.637394666701</v>
      </c>
      <c r="N110" s="489">
        <v>31221.145554666698</v>
      </c>
      <c r="O110" s="490">
        <f t="shared" si="36"/>
        <v>14491.491840000001</v>
      </c>
      <c r="P110" s="12"/>
    </row>
    <row r="111" spans="1:16" ht="20.149999999999999" customHeight="1">
      <c r="A111" s="3">
        <v>7</v>
      </c>
      <c r="B111" s="17" t="s">
        <v>385</v>
      </c>
      <c r="C111" s="3" t="s">
        <v>381</v>
      </c>
      <c r="D111" s="14" t="s">
        <v>291</v>
      </c>
      <c r="E111" s="201">
        <v>230631.91666666701</v>
      </c>
      <c r="F111" s="71"/>
      <c r="G111" s="201">
        <f t="shared" ref="G111" si="39">100000</f>
        <v>100000</v>
      </c>
      <c r="H111" s="201"/>
      <c r="I111" s="71">
        <v>24566.195445000001</v>
      </c>
      <c r="J111" s="488">
        <f t="shared" si="37"/>
        <v>355198.112111667</v>
      </c>
      <c r="K111" s="488">
        <v>254870.26344499999</v>
      </c>
      <c r="L111" s="488">
        <f t="shared" si="38"/>
        <v>100327.84866666701</v>
      </c>
      <c r="M111" s="490">
        <v>43740.256541426701</v>
      </c>
      <c r="N111" s="489">
        <v>29984.870925426701</v>
      </c>
      <c r="O111" s="490">
        <f t="shared" si="36"/>
        <v>13755.385616</v>
      </c>
      <c r="P111" s="12"/>
    </row>
    <row r="112" spans="1:16" ht="25.5" customHeight="1">
      <c r="A112" s="3"/>
      <c r="B112" s="19" t="s">
        <v>34</v>
      </c>
      <c r="C112" s="20">
        <v>7</v>
      </c>
      <c r="D112" s="3"/>
      <c r="E112" s="204">
        <f>SUM(E105:E111)</f>
        <v>3804459.5833333302</v>
      </c>
      <c r="F112" s="204">
        <f t="shared" ref="F112:O112" si="40">SUM(F105:F111)</f>
        <v>0</v>
      </c>
      <c r="G112" s="204">
        <f t="shared" si="40"/>
        <v>920000</v>
      </c>
      <c r="H112" s="204">
        <f t="shared" si="40"/>
        <v>0</v>
      </c>
      <c r="I112" s="204">
        <f t="shared" si="40"/>
        <v>156102.469105</v>
      </c>
      <c r="J112" s="204">
        <f t="shared" si="40"/>
        <v>4880562.0524383299</v>
      </c>
      <c r="K112" s="204">
        <v>3299451.820355</v>
      </c>
      <c r="L112" s="204">
        <f t="shared" si="40"/>
        <v>1581110.2320833299</v>
      </c>
      <c r="M112" s="204">
        <f t="shared" si="40"/>
        <v>729521.26616414695</v>
      </c>
      <c r="N112" s="204">
        <v>490533.48779262701</v>
      </c>
      <c r="O112" s="204">
        <f t="shared" si="40"/>
        <v>238987.77837151999</v>
      </c>
      <c r="P112" s="12"/>
    </row>
    <row r="113" spans="1:16" ht="20.149999999999999" customHeight="1">
      <c r="A113" s="3"/>
      <c r="B113" s="19"/>
      <c r="C113" s="20"/>
      <c r="D113" s="3"/>
      <c r="E113" s="204"/>
      <c r="F113" s="204"/>
      <c r="G113" s="497"/>
      <c r="H113" s="497"/>
      <c r="I113" s="204"/>
      <c r="J113" s="501"/>
      <c r="K113" s="501"/>
      <c r="L113" s="501"/>
      <c r="M113" s="502"/>
      <c r="N113" s="502"/>
      <c r="O113" s="502"/>
      <c r="P113" s="12"/>
    </row>
    <row r="114" spans="1:16" ht="20.149999999999999" customHeight="1">
      <c r="A114" s="9"/>
      <c r="B114" s="19" t="s">
        <v>61</v>
      </c>
      <c r="C114" s="20"/>
      <c r="D114" s="20"/>
      <c r="E114" s="133"/>
      <c r="F114" s="133"/>
      <c r="G114" s="201"/>
      <c r="H114" s="201"/>
      <c r="I114" s="133"/>
      <c r="J114" s="495"/>
      <c r="K114" s="495"/>
      <c r="L114" s="495"/>
      <c r="M114" s="496"/>
      <c r="N114" s="496"/>
      <c r="O114" s="496"/>
      <c r="P114" s="12"/>
    </row>
    <row r="115" spans="1:16" ht="20.149999999999999" customHeight="1">
      <c r="A115" s="9">
        <v>1</v>
      </c>
      <c r="B115" s="13" t="s">
        <v>386</v>
      </c>
      <c r="C115" s="3" t="s">
        <v>310</v>
      </c>
      <c r="D115" s="9" t="s">
        <v>327</v>
      </c>
      <c r="E115" s="71">
        <v>601396.83333333302</v>
      </c>
      <c r="F115" s="71"/>
      <c r="G115" s="201">
        <v>160000</v>
      </c>
      <c r="H115" s="201"/>
      <c r="I115" s="71">
        <v>0</v>
      </c>
      <c r="J115" s="488">
        <f>E115+F115+G115+H115+I115</f>
        <v>761396.83333333302</v>
      </c>
      <c r="K115" s="488">
        <v>516137.05</v>
      </c>
      <c r="L115" s="488">
        <f>J115-K115</f>
        <v>245259.78333333301</v>
      </c>
      <c r="M115" s="490">
        <v>115462.53994666701</v>
      </c>
      <c r="N115" s="489">
        <v>77610.116906666706</v>
      </c>
      <c r="O115" s="490">
        <f>M115-N115</f>
        <v>37852.423040000001</v>
      </c>
      <c r="P115" s="12"/>
    </row>
    <row r="116" spans="1:16" ht="18.75" customHeight="1">
      <c r="A116" s="9">
        <v>2</v>
      </c>
      <c r="B116" s="10" t="s">
        <v>387</v>
      </c>
      <c r="C116" s="3" t="s">
        <v>388</v>
      </c>
      <c r="D116" s="14" t="s">
        <v>271</v>
      </c>
      <c r="E116" s="71">
        <v>377895.16666666698</v>
      </c>
      <c r="F116" s="71"/>
      <c r="G116" s="201">
        <v>110000</v>
      </c>
      <c r="H116" s="201">
        <v>0</v>
      </c>
      <c r="I116" s="71"/>
      <c r="J116" s="488">
        <f t="shared" ref="J116:J117" si="41">E116+F116+G116+H116+I116</f>
        <v>487895.16666666698</v>
      </c>
      <c r="K116" s="488">
        <v>334536.99849999999</v>
      </c>
      <c r="L116" s="488">
        <f t="shared" ref="L116:L117" si="42">J116-K116</f>
        <v>153358.16816666699</v>
      </c>
      <c r="M116" s="490">
        <v>66538.068906666696</v>
      </c>
      <c r="N116" s="489">
        <v>43368.882414666703</v>
      </c>
      <c r="O116" s="490">
        <f>M116-N116</f>
        <v>23169.186492000001</v>
      </c>
      <c r="P116" s="12"/>
    </row>
    <row r="117" spans="1:16" ht="20.149999999999999" customHeight="1">
      <c r="A117" s="9">
        <v>3</v>
      </c>
      <c r="B117" s="10" t="s">
        <v>389</v>
      </c>
      <c r="C117" s="11" t="s">
        <v>390</v>
      </c>
      <c r="D117" s="14" t="s">
        <v>391</v>
      </c>
      <c r="E117" s="71">
        <v>390086.5</v>
      </c>
      <c r="F117" s="71"/>
      <c r="G117" s="201"/>
      <c r="H117" s="201">
        <f>60000</f>
        <v>60000</v>
      </c>
      <c r="I117" s="71"/>
      <c r="J117" s="488">
        <f t="shared" si="41"/>
        <v>450086.5</v>
      </c>
      <c r="K117" s="488">
        <v>286619.99875000003</v>
      </c>
      <c r="L117" s="488">
        <f t="shared" si="42"/>
        <v>163466.50125</v>
      </c>
      <c r="M117" s="490">
        <v>58980.834746666696</v>
      </c>
      <c r="N117" s="489">
        <v>35221.954086666701</v>
      </c>
      <c r="O117" s="490">
        <f>M117-N117</f>
        <v>23758.880659999999</v>
      </c>
      <c r="P117" s="12"/>
    </row>
    <row r="118" spans="1:16" ht="24.75" customHeight="1">
      <c r="A118" s="3"/>
      <c r="B118" s="19" t="s">
        <v>34</v>
      </c>
      <c r="C118" s="20">
        <v>2</v>
      </c>
      <c r="D118" s="25"/>
      <c r="E118" s="79">
        <f>SUM(E115:E117)</f>
        <v>1369378.5</v>
      </c>
      <c r="F118" s="79">
        <f t="shared" ref="F118:O118" si="43">SUM(F115:F117)</f>
        <v>0</v>
      </c>
      <c r="G118" s="79">
        <f t="shared" si="43"/>
        <v>270000</v>
      </c>
      <c r="H118" s="79">
        <f t="shared" si="43"/>
        <v>60000</v>
      </c>
      <c r="I118" s="79">
        <f t="shared" si="43"/>
        <v>0</v>
      </c>
      <c r="J118" s="79">
        <f t="shared" si="43"/>
        <v>1699378.5</v>
      </c>
      <c r="K118" s="79">
        <v>1137294.0472500001</v>
      </c>
      <c r="L118" s="79">
        <f t="shared" si="43"/>
        <v>562084.45275000005</v>
      </c>
      <c r="M118" s="79">
        <f t="shared" si="43"/>
        <v>240981.4436</v>
      </c>
      <c r="N118" s="79">
        <v>156200.953408</v>
      </c>
      <c r="O118" s="79">
        <f t="shared" si="43"/>
        <v>84780.490191999997</v>
      </c>
      <c r="P118" s="12"/>
    </row>
    <row r="119" spans="1:16" ht="20.149999999999999" customHeight="1">
      <c r="A119" s="3"/>
      <c r="B119" s="21"/>
      <c r="C119" s="9"/>
      <c r="D119" s="3"/>
      <c r="E119" s="205"/>
      <c r="F119" s="8"/>
      <c r="G119" s="201"/>
      <c r="H119" s="201"/>
      <c r="I119" s="205"/>
      <c r="J119" s="503"/>
      <c r="K119" s="503"/>
      <c r="L119" s="503"/>
      <c r="M119" s="504"/>
      <c r="N119" s="504"/>
      <c r="O119" s="504"/>
      <c r="P119" s="12"/>
    </row>
    <row r="120" spans="1:16" ht="20.149999999999999" customHeight="1">
      <c r="A120" s="3"/>
      <c r="B120" s="19" t="s">
        <v>67</v>
      </c>
      <c r="C120" s="20"/>
      <c r="D120" s="20"/>
      <c r="E120" s="133"/>
      <c r="F120" s="133"/>
      <c r="G120" s="201"/>
      <c r="H120" s="201"/>
      <c r="I120" s="133"/>
      <c r="J120" s="495"/>
      <c r="K120" s="495"/>
      <c r="L120" s="495"/>
      <c r="M120" s="496"/>
      <c r="N120" s="496"/>
      <c r="O120" s="496"/>
      <c r="P120" s="12"/>
    </row>
    <row r="121" spans="1:16" ht="20.149999999999999" customHeight="1">
      <c r="A121" s="3">
        <v>1</v>
      </c>
      <c r="B121" s="10" t="s">
        <v>392</v>
      </c>
      <c r="C121" s="11" t="s">
        <v>393</v>
      </c>
      <c r="D121" s="14" t="s">
        <v>297</v>
      </c>
      <c r="E121" s="71">
        <v>1435720</v>
      </c>
      <c r="F121" s="71"/>
      <c r="G121" s="201"/>
      <c r="H121" s="201">
        <f>100000</f>
        <v>100000</v>
      </c>
      <c r="I121" s="71">
        <v>100000</v>
      </c>
      <c r="J121" s="488">
        <f>E121+F121+G121+H121+I121</f>
        <v>1635720</v>
      </c>
      <c r="K121" s="488">
        <v>1050209.0634999999</v>
      </c>
      <c r="L121" s="488">
        <f>J121-K121</f>
        <v>585510.93649999995</v>
      </c>
      <c r="M121" s="490">
        <v>270279.89537066699</v>
      </c>
      <c r="N121" s="489">
        <v>179914.45476266701</v>
      </c>
      <c r="O121" s="490">
        <f t="shared" ref="O121:O130" si="44">M121-N121</f>
        <v>90365.440608000004</v>
      </c>
      <c r="P121" s="12"/>
    </row>
    <row r="122" spans="1:16" ht="20.149999999999999" customHeight="1">
      <c r="A122" s="3">
        <v>2</v>
      </c>
      <c r="B122" s="10" t="s">
        <v>130</v>
      </c>
      <c r="C122" s="11" t="s">
        <v>394</v>
      </c>
      <c r="D122" s="14" t="s">
        <v>308</v>
      </c>
      <c r="E122" s="71">
        <v>739203.58333333302</v>
      </c>
      <c r="F122" s="71"/>
      <c r="G122" s="201"/>
      <c r="H122" s="201">
        <f>90000</f>
        <v>90000</v>
      </c>
      <c r="I122" s="71">
        <v>100000</v>
      </c>
      <c r="J122" s="488">
        <f t="shared" ref="J122:J130" si="45">E122+F122+G122+H122+I122</f>
        <v>929203.58333333302</v>
      </c>
      <c r="K122" s="488">
        <v>627743.99575</v>
      </c>
      <c r="L122" s="488">
        <f t="shared" ref="L122:L130" si="46">J122-K122</f>
        <v>301459.58758333302</v>
      </c>
      <c r="M122" s="490">
        <v>145522.03071466699</v>
      </c>
      <c r="N122" s="489">
        <v>98995.956938666699</v>
      </c>
      <c r="O122" s="490">
        <f t="shared" si="44"/>
        <v>46526.073775999997</v>
      </c>
      <c r="P122" s="12"/>
    </row>
    <row r="123" spans="1:16" ht="20.149999999999999" customHeight="1">
      <c r="A123" s="3">
        <v>3</v>
      </c>
      <c r="B123" s="13" t="s">
        <v>395</v>
      </c>
      <c r="C123" s="11" t="s">
        <v>227</v>
      </c>
      <c r="D123" s="14" t="s">
        <v>249</v>
      </c>
      <c r="E123" s="71">
        <v>620675.58333333302</v>
      </c>
      <c r="F123" s="71"/>
      <c r="G123" s="201"/>
      <c r="H123" s="201">
        <f t="shared" si="3"/>
        <v>80000</v>
      </c>
      <c r="I123" s="71">
        <f>100000+30000</f>
        <v>130000</v>
      </c>
      <c r="J123" s="488">
        <f t="shared" si="45"/>
        <v>830675.58333333302</v>
      </c>
      <c r="K123" s="488">
        <v>577553.50249999994</v>
      </c>
      <c r="L123" s="488">
        <f t="shared" si="46"/>
        <v>253122.08083333299</v>
      </c>
      <c r="M123" s="490">
        <v>128461.965706667</v>
      </c>
      <c r="N123" s="489">
        <v>89396.103146666603</v>
      </c>
      <c r="O123" s="490">
        <f t="shared" si="44"/>
        <v>39065.862560000001</v>
      </c>
      <c r="P123" s="12"/>
    </row>
    <row r="124" spans="1:16" ht="20.149999999999999" customHeight="1">
      <c r="A124" s="3">
        <v>4</v>
      </c>
      <c r="B124" s="13" t="s">
        <v>226</v>
      </c>
      <c r="C124" s="11" t="s">
        <v>227</v>
      </c>
      <c r="D124" s="14" t="s">
        <v>228</v>
      </c>
      <c r="E124" s="71">
        <v>582118.08333333302</v>
      </c>
      <c r="F124" s="71"/>
      <c r="G124" s="201"/>
      <c r="H124" s="201">
        <f t="shared" si="3"/>
        <v>80000</v>
      </c>
      <c r="I124" s="71">
        <v>0</v>
      </c>
      <c r="J124" s="488">
        <f t="shared" si="45"/>
        <v>662118.08333333302</v>
      </c>
      <c r="K124" s="488">
        <v>424729.22200000001</v>
      </c>
      <c r="L124" s="488">
        <f t="shared" si="46"/>
        <v>237388.86133333301</v>
      </c>
      <c r="M124" s="490">
        <v>105793.338666667</v>
      </c>
      <c r="N124" s="489">
        <v>60214.677290666703</v>
      </c>
      <c r="O124" s="490">
        <f t="shared" si="44"/>
        <v>45578.661375999996</v>
      </c>
      <c r="P124" s="12"/>
    </row>
    <row r="125" spans="1:16" ht="20.149999999999999" customHeight="1">
      <c r="A125" s="3">
        <v>5</v>
      </c>
      <c r="B125" s="10" t="s">
        <v>396</v>
      </c>
      <c r="C125" s="11" t="s">
        <v>397</v>
      </c>
      <c r="D125" s="14" t="s">
        <v>257</v>
      </c>
      <c r="E125" s="71">
        <v>470498</v>
      </c>
      <c r="F125" s="71"/>
      <c r="G125" s="201"/>
      <c r="H125" s="201">
        <f>70000</f>
        <v>70000</v>
      </c>
      <c r="I125" s="71">
        <v>0</v>
      </c>
      <c r="J125" s="488">
        <f t="shared" si="45"/>
        <v>540498</v>
      </c>
      <c r="K125" s="488">
        <v>343333.03525000002</v>
      </c>
      <c r="L125" s="488">
        <f t="shared" si="46"/>
        <v>197164.96475000001</v>
      </c>
      <c r="M125" s="490">
        <v>75215.4333866667</v>
      </c>
      <c r="N125" s="489">
        <v>44846.6165886667</v>
      </c>
      <c r="O125" s="490">
        <f t="shared" si="44"/>
        <v>30368.816798</v>
      </c>
      <c r="P125" s="12"/>
    </row>
    <row r="126" spans="1:16" ht="20.149999999999999" customHeight="1">
      <c r="A126" s="3">
        <v>6</v>
      </c>
      <c r="B126" s="10" t="s">
        <v>398</v>
      </c>
      <c r="C126" s="11" t="s">
        <v>399</v>
      </c>
      <c r="D126" s="14" t="s">
        <v>260</v>
      </c>
      <c r="E126" s="71">
        <v>442746.5</v>
      </c>
      <c r="F126" s="71"/>
      <c r="G126" s="201"/>
      <c r="H126" s="201">
        <f t="shared" ref="H126:H127" si="47">70000</f>
        <v>70000</v>
      </c>
      <c r="I126" s="71">
        <v>0</v>
      </c>
      <c r="J126" s="488">
        <f t="shared" si="45"/>
        <v>512746.5</v>
      </c>
      <c r="K126" s="488">
        <v>327211.36749999999</v>
      </c>
      <c r="L126" s="488">
        <f t="shared" si="46"/>
        <v>185535.13250000001</v>
      </c>
      <c r="M126" s="490">
        <v>70189.308746666706</v>
      </c>
      <c r="N126" s="489">
        <v>42029.589186666701</v>
      </c>
      <c r="O126" s="490">
        <f t="shared" si="44"/>
        <v>28159.719560000001</v>
      </c>
      <c r="P126" s="12"/>
    </row>
    <row r="127" spans="1:16" ht="20.149999999999999" customHeight="1">
      <c r="A127" s="3">
        <v>7</v>
      </c>
      <c r="B127" s="10" t="s">
        <v>400</v>
      </c>
      <c r="C127" s="11" t="s">
        <v>397</v>
      </c>
      <c r="D127" s="14" t="s">
        <v>342</v>
      </c>
      <c r="E127" s="71">
        <v>456622.25</v>
      </c>
      <c r="F127" s="71"/>
      <c r="G127" s="201"/>
      <c r="H127" s="201">
        <f t="shared" si="47"/>
        <v>70000</v>
      </c>
      <c r="I127" s="71"/>
      <c r="J127" s="488">
        <f t="shared" si="45"/>
        <v>526622.25</v>
      </c>
      <c r="K127" s="488">
        <v>335272.06374999997</v>
      </c>
      <c r="L127" s="488">
        <f t="shared" si="46"/>
        <v>191350.18625</v>
      </c>
      <c r="M127" s="490">
        <v>72636.104186666693</v>
      </c>
      <c r="N127" s="489">
        <v>43380.096246666697</v>
      </c>
      <c r="O127" s="490">
        <f t="shared" si="44"/>
        <v>29256.00794</v>
      </c>
      <c r="P127" s="12"/>
    </row>
    <row r="128" spans="1:16" ht="20.149999999999999" customHeight="1">
      <c r="A128" s="3">
        <v>8</v>
      </c>
      <c r="B128" s="10" t="s">
        <v>401</v>
      </c>
      <c r="C128" s="11" t="s">
        <v>402</v>
      </c>
      <c r="D128" s="9" t="s">
        <v>279</v>
      </c>
      <c r="E128" s="71">
        <v>270481.66666666698</v>
      </c>
      <c r="F128" s="71"/>
      <c r="G128" s="201"/>
      <c r="H128" s="201">
        <f>60000</f>
        <v>60000</v>
      </c>
      <c r="I128" s="71"/>
      <c r="J128" s="488">
        <f t="shared" si="45"/>
        <v>330481.66666666698</v>
      </c>
      <c r="K128" s="488">
        <v>213508.01</v>
      </c>
      <c r="L128" s="488">
        <f t="shared" si="46"/>
        <v>116973.656666667</v>
      </c>
      <c r="M128" s="490">
        <v>39052.313066666698</v>
      </c>
      <c r="N128" s="489">
        <v>23036.012346666699</v>
      </c>
      <c r="O128" s="490">
        <f t="shared" si="44"/>
        <v>16016.300719999999</v>
      </c>
      <c r="P128" s="12"/>
    </row>
    <row r="129" spans="1:16" ht="20.149999999999999" customHeight="1">
      <c r="A129" s="3">
        <v>9</v>
      </c>
      <c r="B129" s="17" t="s">
        <v>403</v>
      </c>
      <c r="C129" s="11" t="s">
        <v>404</v>
      </c>
      <c r="D129" s="14" t="s">
        <v>294</v>
      </c>
      <c r="E129" s="71">
        <v>224459.75</v>
      </c>
      <c r="F129" s="71"/>
      <c r="G129" s="201"/>
      <c r="H129" s="201">
        <f>50000</f>
        <v>50000</v>
      </c>
      <c r="I129" s="71"/>
      <c r="J129" s="488">
        <f t="shared" si="45"/>
        <v>274459.75</v>
      </c>
      <c r="K129" s="488">
        <v>176816.1</v>
      </c>
      <c r="L129" s="488">
        <f t="shared" si="46"/>
        <v>97643.65</v>
      </c>
      <c r="M129" s="490">
        <v>30259.165626666701</v>
      </c>
      <c r="N129" s="489">
        <v>17042.713866666702</v>
      </c>
      <c r="O129" s="490">
        <f t="shared" si="44"/>
        <v>13216.45176</v>
      </c>
      <c r="P129" s="12"/>
    </row>
    <row r="130" spans="1:16" ht="20.149999999999999" customHeight="1">
      <c r="A130" s="3">
        <v>10</v>
      </c>
      <c r="B130" s="17" t="s">
        <v>405</v>
      </c>
      <c r="C130" s="11" t="s">
        <v>69</v>
      </c>
      <c r="D130" s="14" t="s">
        <v>294</v>
      </c>
      <c r="E130" s="71">
        <v>224459.75</v>
      </c>
      <c r="F130" s="71"/>
      <c r="G130" s="201"/>
      <c r="H130" s="201">
        <v>50000</v>
      </c>
      <c r="I130" s="71"/>
      <c r="J130" s="488">
        <f t="shared" si="45"/>
        <v>274459.75</v>
      </c>
      <c r="K130" s="488">
        <v>176816.1</v>
      </c>
      <c r="L130" s="488">
        <f t="shared" si="46"/>
        <v>97643.65</v>
      </c>
      <c r="M130" s="490">
        <v>30259.165626666701</v>
      </c>
      <c r="N130" s="489">
        <v>17042.713866666702</v>
      </c>
      <c r="O130" s="490">
        <f t="shared" si="44"/>
        <v>13216.45176</v>
      </c>
      <c r="P130" s="12"/>
    </row>
    <row r="131" spans="1:16" ht="28.5" customHeight="1">
      <c r="A131" s="3"/>
      <c r="B131" s="19" t="s">
        <v>34</v>
      </c>
      <c r="C131" s="25" t="s">
        <v>406</v>
      </c>
      <c r="D131" s="14"/>
      <c r="E131" s="133">
        <f>SUM(E121:E130)</f>
        <v>5466985.1666666698</v>
      </c>
      <c r="F131" s="133">
        <f t="shared" ref="F131:O131" si="48">SUM(F121:F130)</f>
        <v>0</v>
      </c>
      <c r="G131" s="133">
        <f t="shared" si="48"/>
        <v>0</v>
      </c>
      <c r="H131" s="133">
        <f t="shared" si="48"/>
        <v>720000</v>
      </c>
      <c r="I131" s="133">
        <f t="shared" si="48"/>
        <v>330000</v>
      </c>
      <c r="J131" s="133">
        <f t="shared" si="48"/>
        <v>6516985.1666666698</v>
      </c>
      <c r="K131" s="133">
        <v>4253192.4602499995</v>
      </c>
      <c r="L131" s="133">
        <f t="shared" si="48"/>
        <v>2263792.7064166698</v>
      </c>
      <c r="M131" s="133">
        <f t="shared" si="48"/>
        <v>967668.72109866701</v>
      </c>
      <c r="N131" s="133">
        <v>615898.93424066703</v>
      </c>
      <c r="O131" s="133">
        <f t="shared" si="48"/>
        <v>351769.78685799998</v>
      </c>
      <c r="P131" s="12"/>
    </row>
    <row r="132" spans="1:16" ht="20.149999999999999" customHeight="1">
      <c r="A132" s="3"/>
      <c r="B132" s="21"/>
      <c r="C132" s="25"/>
      <c r="D132" s="14"/>
      <c r="E132" s="133"/>
      <c r="F132" s="133"/>
      <c r="G132" s="201"/>
      <c r="H132" s="201"/>
      <c r="I132" s="133"/>
      <c r="J132" s="495"/>
      <c r="K132" s="495"/>
      <c r="L132" s="495"/>
      <c r="M132" s="496"/>
      <c r="N132" s="496"/>
      <c r="O132" s="496"/>
      <c r="P132" s="12"/>
    </row>
    <row r="133" spans="1:16" ht="20.149999999999999" customHeight="1">
      <c r="A133" s="3"/>
      <c r="B133" s="19" t="s">
        <v>71</v>
      </c>
      <c r="C133" s="11"/>
      <c r="D133" s="14"/>
      <c r="E133" s="71"/>
      <c r="F133" s="71"/>
      <c r="G133" s="201"/>
      <c r="H133" s="201"/>
      <c r="I133" s="71"/>
      <c r="J133" s="488"/>
      <c r="K133" s="488"/>
      <c r="L133" s="488"/>
      <c r="M133" s="489"/>
      <c r="N133" s="489"/>
      <c r="O133" s="489"/>
      <c r="P133" s="12"/>
    </row>
    <row r="134" spans="1:16" ht="20.149999999999999" customHeight="1">
      <c r="A134" s="26">
        <v>1</v>
      </c>
      <c r="B134" s="10" t="s">
        <v>407</v>
      </c>
      <c r="C134" s="11" t="s">
        <v>408</v>
      </c>
      <c r="D134" s="14" t="s">
        <v>297</v>
      </c>
      <c r="E134" s="71">
        <v>1435720</v>
      </c>
      <c r="F134" s="71"/>
      <c r="G134" s="201"/>
      <c r="H134" s="201">
        <f>100000</f>
        <v>100000</v>
      </c>
      <c r="I134" s="71">
        <v>0</v>
      </c>
      <c r="J134" s="488">
        <f>E134+F134+G134+H134+I134</f>
        <v>1535720</v>
      </c>
      <c r="K134" s="488">
        <v>950209.06350000005</v>
      </c>
      <c r="L134" s="488">
        <f>J134-K134</f>
        <v>585510.93649999995</v>
      </c>
      <c r="M134" s="490">
        <v>251472.247466667</v>
      </c>
      <c r="N134" s="489">
        <v>161106.806858667</v>
      </c>
      <c r="O134" s="490">
        <f t="shared" ref="O134:O192" si="49">M134-N134</f>
        <v>90365.440607999903</v>
      </c>
      <c r="P134" s="12"/>
    </row>
    <row r="135" spans="1:16" ht="20.149999999999999" customHeight="1">
      <c r="A135" s="26">
        <v>2</v>
      </c>
      <c r="B135" s="10" t="s">
        <v>229</v>
      </c>
      <c r="C135" s="11" t="s">
        <v>230</v>
      </c>
      <c r="D135" s="14" t="s">
        <v>231</v>
      </c>
      <c r="E135" s="71">
        <v>762373.16666666698</v>
      </c>
      <c r="F135" s="71"/>
      <c r="G135" s="201"/>
      <c r="H135" s="201">
        <v>90000</v>
      </c>
      <c r="I135" s="71"/>
      <c r="J135" s="488">
        <f t="shared" ref="J135:J192" si="50">E135+F135+G135+H135+I135</f>
        <v>852373.16666666698</v>
      </c>
      <c r="K135" s="488">
        <v>541465.02474999998</v>
      </c>
      <c r="L135" s="488">
        <f t="shared" ref="L135:L192" si="51">J135-K135</f>
        <v>310908.14191666699</v>
      </c>
      <c r="M135" s="490">
        <v>142322.31466666699</v>
      </c>
      <c r="N135" s="489">
        <v>82627.951418666693</v>
      </c>
      <c r="O135" s="490">
        <f t="shared" si="49"/>
        <v>59694.363248000001</v>
      </c>
      <c r="P135" s="12"/>
    </row>
    <row r="136" spans="1:16" ht="20.149999999999999" customHeight="1">
      <c r="A136" s="26">
        <v>3</v>
      </c>
      <c r="B136" s="13" t="s">
        <v>409</v>
      </c>
      <c r="C136" s="3" t="s">
        <v>410</v>
      </c>
      <c r="D136" s="15" t="s">
        <v>231</v>
      </c>
      <c r="E136" s="71">
        <v>762373.16666666698</v>
      </c>
      <c r="F136" s="71"/>
      <c r="G136" s="201"/>
      <c r="H136" s="201">
        <f>80000+10000</f>
        <v>90000</v>
      </c>
      <c r="I136" s="71">
        <v>50000</v>
      </c>
      <c r="J136" s="488">
        <f t="shared" si="50"/>
        <v>902373.16666666698</v>
      </c>
      <c r="K136" s="488">
        <v>591465.02474999998</v>
      </c>
      <c r="L136" s="488">
        <f t="shared" si="51"/>
        <v>310908.14191666699</v>
      </c>
      <c r="M136" s="490">
        <v>140007.52761066699</v>
      </c>
      <c r="N136" s="489">
        <v>92023.216202666707</v>
      </c>
      <c r="O136" s="490">
        <f t="shared" si="49"/>
        <v>47984.311408000001</v>
      </c>
      <c r="P136" s="12"/>
    </row>
    <row r="137" spans="1:16" ht="20.149999999999999" customHeight="1">
      <c r="A137" s="26">
        <v>4</v>
      </c>
      <c r="B137" s="10" t="s">
        <v>411</v>
      </c>
      <c r="C137" s="11" t="s">
        <v>412</v>
      </c>
      <c r="D137" s="14" t="s">
        <v>254</v>
      </c>
      <c r="E137" s="71">
        <v>484373.75</v>
      </c>
      <c r="F137" s="71"/>
      <c r="G137" s="201"/>
      <c r="H137" s="201">
        <v>70000</v>
      </c>
      <c r="I137" s="71"/>
      <c r="J137" s="488">
        <f t="shared" si="50"/>
        <v>554373.75</v>
      </c>
      <c r="K137" s="488">
        <v>351394.00675</v>
      </c>
      <c r="L137" s="488">
        <f t="shared" si="51"/>
        <v>202979.74325</v>
      </c>
      <c r="M137" s="490">
        <v>77529.694778666701</v>
      </c>
      <c r="N137" s="489">
        <v>46081.202598666699</v>
      </c>
      <c r="O137" s="490">
        <f t="shared" si="49"/>
        <v>31448.492180000001</v>
      </c>
      <c r="P137" s="12"/>
    </row>
    <row r="138" spans="1:16" ht="20.149999999999999" customHeight="1">
      <c r="A138" s="26">
        <v>5</v>
      </c>
      <c r="B138" s="10" t="s">
        <v>413</v>
      </c>
      <c r="C138" s="3" t="s">
        <v>414</v>
      </c>
      <c r="D138" s="14" t="s">
        <v>254</v>
      </c>
      <c r="E138" s="71">
        <v>484373.75</v>
      </c>
      <c r="F138" s="71"/>
      <c r="G138" s="201"/>
      <c r="H138" s="201">
        <v>70000</v>
      </c>
      <c r="I138" s="71">
        <v>0</v>
      </c>
      <c r="J138" s="488">
        <f t="shared" si="50"/>
        <v>554373.75</v>
      </c>
      <c r="K138" s="488">
        <v>351394.00675</v>
      </c>
      <c r="L138" s="488">
        <f t="shared" si="51"/>
        <v>202979.74325</v>
      </c>
      <c r="M138" s="490">
        <v>77529.694778666701</v>
      </c>
      <c r="N138" s="489">
        <v>46081.202598666699</v>
      </c>
      <c r="O138" s="490">
        <f t="shared" si="49"/>
        <v>31448.492180000001</v>
      </c>
      <c r="P138" s="12"/>
    </row>
    <row r="139" spans="1:16" ht="20.149999999999999" customHeight="1">
      <c r="A139" s="26">
        <v>6</v>
      </c>
      <c r="B139" s="10" t="s">
        <v>415</v>
      </c>
      <c r="C139" s="3" t="s">
        <v>414</v>
      </c>
      <c r="D139" s="14" t="s">
        <v>254</v>
      </c>
      <c r="E139" s="71">
        <v>484373.75</v>
      </c>
      <c r="F139" s="71"/>
      <c r="G139" s="201"/>
      <c r="H139" s="201">
        <v>70000</v>
      </c>
      <c r="I139" s="71">
        <v>0</v>
      </c>
      <c r="J139" s="488">
        <f t="shared" si="50"/>
        <v>554373.75</v>
      </c>
      <c r="K139" s="488">
        <v>351394.00675</v>
      </c>
      <c r="L139" s="488">
        <f t="shared" si="51"/>
        <v>202979.74325</v>
      </c>
      <c r="M139" s="490">
        <v>77529.694778666701</v>
      </c>
      <c r="N139" s="489">
        <v>46081.202598666699</v>
      </c>
      <c r="O139" s="490">
        <f t="shared" si="49"/>
        <v>31448.492180000001</v>
      </c>
      <c r="P139" s="12"/>
    </row>
    <row r="140" spans="1:16" ht="20.149999999999999" customHeight="1">
      <c r="A140" s="26">
        <v>7</v>
      </c>
      <c r="B140" s="10" t="s">
        <v>416</v>
      </c>
      <c r="C140" s="11" t="s">
        <v>417</v>
      </c>
      <c r="D140" s="14" t="s">
        <v>391</v>
      </c>
      <c r="E140" s="71">
        <v>390086.5</v>
      </c>
      <c r="F140" s="71"/>
      <c r="G140" s="201"/>
      <c r="H140" s="201">
        <f t="shared" ref="H140:H145" si="52">60000</f>
        <v>60000</v>
      </c>
      <c r="I140" s="71">
        <v>0</v>
      </c>
      <c r="J140" s="488">
        <f t="shared" si="50"/>
        <v>450086.5</v>
      </c>
      <c r="K140" s="488">
        <v>286619.99875000003</v>
      </c>
      <c r="L140" s="488">
        <f t="shared" si="51"/>
        <v>163466.50125</v>
      </c>
      <c r="M140" s="490">
        <v>58980.834746666696</v>
      </c>
      <c r="N140" s="489">
        <v>35221.954086666701</v>
      </c>
      <c r="O140" s="490">
        <f t="shared" si="49"/>
        <v>23758.880659999999</v>
      </c>
      <c r="P140" s="12"/>
    </row>
    <row r="141" spans="1:16" ht="20.149999999999999" customHeight="1">
      <c r="A141" s="26">
        <v>8</v>
      </c>
      <c r="B141" s="10" t="s">
        <v>418</v>
      </c>
      <c r="C141" s="11" t="s">
        <v>417</v>
      </c>
      <c r="D141" s="14" t="s">
        <v>391</v>
      </c>
      <c r="E141" s="71">
        <v>390086.5</v>
      </c>
      <c r="F141" s="71"/>
      <c r="G141" s="201"/>
      <c r="H141" s="201">
        <f t="shared" si="52"/>
        <v>60000</v>
      </c>
      <c r="I141" s="71">
        <v>0</v>
      </c>
      <c r="J141" s="488">
        <f t="shared" si="50"/>
        <v>450086.5</v>
      </c>
      <c r="K141" s="488">
        <v>286619.99875000003</v>
      </c>
      <c r="L141" s="488">
        <f t="shared" si="51"/>
        <v>163466.50125</v>
      </c>
      <c r="M141" s="490">
        <v>59091.5460266667</v>
      </c>
      <c r="N141" s="489">
        <v>35318.826456666699</v>
      </c>
      <c r="O141" s="490">
        <f t="shared" si="49"/>
        <v>23772.719570000001</v>
      </c>
      <c r="P141" s="12"/>
    </row>
    <row r="142" spans="1:16" ht="20.149999999999999" customHeight="1">
      <c r="A142" s="26">
        <v>9</v>
      </c>
      <c r="B142" s="10" t="s">
        <v>419</v>
      </c>
      <c r="C142" s="3" t="s">
        <v>420</v>
      </c>
      <c r="D142" s="14" t="s">
        <v>391</v>
      </c>
      <c r="E142" s="71">
        <v>390086.5</v>
      </c>
      <c r="F142" s="71"/>
      <c r="G142" s="201"/>
      <c r="H142" s="201">
        <f t="shared" si="52"/>
        <v>60000</v>
      </c>
      <c r="I142" s="71"/>
      <c r="J142" s="488">
        <f t="shared" si="50"/>
        <v>450086.5</v>
      </c>
      <c r="K142" s="488">
        <v>286619.99875000003</v>
      </c>
      <c r="L142" s="488">
        <f t="shared" si="51"/>
        <v>163466.50125</v>
      </c>
      <c r="M142" s="490">
        <v>59091.5460266667</v>
      </c>
      <c r="N142" s="489">
        <v>35318.826456666699</v>
      </c>
      <c r="O142" s="490">
        <f t="shared" si="49"/>
        <v>23772.719570000001</v>
      </c>
      <c r="P142" s="12"/>
    </row>
    <row r="143" spans="1:16" ht="20.149999999999999" customHeight="1">
      <c r="A143" s="26">
        <v>10</v>
      </c>
      <c r="B143" s="10" t="s">
        <v>421</v>
      </c>
      <c r="C143" s="11" t="s">
        <v>422</v>
      </c>
      <c r="D143" s="14" t="s">
        <v>271</v>
      </c>
      <c r="E143" s="71">
        <v>377895.16666666698</v>
      </c>
      <c r="F143" s="71"/>
      <c r="G143" s="201"/>
      <c r="H143" s="201">
        <f t="shared" si="52"/>
        <v>60000</v>
      </c>
      <c r="I143" s="71"/>
      <c r="J143" s="488">
        <f t="shared" si="50"/>
        <v>437895.16666666698</v>
      </c>
      <c r="K143" s="488">
        <v>284536.99849999999</v>
      </c>
      <c r="L143" s="488">
        <f t="shared" si="51"/>
        <v>153358.16816666699</v>
      </c>
      <c r="M143" s="490">
        <v>56938.068906666696</v>
      </c>
      <c r="N143" s="489">
        <v>34968.882414666703</v>
      </c>
      <c r="O143" s="490">
        <f t="shared" si="49"/>
        <v>21969.186492000001</v>
      </c>
      <c r="P143" s="12"/>
    </row>
    <row r="144" spans="1:16" ht="20.149999999999999" customHeight="1">
      <c r="A144" s="26">
        <v>11</v>
      </c>
      <c r="B144" s="10" t="s">
        <v>423</v>
      </c>
      <c r="C144" s="11" t="s">
        <v>424</v>
      </c>
      <c r="D144" s="14" t="s">
        <v>332</v>
      </c>
      <c r="E144" s="71">
        <v>365703.83333333302</v>
      </c>
      <c r="F144" s="71"/>
      <c r="G144" s="201"/>
      <c r="H144" s="201">
        <f t="shared" si="52"/>
        <v>60000</v>
      </c>
      <c r="I144" s="71"/>
      <c r="J144" s="488">
        <f t="shared" si="50"/>
        <v>425703.83333333302</v>
      </c>
      <c r="K144" s="488">
        <v>272454.07400000002</v>
      </c>
      <c r="L144" s="488">
        <f t="shared" si="51"/>
        <v>153249.759333333</v>
      </c>
      <c r="M144" s="490">
        <v>54681.291562666702</v>
      </c>
      <c r="N144" s="489">
        <v>32848.563402666703</v>
      </c>
      <c r="O144" s="490">
        <f t="shared" si="49"/>
        <v>21832.728159999999</v>
      </c>
      <c r="P144" s="12"/>
    </row>
    <row r="145" spans="1:16" ht="20.149999999999999" customHeight="1">
      <c r="A145" s="26">
        <v>12</v>
      </c>
      <c r="B145" s="10" t="s">
        <v>425</v>
      </c>
      <c r="C145" s="11" t="s">
        <v>426</v>
      </c>
      <c r="D145" s="14" t="s">
        <v>391</v>
      </c>
      <c r="E145" s="71">
        <v>390086.5</v>
      </c>
      <c r="F145" s="71"/>
      <c r="G145" s="201"/>
      <c r="H145" s="201">
        <f t="shared" si="52"/>
        <v>60000</v>
      </c>
      <c r="I145" s="71"/>
      <c r="J145" s="488">
        <f t="shared" si="50"/>
        <v>450086.5</v>
      </c>
      <c r="K145" s="488">
        <v>286619.99875000003</v>
      </c>
      <c r="L145" s="488">
        <f t="shared" si="51"/>
        <v>163466.50125</v>
      </c>
      <c r="M145" s="490">
        <v>58980.834746666696</v>
      </c>
      <c r="N145" s="489">
        <v>35221.954086666701</v>
      </c>
      <c r="O145" s="490">
        <f t="shared" si="49"/>
        <v>23758.880659999999</v>
      </c>
      <c r="P145" s="12"/>
    </row>
    <row r="146" spans="1:16" ht="20.149999999999999" customHeight="1">
      <c r="A146" s="26">
        <v>13</v>
      </c>
      <c r="B146" s="17" t="s">
        <v>427</v>
      </c>
      <c r="C146" s="3" t="s">
        <v>428</v>
      </c>
      <c r="D146" s="14" t="s">
        <v>42</v>
      </c>
      <c r="E146" s="201">
        <v>353512.5</v>
      </c>
      <c r="F146" s="71"/>
      <c r="G146" s="201"/>
      <c r="H146" s="201">
        <v>60000</v>
      </c>
      <c r="I146" s="71"/>
      <c r="J146" s="488">
        <f t="shared" si="50"/>
        <v>413512.5</v>
      </c>
      <c r="K146" s="488">
        <v>265372.07500000001</v>
      </c>
      <c r="L146" s="488">
        <f t="shared" si="51"/>
        <v>148140.42499999999</v>
      </c>
      <c r="M146" s="490">
        <v>52631.114666666697</v>
      </c>
      <c r="N146" s="489">
        <v>31749.175266666702</v>
      </c>
      <c r="O146" s="490">
        <f t="shared" si="49"/>
        <v>20881.939399999999</v>
      </c>
      <c r="P146" s="12"/>
    </row>
    <row r="147" spans="1:16" ht="20.149999999999999" customHeight="1">
      <c r="A147" s="26">
        <v>14</v>
      </c>
      <c r="B147" s="10" t="s">
        <v>429</v>
      </c>
      <c r="C147" s="3" t="s">
        <v>430</v>
      </c>
      <c r="D147" s="14" t="s">
        <v>345</v>
      </c>
      <c r="E147" s="201">
        <v>308901.5</v>
      </c>
      <c r="F147" s="71"/>
      <c r="G147" s="201"/>
      <c r="H147" s="201">
        <f>60000</f>
        <v>60000</v>
      </c>
      <c r="I147" s="71"/>
      <c r="J147" s="488">
        <f t="shared" si="50"/>
        <v>368901.5</v>
      </c>
      <c r="K147" s="488">
        <v>237734.04699999999</v>
      </c>
      <c r="L147" s="488">
        <f t="shared" si="51"/>
        <v>131167.45300000001</v>
      </c>
      <c r="M147" s="490">
        <v>44990.482506666704</v>
      </c>
      <c r="N147" s="489">
        <v>27105.986562666702</v>
      </c>
      <c r="O147" s="490">
        <f t="shared" si="49"/>
        <v>17884.495943999998</v>
      </c>
      <c r="P147" s="12"/>
    </row>
    <row r="148" spans="1:16" ht="20.149999999999999" customHeight="1">
      <c r="A148" s="26">
        <v>15</v>
      </c>
      <c r="B148" s="10" t="s">
        <v>431</v>
      </c>
      <c r="C148" s="3" t="s">
        <v>430</v>
      </c>
      <c r="D148" s="14" t="s">
        <v>432</v>
      </c>
      <c r="E148" s="201">
        <v>316837.41666666698</v>
      </c>
      <c r="F148" s="71"/>
      <c r="G148" s="201"/>
      <c r="H148" s="201">
        <f>60000</f>
        <v>60000</v>
      </c>
      <c r="I148" s="71"/>
      <c r="J148" s="488">
        <f t="shared" si="50"/>
        <v>376837.41666666698</v>
      </c>
      <c r="K148" s="488">
        <v>242300.07750000001</v>
      </c>
      <c r="L148" s="488">
        <f t="shared" si="51"/>
        <v>134537.33916666699</v>
      </c>
      <c r="M148" s="490">
        <v>46138.184726666703</v>
      </c>
      <c r="N148" s="489">
        <v>27794.206626666699</v>
      </c>
      <c r="O148" s="490">
        <f t="shared" si="49"/>
        <v>18343.9781</v>
      </c>
      <c r="P148" s="12"/>
    </row>
    <row r="149" spans="1:16" ht="20.149999999999999" customHeight="1">
      <c r="A149" s="26">
        <v>16</v>
      </c>
      <c r="B149" s="10" t="s">
        <v>433</v>
      </c>
      <c r="C149" s="3" t="s">
        <v>430</v>
      </c>
      <c r="D149" s="14" t="s">
        <v>432</v>
      </c>
      <c r="E149" s="201">
        <v>316837.41666666698</v>
      </c>
      <c r="F149" s="71"/>
      <c r="G149" s="201"/>
      <c r="H149" s="201">
        <f>60000</f>
        <v>60000</v>
      </c>
      <c r="I149" s="71"/>
      <c r="J149" s="488">
        <f t="shared" si="50"/>
        <v>376837.41666666698</v>
      </c>
      <c r="K149" s="488">
        <v>242300.07750000001</v>
      </c>
      <c r="L149" s="488">
        <f t="shared" si="51"/>
        <v>134537.33916666699</v>
      </c>
      <c r="M149" s="490">
        <v>46217.057786666701</v>
      </c>
      <c r="N149" s="489">
        <v>27873.079686666701</v>
      </c>
      <c r="O149" s="490">
        <f t="shared" si="49"/>
        <v>18343.9781</v>
      </c>
      <c r="P149" s="12"/>
    </row>
    <row r="150" spans="1:16" ht="20.149999999999999" customHeight="1">
      <c r="A150" s="26">
        <v>17</v>
      </c>
      <c r="B150" s="10" t="s">
        <v>434</v>
      </c>
      <c r="C150" s="11" t="s">
        <v>435</v>
      </c>
      <c r="D150" s="14" t="s">
        <v>301</v>
      </c>
      <c r="E150" s="201">
        <v>300965.58333333302</v>
      </c>
      <c r="F150" s="71"/>
      <c r="G150" s="201"/>
      <c r="H150" s="201">
        <f>60000</f>
        <v>60000</v>
      </c>
      <c r="I150" s="71"/>
      <c r="J150" s="488">
        <f t="shared" si="50"/>
        <v>360965.58333333302</v>
      </c>
      <c r="K150" s="488">
        <v>237734.04699999999</v>
      </c>
      <c r="L150" s="488">
        <f t="shared" si="51"/>
        <v>123231.536333333</v>
      </c>
      <c r="M150" s="490">
        <v>43763.907226666699</v>
      </c>
      <c r="N150" s="489">
        <v>27105.986562666702</v>
      </c>
      <c r="O150" s="490">
        <f t="shared" si="49"/>
        <v>16657.920664000001</v>
      </c>
      <c r="P150" s="12"/>
    </row>
    <row r="151" spans="1:16" ht="20.149999999999999" customHeight="1">
      <c r="A151" s="26">
        <v>18</v>
      </c>
      <c r="B151" s="10" t="s">
        <v>436</v>
      </c>
      <c r="C151" s="11" t="s">
        <v>437</v>
      </c>
      <c r="D151" s="9" t="s">
        <v>283</v>
      </c>
      <c r="E151" s="71">
        <v>263165.33333333302</v>
      </c>
      <c r="F151" s="71"/>
      <c r="G151" s="201"/>
      <c r="H151" s="201">
        <f>60000</f>
        <v>60000</v>
      </c>
      <c r="I151" s="71"/>
      <c r="J151" s="488">
        <f t="shared" si="50"/>
        <v>323165.33333333302</v>
      </c>
      <c r="K151" s="488">
        <v>209356.04725</v>
      </c>
      <c r="L151" s="488">
        <f t="shared" si="51"/>
        <v>113809.28608333301</v>
      </c>
      <c r="M151" s="490">
        <v>37921.500586666698</v>
      </c>
      <c r="N151" s="489">
        <v>22338.4826046667</v>
      </c>
      <c r="O151" s="490">
        <f t="shared" si="49"/>
        <v>15583.017981999999</v>
      </c>
      <c r="P151" s="12"/>
    </row>
    <row r="152" spans="1:16" ht="20.149999999999999" customHeight="1">
      <c r="A152" s="26">
        <v>19</v>
      </c>
      <c r="B152" s="10" t="s">
        <v>438</v>
      </c>
      <c r="C152" s="11" t="s">
        <v>439</v>
      </c>
      <c r="D152" s="14" t="s">
        <v>345</v>
      </c>
      <c r="E152" s="201">
        <v>308901.5</v>
      </c>
      <c r="F152" s="71"/>
      <c r="G152" s="201"/>
      <c r="H152" s="201">
        <f>50000+10000</f>
        <v>60000</v>
      </c>
      <c r="I152" s="71"/>
      <c r="J152" s="488">
        <f t="shared" si="50"/>
        <v>368901.5</v>
      </c>
      <c r="K152" s="488">
        <v>237734.04699999999</v>
      </c>
      <c r="L152" s="488">
        <f t="shared" si="51"/>
        <v>131167.45300000001</v>
      </c>
      <c r="M152" s="490">
        <v>44990.482506666704</v>
      </c>
      <c r="N152" s="489">
        <v>27105.986562666702</v>
      </c>
      <c r="O152" s="490">
        <f t="shared" si="49"/>
        <v>17884.495943999998</v>
      </c>
      <c r="P152" s="12"/>
    </row>
    <row r="153" spans="1:16" ht="20.149999999999999" customHeight="1">
      <c r="A153" s="26">
        <v>20</v>
      </c>
      <c r="B153" s="10" t="s">
        <v>440</v>
      </c>
      <c r="C153" s="11" t="s">
        <v>441</v>
      </c>
      <c r="D153" s="14" t="s">
        <v>279</v>
      </c>
      <c r="E153" s="201">
        <v>270481.66666666698</v>
      </c>
      <c r="F153" s="71"/>
      <c r="G153" s="201"/>
      <c r="H153" s="201">
        <f>50000+10000</f>
        <v>60000</v>
      </c>
      <c r="I153" s="71"/>
      <c r="J153" s="488">
        <f t="shared" si="50"/>
        <v>330481.66666666698</v>
      </c>
      <c r="K153" s="488">
        <v>213508.01</v>
      </c>
      <c r="L153" s="488">
        <f t="shared" si="51"/>
        <v>116973.656666667</v>
      </c>
      <c r="M153" s="490">
        <v>39052.313066666698</v>
      </c>
      <c r="N153" s="489">
        <v>23036.012346666699</v>
      </c>
      <c r="O153" s="490">
        <f t="shared" si="49"/>
        <v>16016.300719999999</v>
      </c>
      <c r="P153" s="12"/>
    </row>
    <row r="154" spans="1:16" ht="20.149999999999999" customHeight="1">
      <c r="A154" s="26">
        <v>21</v>
      </c>
      <c r="B154" s="10" t="s">
        <v>442</v>
      </c>
      <c r="C154" s="11" t="s">
        <v>443</v>
      </c>
      <c r="D154" s="14" t="s">
        <v>345</v>
      </c>
      <c r="E154" s="201">
        <v>308901.5</v>
      </c>
      <c r="F154" s="71"/>
      <c r="G154" s="201"/>
      <c r="H154" s="201">
        <f>50000+10000</f>
        <v>60000</v>
      </c>
      <c r="I154" s="71"/>
      <c r="J154" s="488">
        <f t="shared" si="50"/>
        <v>368901.5</v>
      </c>
      <c r="K154" s="488">
        <v>237734.04699999999</v>
      </c>
      <c r="L154" s="488">
        <f t="shared" si="51"/>
        <v>131167.45300000001</v>
      </c>
      <c r="M154" s="490">
        <v>44913.699618666702</v>
      </c>
      <c r="N154" s="489">
        <v>27029.2036746667</v>
      </c>
      <c r="O154" s="490">
        <f t="shared" si="49"/>
        <v>17884.495943999998</v>
      </c>
      <c r="P154" s="12"/>
    </row>
    <row r="155" spans="1:16" ht="20.149999999999999" customHeight="1">
      <c r="A155" s="26">
        <v>22</v>
      </c>
      <c r="B155" s="10" t="s">
        <v>444</v>
      </c>
      <c r="C155" s="11" t="s">
        <v>445</v>
      </c>
      <c r="D155" s="14" t="s">
        <v>279</v>
      </c>
      <c r="E155" s="201">
        <v>270481.66666666698</v>
      </c>
      <c r="F155" s="71"/>
      <c r="G155" s="201"/>
      <c r="H155" s="201">
        <f>50000+10000</f>
        <v>60000</v>
      </c>
      <c r="I155" s="71"/>
      <c r="J155" s="488">
        <f t="shared" si="50"/>
        <v>330481.66666666698</v>
      </c>
      <c r="K155" s="488">
        <v>209356.04725</v>
      </c>
      <c r="L155" s="488">
        <f t="shared" si="51"/>
        <v>121125.619416667</v>
      </c>
      <c r="M155" s="490">
        <v>39052.313066666698</v>
      </c>
      <c r="N155" s="489">
        <v>22338.4826046667</v>
      </c>
      <c r="O155" s="490">
        <f t="shared" si="49"/>
        <v>16713.830462000002</v>
      </c>
      <c r="P155" s="12"/>
    </row>
    <row r="156" spans="1:16" ht="20.149999999999999" customHeight="1">
      <c r="A156" s="26">
        <v>23</v>
      </c>
      <c r="B156" s="17" t="s">
        <v>446</v>
      </c>
      <c r="C156" s="11" t="s">
        <v>447</v>
      </c>
      <c r="D156" s="14" t="s">
        <v>25</v>
      </c>
      <c r="E156" s="201">
        <v>255849</v>
      </c>
      <c r="F156" s="71"/>
      <c r="G156" s="201"/>
      <c r="H156" s="201">
        <f>60000</f>
        <v>60000</v>
      </c>
      <c r="I156" s="3"/>
      <c r="J156" s="488">
        <f t="shared" si="50"/>
        <v>315849</v>
      </c>
      <c r="K156" s="488">
        <v>205204.0845</v>
      </c>
      <c r="L156" s="488">
        <f t="shared" si="51"/>
        <v>110644.9155</v>
      </c>
      <c r="M156" s="490">
        <v>36790.688106666697</v>
      </c>
      <c r="N156" s="489">
        <v>21640.952862666702</v>
      </c>
      <c r="O156" s="490">
        <f t="shared" si="49"/>
        <v>15149.735244</v>
      </c>
      <c r="P156" s="12"/>
    </row>
    <row r="157" spans="1:16" ht="20.149999999999999" customHeight="1">
      <c r="A157" s="26">
        <v>24</v>
      </c>
      <c r="B157" s="17" t="s">
        <v>448</v>
      </c>
      <c r="C157" s="11" t="s">
        <v>449</v>
      </c>
      <c r="D157" s="14" t="s">
        <v>294</v>
      </c>
      <c r="E157" s="71">
        <v>224459.75</v>
      </c>
      <c r="F157" s="71"/>
      <c r="G157" s="201"/>
      <c r="H157" s="201">
        <f>50000</f>
        <v>50000</v>
      </c>
      <c r="I157" s="71"/>
      <c r="J157" s="488">
        <f t="shared" si="50"/>
        <v>274459.75</v>
      </c>
      <c r="K157" s="488">
        <v>176816.1</v>
      </c>
      <c r="L157" s="488">
        <f t="shared" si="51"/>
        <v>97643.65</v>
      </c>
      <c r="M157" s="490">
        <v>30259.165626666701</v>
      </c>
      <c r="N157" s="489">
        <v>17042.713866666702</v>
      </c>
      <c r="O157" s="490">
        <f t="shared" si="49"/>
        <v>13216.45176</v>
      </c>
      <c r="P157" s="12"/>
    </row>
    <row r="158" spans="1:16" ht="20.149999999999999" customHeight="1">
      <c r="A158" s="26">
        <v>25</v>
      </c>
      <c r="B158" s="17" t="s">
        <v>450</v>
      </c>
      <c r="C158" s="11" t="s">
        <v>451</v>
      </c>
      <c r="D158" s="14" t="s">
        <v>294</v>
      </c>
      <c r="E158" s="71">
        <v>224459.75</v>
      </c>
      <c r="F158" s="71"/>
      <c r="G158" s="201"/>
      <c r="H158" s="201">
        <f>50000</f>
        <v>50000</v>
      </c>
      <c r="I158" s="71"/>
      <c r="J158" s="488">
        <f t="shared" si="50"/>
        <v>274459.75</v>
      </c>
      <c r="K158" s="488">
        <v>176816.1</v>
      </c>
      <c r="L158" s="488">
        <f t="shared" si="51"/>
        <v>97643.65</v>
      </c>
      <c r="M158" s="490">
        <v>30259.165626666701</v>
      </c>
      <c r="N158" s="489">
        <v>17042.713866666702</v>
      </c>
      <c r="O158" s="490">
        <f t="shared" si="49"/>
        <v>13216.45176</v>
      </c>
      <c r="P158" s="12"/>
    </row>
    <row r="159" spans="1:16" ht="20.149999999999999" customHeight="1">
      <c r="A159" s="26">
        <v>26</v>
      </c>
      <c r="B159" s="17" t="s">
        <v>452</v>
      </c>
      <c r="C159" s="11" t="s">
        <v>453</v>
      </c>
      <c r="D159" s="14" t="s">
        <v>294</v>
      </c>
      <c r="E159" s="71">
        <v>224459.75</v>
      </c>
      <c r="F159" s="71"/>
      <c r="G159" s="201"/>
      <c r="H159" s="201">
        <f>50000</f>
        <v>50000</v>
      </c>
      <c r="I159" s="71"/>
      <c r="J159" s="488">
        <f t="shared" si="50"/>
        <v>274459.75</v>
      </c>
      <c r="K159" s="488">
        <v>176816.1</v>
      </c>
      <c r="L159" s="488">
        <f t="shared" si="51"/>
        <v>97643.65</v>
      </c>
      <c r="M159" s="490">
        <v>30259.165626666701</v>
      </c>
      <c r="N159" s="489">
        <v>17042.713866666702</v>
      </c>
      <c r="O159" s="490">
        <f t="shared" si="49"/>
        <v>13216.45176</v>
      </c>
      <c r="P159" s="12"/>
    </row>
    <row r="160" spans="1:16" ht="20.149999999999999" customHeight="1">
      <c r="A160" s="26">
        <v>27</v>
      </c>
      <c r="B160" s="17" t="s">
        <v>454</v>
      </c>
      <c r="C160" s="11" t="s">
        <v>455</v>
      </c>
      <c r="D160" s="14" t="s">
        <v>291</v>
      </c>
      <c r="E160" s="71">
        <v>230631.91666666701</v>
      </c>
      <c r="F160" s="71"/>
      <c r="G160" s="201"/>
      <c r="H160" s="201">
        <f>50000</f>
        <v>50000</v>
      </c>
      <c r="I160" s="71"/>
      <c r="J160" s="488">
        <f t="shared" si="50"/>
        <v>280631.91666666698</v>
      </c>
      <c r="K160" s="488">
        <v>180304.068</v>
      </c>
      <c r="L160" s="488">
        <f t="shared" si="51"/>
        <v>100327.84866666701</v>
      </c>
      <c r="M160" s="490">
        <v>31213.135706666701</v>
      </c>
      <c r="N160" s="489">
        <v>17572.885002666699</v>
      </c>
      <c r="O160" s="490">
        <f t="shared" si="49"/>
        <v>13640.250704</v>
      </c>
      <c r="P160" s="12"/>
    </row>
    <row r="161" spans="1:16" ht="20.149999999999999" customHeight="1">
      <c r="A161" s="26">
        <v>28</v>
      </c>
      <c r="B161" s="17" t="s">
        <v>456</v>
      </c>
      <c r="C161" s="11" t="s">
        <v>451</v>
      </c>
      <c r="D161" s="14" t="s">
        <v>294</v>
      </c>
      <c r="E161" s="71">
        <v>224459.75</v>
      </c>
      <c r="F161" s="71"/>
      <c r="G161" s="201"/>
      <c r="H161" s="201">
        <f>50000</f>
        <v>50000</v>
      </c>
      <c r="I161" s="71"/>
      <c r="J161" s="488">
        <f t="shared" si="50"/>
        <v>274459.75</v>
      </c>
      <c r="K161" s="488">
        <v>176816.1</v>
      </c>
      <c r="L161" s="488">
        <f t="shared" si="51"/>
        <v>97643.65</v>
      </c>
      <c r="M161" s="490">
        <v>30259.165626666701</v>
      </c>
      <c r="N161" s="489">
        <v>17042.713866666702</v>
      </c>
      <c r="O161" s="490">
        <f t="shared" si="49"/>
        <v>13216.45176</v>
      </c>
      <c r="P161" s="12"/>
    </row>
    <row r="162" spans="1:16" ht="20.149999999999999" customHeight="1">
      <c r="A162" s="26">
        <v>29</v>
      </c>
      <c r="B162" s="10" t="s">
        <v>457</v>
      </c>
      <c r="C162" s="11" t="s">
        <v>458</v>
      </c>
      <c r="D162" s="14" t="s">
        <v>459</v>
      </c>
      <c r="E162" s="207">
        <v>168598.16666666701</v>
      </c>
      <c r="F162" s="201"/>
      <c r="G162" s="201"/>
      <c r="H162" s="201">
        <f>30000</f>
        <v>30000</v>
      </c>
      <c r="I162" s="71">
        <f>4000</f>
        <v>4000</v>
      </c>
      <c r="J162" s="488">
        <f t="shared" si="50"/>
        <v>202598.16666666701</v>
      </c>
      <c r="K162" s="488">
        <v>135590.73000000001</v>
      </c>
      <c r="L162" s="488">
        <f t="shared" si="51"/>
        <v>67007.436666666705</v>
      </c>
      <c r="M162" s="490">
        <v>18892.9833866667</v>
      </c>
      <c r="N162" s="489">
        <v>10739.3048</v>
      </c>
      <c r="O162" s="490">
        <f t="shared" si="49"/>
        <v>8153.6785866666696</v>
      </c>
      <c r="P162" s="12"/>
    </row>
    <row r="163" spans="1:16" ht="20.149999999999999" customHeight="1">
      <c r="A163" s="26">
        <v>30</v>
      </c>
      <c r="B163" s="10" t="s">
        <v>460</v>
      </c>
      <c r="C163" s="11" t="s">
        <v>458</v>
      </c>
      <c r="D163" s="14" t="s">
        <v>459</v>
      </c>
      <c r="E163" s="207">
        <v>168598.16666666701</v>
      </c>
      <c r="F163" s="201"/>
      <c r="G163" s="201"/>
      <c r="H163" s="201">
        <f>30000</f>
        <v>30000</v>
      </c>
      <c r="I163" s="71">
        <f>7000</f>
        <v>7000</v>
      </c>
      <c r="J163" s="488">
        <f t="shared" si="50"/>
        <v>205598.16666666701</v>
      </c>
      <c r="K163" s="488">
        <v>138590.73000000001</v>
      </c>
      <c r="L163" s="488">
        <f t="shared" si="51"/>
        <v>67007.436666666705</v>
      </c>
      <c r="M163" s="490">
        <v>19441.199306666698</v>
      </c>
      <c r="N163" s="489">
        <v>11232.457626666701</v>
      </c>
      <c r="O163" s="490">
        <f t="shared" si="49"/>
        <v>8208.7416799999992</v>
      </c>
      <c r="P163" s="12"/>
    </row>
    <row r="164" spans="1:16" ht="20.149999999999999" customHeight="1">
      <c r="A164" s="26">
        <v>31</v>
      </c>
      <c r="B164" s="10" t="s">
        <v>461</v>
      </c>
      <c r="C164" s="11" t="s">
        <v>458</v>
      </c>
      <c r="D164" s="14" t="s">
        <v>459</v>
      </c>
      <c r="E164" s="207">
        <v>168598.16666666701</v>
      </c>
      <c r="F164" s="201"/>
      <c r="G164" s="201"/>
      <c r="H164" s="201">
        <f>30000</f>
        <v>30000</v>
      </c>
      <c r="I164" s="71">
        <f>4000</f>
        <v>4000</v>
      </c>
      <c r="J164" s="488">
        <f t="shared" si="50"/>
        <v>202598.16666666701</v>
      </c>
      <c r="K164" s="488">
        <v>135590.73000000001</v>
      </c>
      <c r="L164" s="488">
        <f t="shared" si="51"/>
        <v>67007.436666666705</v>
      </c>
      <c r="M164" s="490">
        <v>18937.199306666698</v>
      </c>
      <c r="N164" s="489">
        <v>10776.457626666701</v>
      </c>
      <c r="O164" s="490">
        <f t="shared" si="49"/>
        <v>8160.7416800000001</v>
      </c>
      <c r="P164" s="12"/>
    </row>
    <row r="165" spans="1:16" ht="20.149999999999999" customHeight="1">
      <c r="A165" s="26">
        <v>32</v>
      </c>
      <c r="B165" s="10" t="s">
        <v>462</v>
      </c>
      <c r="C165" s="11" t="s">
        <v>458</v>
      </c>
      <c r="D165" s="14" t="s">
        <v>459</v>
      </c>
      <c r="E165" s="207">
        <v>168598.16666666701</v>
      </c>
      <c r="F165" s="201"/>
      <c r="G165" s="201"/>
      <c r="H165" s="201">
        <f>30000</f>
        <v>30000</v>
      </c>
      <c r="I165" s="71">
        <f>4000</f>
        <v>4000</v>
      </c>
      <c r="J165" s="488">
        <f t="shared" si="50"/>
        <v>202598.16666666701</v>
      </c>
      <c r="K165" s="488">
        <v>135590.73000000001</v>
      </c>
      <c r="L165" s="488">
        <f t="shared" si="51"/>
        <v>67007.436666666705</v>
      </c>
      <c r="M165" s="490">
        <v>18892.9833866667</v>
      </c>
      <c r="N165" s="489">
        <v>10739.3048</v>
      </c>
      <c r="O165" s="490">
        <f t="shared" si="49"/>
        <v>8153.6785866666696</v>
      </c>
      <c r="P165" s="12"/>
    </row>
    <row r="166" spans="1:16" ht="20.149999999999999" customHeight="1">
      <c r="A166" s="26">
        <v>33</v>
      </c>
      <c r="B166" s="10" t="s">
        <v>463</v>
      </c>
      <c r="C166" s="11" t="s">
        <v>458</v>
      </c>
      <c r="D166" s="14" t="s">
        <v>459</v>
      </c>
      <c r="E166" s="207">
        <v>168598.16666666701</v>
      </c>
      <c r="F166" s="201"/>
      <c r="G166" s="201"/>
      <c r="H166" s="201">
        <f>30000</f>
        <v>30000</v>
      </c>
      <c r="I166" s="71">
        <f>4000</f>
        <v>4000</v>
      </c>
      <c r="J166" s="488">
        <f t="shared" si="50"/>
        <v>202598.16666666701</v>
      </c>
      <c r="K166" s="488">
        <v>135590.73000000001</v>
      </c>
      <c r="L166" s="488">
        <f t="shared" si="51"/>
        <v>67007.436666666705</v>
      </c>
      <c r="M166" s="490">
        <v>18937.199306666698</v>
      </c>
      <c r="N166" s="489">
        <v>10776.457626666701</v>
      </c>
      <c r="O166" s="490">
        <f t="shared" si="49"/>
        <v>8160.7416800000001</v>
      </c>
      <c r="P166" s="12"/>
    </row>
    <row r="167" spans="1:16" ht="20.149999999999999" customHeight="1">
      <c r="A167" s="26">
        <v>34</v>
      </c>
      <c r="B167" s="10" t="s">
        <v>464</v>
      </c>
      <c r="C167" s="11" t="s">
        <v>458</v>
      </c>
      <c r="D167" s="14" t="s">
        <v>465</v>
      </c>
      <c r="E167" s="207">
        <v>163336.83333333299</v>
      </c>
      <c r="F167" s="201"/>
      <c r="G167" s="201"/>
      <c r="H167" s="201">
        <f>20000+10000</f>
        <v>30000</v>
      </c>
      <c r="I167" s="71">
        <f>7000</f>
        <v>7000</v>
      </c>
      <c r="J167" s="488">
        <f t="shared" si="50"/>
        <v>200336.83333333299</v>
      </c>
      <c r="K167" s="488">
        <v>138590.73000000001</v>
      </c>
      <c r="L167" s="488">
        <f t="shared" si="51"/>
        <v>61746.103333333398</v>
      </c>
      <c r="M167" s="490">
        <v>18631.689439999998</v>
      </c>
      <c r="N167" s="489">
        <v>11232.457626666701</v>
      </c>
      <c r="O167" s="490">
        <f t="shared" si="49"/>
        <v>7399.2318133333401</v>
      </c>
      <c r="P167" s="12"/>
    </row>
    <row r="168" spans="1:16" ht="20.149999999999999" customHeight="1">
      <c r="A168" s="26">
        <v>35</v>
      </c>
      <c r="B168" s="10" t="s">
        <v>466</v>
      </c>
      <c r="C168" s="11" t="s">
        <v>458</v>
      </c>
      <c r="D168" s="14" t="s">
        <v>465</v>
      </c>
      <c r="E168" s="207">
        <v>163336.83333333299</v>
      </c>
      <c r="F168" s="201"/>
      <c r="G168" s="201"/>
      <c r="H168" s="201">
        <f t="shared" ref="H168:H172" si="53">20000+10000</f>
        <v>30000</v>
      </c>
      <c r="I168" s="71">
        <f>4000</f>
        <v>4000</v>
      </c>
      <c r="J168" s="488">
        <f t="shared" si="50"/>
        <v>197336.83333333299</v>
      </c>
      <c r="K168" s="488">
        <v>135590.73000000001</v>
      </c>
      <c r="L168" s="488">
        <f t="shared" si="51"/>
        <v>61746.103333333398</v>
      </c>
      <c r="M168" s="490">
        <v>18175.689439999998</v>
      </c>
      <c r="N168" s="489">
        <v>10776.457626666701</v>
      </c>
      <c r="O168" s="490">
        <f t="shared" si="49"/>
        <v>7399.2318133333401</v>
      </c>
      <c r="P168" s="12"/>
    </row>
    <row r="169" spans="1:16" ht="20.149999999999999" customHeight="1">
      <c r="A169" s="26">
        <v>36</v>
      </c>
      <c r="B169" s="13" t="s">
        <v>467</v>
      </c>
      <c r="C169" s="11" t="s">
        <v>458</v>
      </c>
      <c r="D169" s="14" t="s">
        <v>465</v>
      </c>
      <c r="E169" s="207">
        <v>163336.83333333299</v>
      </c>
      <c r="F169" s="201"/>
      <c r="G169" s="201"/>
      <c r="H169" s="201">
        <f t="shared" si="53"/>
        <v>30000</v>
      </c>
      <c r="I169" s="71">
        <f>7000</f>
        <v>7000</v>
      </c>
      <c r="J169" s="488">
        <f t="shared" si="50"/>
        <v>200336.83333333299</v>
      </c>
      <c r="K169" s="488">
        <v>138590.73000000001</v>
      </c>
      <c r="L169" s="488">
        <f t="shared" si="51"/>
        <v>61746.103333333398</v>
      </c>
      <c r="M169" s="490">
        <v>18631.689439999998</v>
      </c>
      <c r="N169" s="489">
        <v>11232.457626666701</v>
      </c>
      <c r="O169" s="490">
        <f t="shared" si="49"/>
        <v>7399.2318133333401</v>
      </c>
      <c r="P169" s="12"/>
    </row>
    <row r="170" spans="1:16" ht="20.149999999999999" customHeight="1">
      <c r="A170" s="26">
        <v>37</v>
      </c>
      <c r="B170" s="10" t="s">
        <v>468</v>
      </c>
      <c r="C170" s="11" t="s">
        <v>458</v>
      </c>
      <c r="D170" s="14" t="s">
        <v>465</v>
      </c>
      <c r="E170" s="207">
        <v>163336.83333333299</v>
      </c>
      <c r="F170" s="201"/>
      <c r="G170" s="201"/>
      <c r="H170" s="201">
        <f t="shared" si="53"/>
        <v>30000</v>
      </c>
      <c r="I170" s="71">
        <f>4000</f>
        <v>4000</v>
      </c>
      <c r="J170" s="488">
        <f t="shared" si="50"/>
        <v>197336.83333333299</v>
      </c>
      <c r="K170" s="488">
        <v>135590.73000000001</v>
      </c>
      <c r="L170" s="488">
        <f t="shared" si="51"/>
        <v>61746.103333333398</v>
      </c>
      <c r="M170" s="490">
        <v>18175.689439999998</v>
      </c>
      <c r="N170" s="489">
        <v>10776.457626666701</v>
      </c>
      <c r="O170" s="490">
        <f t="shared" si="49"/>
        <v>7399.2318133333401</v>
      </c>
      <c r="P170" s="12"/>
    </row>
    <row r="171" spans="1:16" ht="20.149999999999999" customHeight="1">
      <c r="A171" s="26">
        <v>38</v>
      </c>
      <c r="B171" s="17" t="s">
        <v>469</v>
      </c>
      <c r="C171" s="11" t="s">
        <v>458</v>
      </c>
      <c r="D171" s="14" t="s">
        <v>465</v>
      </c>
      <c r="E171" s="207">
        <v>163336.83333333299</v>
      </c>
      <c r="F171" s="201"/>
      <c r="G171" s="201"/>
      <c r="H171" s="201">
        <f t="shared" si="53"/>
        <v>30000</v>
      </c>
      <c r="I171" s="71">
        <f>4000</f>
        <v>4000</v>
      </c>
      <c r="J171" s="488">
        <f t="shared" si="50"/>
        <v>197336.83333333299</v>
      </c>
      <c r="K171" s="488">
        <v>135590.73000000001</v>
      </c>
      <c r="L171" s="488">
        <f t="shared" si="51"/>
        <v>61746.103333333398</v>
      </c>
      <c r="M171" s="490">
        <v>18175.689439999998</v>
      </c>
      <c r="N171" s="489">
        <v>10776.457626666701</v>
      </c>
      <c r="O171" s="490">
        <f t="shared" si="49"/>
        <v>7399.2318133333401</v>
      </c>
      <c r="P171" s="12"/>
    </row>
    <row r="172" spans="1:16" ht="20.149999999999999" customHeight="1">
      <c r="A172" s="26">
        <v>39</v>
      </c>
      <c r="B172" s="17" t="s">
        <v>470</v>
      </c>
      <c r="C172" s="11" t="s">
        <v>458</v>
      </c>
      <c r="D172" s="14" t="s">
        <v>465</v>
      </c>
      <c r="E172" s="207">
        <v>163336.83333333299</v>
      </c>
      <c r="F172" s="201"/>
      <c r="G172" s="201"/>
      <c r="H172" s="201">
        <f t="shared" si="53"/>
        <v>30000</v>
      </c>
      <c r="I172" s="71">
        <f t="shared" ref="I172:I177" si="54">7000</f>
        <v>7000</v>
      </c>
      <c r="J172" s="488">
        <f t="shared" si="50"/>
        <v>200336.83333333299</v>
      </c>
      <c r="K172" s="488">
        <v>138590.73000000001</v>
      </c>
      <c r="L172" s="488">
        <f t="shared" si="51"/>
        <v>61746.103333333398</v>
      </c>
      <c r="M172" s="490">
        <v>18631.689439999998</v>
      </c>
      <c r="N172" s="489">
        <v>11232.457626666701</v>
      </c>
      <c r="O172" s="490">
        <f t="shared" si="49"/>
        <v>7399.2318133333401</v>
      </c>
      <c r="P172" s="12"/>
    </row>
    <row r="173" spans="1:16" ht="20.149999999999999" customHeight="1">
      <c r="A173" s="26">
        <v>40</v>
      </c>
      <c r="B173" s="10" t="s">
        <v>471</v>
      </c>
      <c r="C173" s="11" t="s">
        <v>472</v>
      </c>
      <c r="D173" s="14" t="s">
        <v>473</v>
      </c>
      <c r="E173" s="71">
        <v>152814.16666666701</v>
      </c>
      <c r="F173" s="201"/>
      <c r="G173" s="201"/>
      <c r="H173" s="201">
        <f>30000</f>
        <v>30000</v>
      </c>
      <c r="I173" s="71">
        <f t="shared" si="54"/>
        <v>7000</v>
      </c>
      <c r="J173" s="488">
        <f t="shared" si="50"/>
        <v>189814.16666666701</v>
      </c>
      <c r="K173" s="488">
        <v>122104.99825</v>
      </c>
      <c r="L173" s="488">
        <f t="shared" si="51"/>
        <v>67709.168416666696</v>
      </c>
      <c r="M173" s="490">
        <v>17160.199733333298</v>
      </c>
      <c r="N173" s="489">
        <v>9152.5997900000002</v>
      </c>
      <c r="O173" s="490">
        <f t="shared" si="49"/>
        <v>8007.59994333334</v>
      </c>
      <c r="P173" s="12"/>
    </row>
    <row r="174" spans="1:16" ht="20.149999999999999" customHeight="1">
      <c r="A174" s="26">
        <v>41</v>
      </c>
      <c r="B174" s="10" t="s">
        <v>474</v>
      </c>
      <c r="C174" s="11" t="s">
        <v>472</v>
      </c>
      <c r="D174" s="14" t="s">
        <v>473</v>
      </c>
      <c r="E174" s="71">
        <v>152814.16666666701</v>
      </c>
      <c r="F174" s="201"/>
      <c r="G174" s="201"/>
      <c r="H174" s="201">
        <f>30000</f>
        <v>30000</v>
      </c>
      <c r="I174" s="71">
        <f t="shared" si="54"/>
        <v>7000</v>
      </c>
      <c r="J174" s="488">
        <f t="shared" si="50"/>
        <v>189814.16666666701</v>
      </c>
      <c r="K174" s="488">
        <v>122104.99825</v>
      </c>
      <c r="L174" s="488">
        <f t="shared" si="51"/>
        <v>67709.168416666696</v>
      </c>
      <c r="M174" s="490">
        <v>17160.199733333298</v>
      </c>
      <c r="N174" s="489">
        <v>9152.5997900000002</v>
      </c>
      <c r="O174" s="490">
        <f t="shared" si="49"/>
        <v>8007.59994333334</v>
      </c>
      <c r="P174" s="12"/>
    </row>
    <row r="175" spans="1:16" ht="20.149999999999999" customHeight="1">
      <c r="A175" s="26">
        <v>42</v>
      </c>
      <c r="B175" s="17" t="s">
        <v>475</v>
      </c>
      <c r="C175" s="11" t="s">
        <v>472</v>
      </c>
      <c r="D175" s="14" t="s">
        <v>476</v>
      </c>
      <c r="E175" s="71">
        <v>158075.5</v>
      </c>
      <c r="F175" s="201"/>
      <c r="G175" s="201"/>
      <c r="H175" s="201">
        <f>30000</f>
        <v>30000</v>
      </c>
      <c r="I175" s="71">
        <f t="shared" si="54"/>
        <v>7000</v>
      </c>
      <c r="J175" s="488">
        <f t="shared" si="50"/>
        <v>195075.5</v>
      </c>
      <c r="K175" s="488">
        <v>125035.03449999999</v>
      </c>
      <c r="L175" s="488">
        <f t="shared" si="51"/>
        <v>70040.465500000006</v>
      </c>
      <c r="M175" s="490">
        <v>17895.944586666701</v>
      </c>
      <c r="N175" s="489">
        <v>9504.2041399999998</v>
      </c>
      <c r="O175" s="490">
        <f t="shared" si="49"/>
        <v>8391.7404466666703</v>
      </c>
      <c r="P175" s="12"/>
    </row>
    <row r="176" spans="1:16" ht="20.149999999999999" customHeight="1">
      <c r="A176" s="26">
        <v>43</v>
      </c>
      <c r="B176" s="10" t="s">
        <v>477</v>
      </c>
      <c r="C176" s="11" t="s">
        <v>478</v>
      </c>
      <c r="D176" s="14" t="s">
        <v>479</v>
      </c>
      <c r="E176" s="71">
        <v>94145.75</v>
      </c>
      <c r="F176" s="201"/>
      <c r="G176" s="201"/>
      <c r="H176" s="201">
        <f t="shared" ref="H176:H183" si="55">20000</f>
        <v>20000</v>
      </c>
      <c r="I176" s="71">
        <f t="shared" si="54"/>
        <v>7000</v>
      </c>
      <c r="J176" s="488">
        <f t="shared" si="50"/>
        <v>121145.75</v>
      </c>
      <c r="K176" s="488">
        <v>81803.001000000004</v>
      </c>
      <c r="L176" s="488">
        <f t="shared" si="51"/>
        <v>39342.749000000003</v>
      </c>
      <c r="M176" s="490">
        <v>8133.6908000000003</v>
      </c>
      <c r="N176" s="489">
        <v>4365.3307546666701</v>
      </c>
      <c r="O176" s="490">
        <f t="shared" si="49"/>
        <v>3768.3600453333302</v>
      </c>
      <c r="P176" s="12"/>
    </row>
    <row r="177" spans="1:16" ht="20.149999999999999" customHeight="1">
      <c r="A177" s="26">
        <v>44</v>
      </c>
      <c r="B177" s="10" t="s">
        <v>480</v>
      </c>
      <c r="C177" s="11" t="s">
        <v>481</v>
      </c>
      <c r="D177" s="14" t="s">
        <v>482</v>
      </c>
      <c r="E177" s="71">
        <v>91598</v>
      </c>
      <c r="F177" s="201"/>
      <c r="G177" s="201"/>
      <c r="H177" s="201">
        <f t="shared" si="55"/>
        <v>20000</v>
      </c>
      <c r="I177" s="71">
        <f t="shared" si="54"/>
        <v>7000</v>
      </c>
      <c r="J177" s="488">
        <f t="shared" si="50"/>
        <v>118598</v>
      </c>
      <c r="K177" s="488">
        <v>80237.012000000002</v>
      </c>
      <c r="L177" s="488">
        <f t="shared" si="51"/>
        <v>38360.987999999998</v>
      </c>
      <c r="M177" s="490">
        <v>7852.4192000000003</v>
      </c>
      <c r="N177" s="489">
        <v>4227.5237226666704</v>
      </c>
      <c r="O177" s="490">
        <f t="shared" si="49"/>
        <v>3624.8954773333298</v>
      </c>
      <c r="P177" s="12"/>
    </row>
    <row r="178" spans="1:16" ht="20.149999999999999" customHeight="1">
      <c r="A178" s="26">
        <v>45</v>
      </c>
      <c r="B178" s="10" t="s">
        <v>483</v>
      </c>
      <c r="C178" s="11" t="s">
        <v>481</v>
      </c>
      <c r="D178" s="14" t="s">
        <v>482</v>
      </c>
      <c r="E178" s="71">
        <v>91598</v>
      </c>
      <c r="F178" s="201"/>
      <c r="G178" s="201"/>
      <c r="H178" s="201">
        <f t="shared" si="55"/>
        <v>20000</v>
      </c>
      <c r="I178" s="71">
        <f>4000</f>
        <v>4000</v>
      </c>
      <c r="J178" s="488">
        <f t="shared" si="50"/>
        <v>115598</v>
      </c>
      <c r="K178" s="488">
        <v>77237.012000000002</v>
      </c>
      <c r="L178" s="488">
        <f t="shared" si="51"/>
        <v>38360.987999999998</v>
      </c>
      <c r="M178" s="490">
        <v>7492.4192000000003</v>
      </c>
      <c r="N178" s="489">
        <v>3963.52372266667</v>
      </c>
      <c r="O178" s="490">
        <f t="shared" si="49"/>
        <v>3528.8954773333298</v>
      </c>
      <c r="P178" s="12"/>
    </row>
    <row r="179" spans="1:16" ht="20.149999999999999" customHeight="1">
      <c r="A179" s="26">
        <v>46</v>
      </c>
      <c r="B179" s="10" t="s">
        <v>484</v>
      </c>
      <c r="C179" s="11" t="s">
        <v>481</v>
      </c>
      <c r="D179" s="14" t="s">
        <v>482</v>
      </c>
      <c r="E179" s="71">
        <v>91598</v>
      </c>
      <c r="F179" s="201"/>
      <c r="G179" s="201"/>
      <c r="H179" s="201">
        <f t="shared" si="55"/>
        <v>20000</v>
      </c>
      <c r="I179" s="71">
        <f>7000</f>
        <v>7000</v>
      </c>
      <c r="J179" s="488">
        <f t="shared" si="50"/>
        <v>118598</v>
      </c>
      <c r="K179" s="488">
        <v>80237.012000000002</v>
      </c>
      <c r="L179" s="488">
        <f t="shared" si="51"/>
        <v>38360.987999999998</v>
      </c>
      <c r="M179" s="490">
        <v>7852.4192000000003</v>
      </c>
      <c r="N179" s="489">
        <v>4227.5237226666704</v>
      </c>
      <c r="O179" s="490">
        <f t="shared" si="49"/>
        <v>3624.8954773333298</v>
      </c>
      <c r="P179" s="12"/>
    </row>
    <row r="180" spans="1:16" ht="20.149999999999999" customHeight="1">
      <c r="A180" s="26">
        <v>47</v>
      </c>
      <c r="B180" s="10" t="s">
        <v>485</v>
      </c>
      <c r="C180" s="11" t="s">
        <v>481</v>
      </c>
      <c r="D180" s="14" t="s">
        <v>482</v>
      </c>
      <c r="E180" s="71">
        <v>91598</v>
      </c>
      <c r="F180" s="201"/>
      <c r="G180" s="201"/>
      <c r="H180" s="201">
        <f t="shared" si="55"/>
        <v>20000</v>
      </c>
      <c r="I180" s="71">
        <f>4000</f>
        <v>4000</v>
      </c>
      <c r="J180" s="488">
        <f t="shared" si="50"/>
        <v>115598</v>
      </c>
      <c r="K180" s="488">
        <v>77237.012000000002</v>
      </c>
      <c r="L180" s="488">
        <f t="shared" si="51"/>
        <v>38360.987999999998</v>
      </c>
      <c r="M180" s="490">
        <v>7492.4192000000003</v>
      </c>
      <c r="N180" s="489">
        <v>3963.52372266667</v>
      </c>
      <c r="O180" s="490">
        <f t="shared" si="49"/>
        <v>3528.8954773333298</v>
      </c>
      <c r="P180" s="12"/>
    </row>
    <row r="181" spans="1:16" ht="20.149999999999999" customHeight="1">
      <c r="A181" s="26">
        <v>48</v>
      </c>
      <c r="B181" s="10" t="s">
        <v>486</v>
      </c>
      <c r="C181" s="11" t="s">
        <v>481</v>
      </c>
      <c r="D181" s="14" t="s">
        <v>482</v>
      </c>
      <c r="E181" s="71">
        <v>91598</v>
      </c>
      <c r="F181" s="201"/>
      <c r="G181" s="201"/>
      <c r="H181" s="201">
        <f t="shared" si="55"/>
        <v>20000</v>
      </c>
      <c r="I181" s="71">
        <f>7000</f>
        <v>7000</v>
      </c>
      <c r="J181" s="488">
        <f t="shared" si="50"/>
        <v>118598</v>
      </c>
      <c r="K181" s="488">
        <v>80237.012000000002</v>
      </c>
      <c r="L181" s="488">
        <f t="shared" si="51"/>
        <v>38360.987999999998</v>
      </c>
      <c r="M181" s="490">
        <v>7852.4192000000003</v>
      </c>
      <c r="N181" s="489">
        <v>4227.5237226666704</v>
      </c>
      <c r="O181" s="490">
        <f t="shared" si="49"/>
        <v>3624.8954773333298</v>
      </c>
      <c r="P181" s="12"/>
    </row>
    <row r="182" spans="1:16" ht="20.149999999999999" customHeight="1">
      <c r="A182" s="26">
        <v>49</v>
      </c>
      <c r="B182" s="17" t="s">
        <v>487</v>
      </c>
      <c r="C182" s="11" t="s">
        <v>481</v>
      </c>
      <c r="D182" s="14" t="s">
        <v>482</v>
      </c>
      <c r="E182" s="71">
        <v>91598</v>
      </c>
      <c r="F182" s="201"/>
      <c r="G182" s="201"/>
      <c r="H182" s="201">
        <f t="shared" si="55"/>
        <v>20000</v>
      </c>
      <c r="I182" s="71">
        <f>4000</f>
        <v>4000</v>
      </c>
      <c r="J182" s="488">
        <f t="shared" si="50"/>
        <v>115598</v>
      </c>
      <c r="K182" s="488">
        <v>77237.012000000002</v>
      </c>
      <c r="L182" s="488">
        <f t="shared" si="51"/>
        <v>38360.987999999998</v>
      </c>
      <c r="M182" s="490">
        <v>7492.4192000000003</v>
      </c>
      <c r="N182" s="489">
        <v>3963.52372266667</v>
      </c>
      <c r="O182" s="490">
        <f t="shared" si="49"/>
        <v>3528.8954773333298</v>
      </c>
      <c r="P182" s="12"/>
    </row>
    <row r="183" spans="1:16" ht="20.149999999999999" customHeight="1">
      <c r="A183" s="26">
        <v>50</v>
      </c>
      <c r="B183" s="17" t="s">
        <v>488</v>
      </c>
      <c r="C183" s="11" t="s">
        <v>481</v>
      </c>
      <c r="D183" s="14" t="s">
        <v>482</v>
      </c>
      <c r="E183" s="71">
        <v>91598</v>
      </c>
      <c r="F183" s="201"/>
      <c r="G183" s="201"/>
      <c r="H183" s="201">
        <f t="shared" si="55"/>
        <v>20000</v>
      </c>
      <c r="I183" s="71">
        <f>7000</f>
        <v>7000</v>
      </c>
      <c r="J183" s="488">
        <f t="shared" si="50"/>
        <v>118598</v>
      </c>
      <c r="K183" s="488">
        <v>80237.012000000002</v>
      </c>
      <c r="L183" s="488">
        <f t="shared" si="51"/>
        <v>38360.987999999998</v>
      </c>
      <c r="M183" s="490">
        <v>7852.4192000000003</v>
      </c>
      <c r="N183" s="489">
        <v>4227.5237226666704</v>
      </c>
      <c r="O183" s="490">
        <f t="shared" si="49"/>
        <v>3624.8954773333298</v>
      </c>
      <c r="P183" s="12"/>
    </row>
    <row r="184" spans="1:16" ht="20.149999999999999" customHeight="1">
      <c r="A184" s="26">
        <v>51</v>
      </c>
      <c r="B184" s="10" t="s">
        <v>489</v>
      </c>
      <c r="C184" s="11" t="s">
        <v>478</v>
      </c>
      <c r="D184" s="14" t="s">
        <v>482</v>
      </c>
      <c r="E184" s="71">
        <v>91598</v>
      </c>
      <c r="F184" s="201"/>
      <c r="G184" s="201"/>
      <c r="H184" s="201">
        <v>20000</v>
      </c>
      <c r="I184" s="71">
        <v>7000</v>
      </c>
      <c r="J184" s="488">
        <f t="shared" si="50"/>
        <v>118598</v>
      </c>
      <c r="K184" s="488">
        <v>78671.023000000001</v>
      </c>
      <c r="L184" s="488">
        <f t="shared" si="51"/>
        <v>39926.976999999999</v>
      </c>
      <c r="M184" s="490">
        <v>7852.4192000000003</v>
      </c>
      <c r="N184" s="489">
        <v>4089.7166906666698</v>
      </c>
      <c r="O184" s="490">
        <f t="shared" si="49"/>
        <v>3762.70250933333</v>
      </c>
      <c r="P184" s="12"/>
    </row>
    <row r="185" spans="1:16" ht="20.149999999999999" customHeight="1">
      <c r="A185" s="26">
        <v>52</v>
      </c>
      <c r="B185" s="10" t="s">
        <v>490</v>
      </c>
      <c r="C185" s="11" t="s">
        <v>478</v>
      </c>
      <c r="D185" s="14" t="s">
        <v>482</v>
      </c>
      <c r="E185" s="71">
        <v>91598</v>
      </c>
      <c r="F185" s="201"/>
      <c r="G185" s="201"/>
      <c r="H185" s="201">
        <v>20000</v>
      </c>
      <c r="I185" s="71">
        <f>7000</f>
        <v>7000</v>
      </c>
      <c r="J185" s="488">
        <f t="shared" si="50"/>
        <v>118598</v>
      </c>
      <c r="K185" s="488">
        <v>80237.012000000002</v>
      </c>
      <c r="L185" s="488">
        <f t="shared" si="51"/>
        <v>38360.987999999998</v>
      </c>
      <c r="M185" s="490">
        <v>7852.4192000000003</v>
      </c>
      <c r="N185" s="489">
        <v>4227.5237226666704</v>
      </c>
      <c r="O185" s="490">
        <f t="shared" si="49"/>
        <v>3624.8954773333298</v>
      </c>
      <c r="P185" s="12"/>
    </row>
    <row r="186" spans="1:16" ht="20.149999999999999" customHeight="1">
      <c r="A186" s="26">
        <v>53</v>
      </c>
      <c r="B186" s="17" t="s">
        <v>491</v>
      </c>
      <c r="C186" s="11" t="s">
        <v>172</v>
      </c>
      <c r="D186" s="14" t="s">
        <v>492</v>
      </c>
      <c r="E186" s="71">
        <v>89050.25</v>
      </c>
      <c r="F186" s="201"/>
      <c r="G186" s="201"/>
      <c r="H186" s="201">
        <f>20000</f>
        <v>20000</v>
      </c>
      <c r="I186" s="71">
        <f>4000+3000</f>
        <v>7000</v>
      </c>
      <c r="J186" s="488">
        <f t="shared" si="50"/>
        <v>116050.25</v>
      </c>
      <c r="K186" s="488">
        <v>78671.023000000001</v>
      </c>
      <c r="L186" s="488">
        <f t="shared" si="51"/>
        <v>37379.226999999999</v>
      </c>
      <c r="M186" s="490">
        <v>7571.1476000000002</v>
      </c>
      <c r="N186" s="489">
        <v>4089.7166906666698</v>
      </c>
      <c r="O186" s="490">
        <f t="shared" si="49"/>
        <v>3481.43090933333</v>
      </c>
      <c r="P186" s="12"/>
    </row>
    <row r="187" spans="1:16" ht="20.149999999999999" customHeight="1">
      <c r="A187" s="26">
        <v>54</v>
      </c>
      <c r="B187" s="17" t="s">
        <v>493</v>
      </c>
      <c r="C187" s="11" t="s">
        <v>481</v>
      </c>
      <c r="D187" s="14" t="s">
        <v>494</v>
      </c>
      <c r="E187" s="201">
        <v>80926.916666666701</v>
      </c>
      <c r="F187" s="201"/>
      <c r="G187" s="201"/>
      <c r="H187" s="201">
        <f>15000</f>
        <v>15000</v>
      </c>
      <c r="I187" s="71">
        <f>7000</f>
        <v>7000</v>
      </c>
      <c r="J187" s="488">
        <f t="shared" si="50"/>
        <v>102926.91666666701</v>
      </c>
      <c r="K187" s="488">
        <v>68675.997025000004</v>
      </c>
      <c r="L187" s="488">
        <f t="shared" si="51"/>
        <v>34250.919641666696</v>
      </c>
      <c r="M187" s="490">
        <v>6074.3316000000004</v>
      </c>
      <c r="N187" s="489">
        <v>3210.1544048666701</v>
      </c>
      <c r="O187" s="490">
        <f t="shared" si="49"/>
        <v>2864.1771951333299</v>
      </c>
      <c r="P187" s="12"/>
    </row>
    <row r="188" spans="1:16" ht="20.149999999999999" customHeight="1">
      <c r="A188" s="26">
        <v>55</v>
      </c>
      <c r="B188" s="17" t="s">
        <v>495</v>
      </c>
      <c r="C188" s="11" t="s">
        <v>496</v>
      </c>
      <c r="D188" s="14" t="s">
        <v>497</v>
      </c>
      <c r="E188" s="71">
        <v>76540.75</v>
      </c>
      <c r="F188" s="111"/>
      <c r="G188" s="3"/>
      <c r="H188" s="111">
        <v>15000</v>
      </c>
      <c r="I188" s="111">
        <v>4000</v>
      </c>
      <c r="J188" s="488">
        <f t="shared" si="50"/>
        <v>95540.75</v>
      </c>
      <c r="K188" s="488">
        <v>62980.079250000003</v>
      </c>
      <c r="L188" s="488">
        <f t="shared" si="51"/>
        <v>32560.670750000001</v>
      </c>
      <c r="M188" s="490">
        <v>5230.0987999999998</v>
      </c>
      <c r="N188" s="489">
        <v>2708.9136406666698</v>
      </c>
      <c r="O188" s="490">
        <f t="shared" si="49"/>
        <v>2521.1851593333299</v>
      </c>
      <c r="P188" s="12"/>
    </row>
    <row r="189" spans="1:16" ht="20.149999999999999" customHeight="1">
      <c r="A189" s="26">
        <v>56</v>
      </c>
      <c r="B189" s="17" t="s">
        <v>498</v>
      </c>
      <c r="C189" s="11" t="s">
        <v>496</v>
      </c>
      <c r="D189" s="14" t="s">
        <v>497</v>
      </c>
      <c r="E189" s="71">
        <v>76540.75</v>
      </c>
      <c r="F189" s="111"/>
      <c r="G189" s="3"/>
      <c r="H189" s="111">
        <v>15000</v>
      </c>
      <c r="I189" s="111">
        <v>4000</v>
      </c>
      <c r="J189" s="488">
        <f t="shared" si="50"/>
        <v>95540.75</v>
      </c>
      <c r="K189" s="488">
        <v>62980.079250000003</v>
      </c>
      <c r="L189" s="488">
        <f t="shared" si="51"/>
        <v>32560.670750000001</v>
      </c>
      <c r="M189" s="490">
        <v>5230.0987999999998</v>
      </c>
      <c r="N189" s="489">
        <v>2708.9136406666698</v>
      </c>
      <c r="O189" s="490">
        <f t="shared" si="49"/>
        <v>2521.1851593333299</v>
      </c>
      <c r="P189" s="12"/>
    </row>
    <row r="190" spans="1:16" ht="20.149999999999999" customHeight="1">
      <c r="A190" s="26">
        <v>57</v>
      </c>
      <c r="B190" s="17" t="s">
        <v>499</v>
      </c>
      <c r="C190" s="11" t="s">
        <v>496</v>
      </c>
      <c r="D190" s="14" t="s">
        <v>497</v>
      </c>
      <c r="E190" s="71">
        <v>76540.75</v>
      </c>
      <c r="F190" s="111"/>
      <c r="G190" s="3"/>
      <c r="H190" s="111">
        <v>15000</v>
      </c>
      <c r="I190" s="111">
        <v>4000</v>
      </c>
      <c r="J190" s="488">
        <f t="shared" si="50"/>
        <v>95540.75</v>
      </c>
      <c r="K190" s="488">
        <v>62980.079250000003</v>
      </c>
      <c r="L190" s="488">
        <f t="shared" si="51"/>
        <v>32560.670750000001</v>
      </c>
      <c r="M190" s="490">
        <v>5230.0987999999998</v>
      </c>
      <c r="N190" s="489">
        <v>2708.9136406666698</v>
      </c>
      <c r="O190" s="490">
        <f t="shared" si="49"/>
        <v>2521.1851593333299</v>
      </c>
      <c r="P190" s="12"/>
    </row>
    <row r="191" spans="1:16" ht="20.149999999999999" customHeight="1">
      <c r="A191" s="26">
        <v>58</v>
      </c>
      <c r="B191" s="17" t="s">
        <v>500</v>
      </c>
      <c r="C191" s="11" t="s">
        <v>501</v>
      </c>
      <c r="D191" s="14" t="s">
        <v>502</v>
      </c>
      <c r="E191" s="71">
        <v>86502.5</v>
      </c>
      <c r="F191" s="111"/>
      <c r="G191" s="201"/>
      <c r="H191" s="201">
        <f>15000</f>
        <v>15000</v>
      </c>
      <c r="I191" s="71">
        <v>7000</v>
      </c>
      <c r="J191" s="488">
        <f t="shared" si="50"/>
        <v>108502.5</v>
      </c>
      <c r="K191" s="488">
        <v>72103.749500000005</v>
      </c>
      <c r="L191" s="488">
        <f t="shared" si="51"/>
        <v>36398.750500000002</v>
      </c>
      <c r="M191" s="490">
        <v>6689.8760000000002</v>
      </c>
      <c r="N191" s="489">
        <v>3511.7966226666699</v>
      </c>
      <c r="O191" s="490">
        <f t="shared" si="49"/>
        <v>3178.0793773333298</v>
      </c>
      <c r="P191" s="12"/>
    </row>
    <row r="192" spans="1:16" ht="20.149999999999999" customHeight="1">
      <c r="A192" s="26">
        <v>59</v>
      </c>
      <c r="B192" s="17" t="s">
        <v>503</v>
      </c>
      <c r="C192" s="11" t="s">
        <v>501</v>
      </c>
      <c r="D192" s="14" t="s">
        <v>502</v>
      </c>
      <c r="E192" s="71">
        <v>86502.5</v>
      </c>
      <c r="F192" s="111"/>
      <c r="G192" s="201"/>
      <c r="H192" s="201">
        <f>15000</f>
        <v>15000</v>
      </c>
      <c r="I192" s="71">
        <v>7000</v>
      </c>
      <c r="J192" s="488">
        <f t="shared" si="50"/>
        <v>108502.5</v>
      </c>
      <c r="K192" s="488">
        <v>72103.749500000005</v>
      </c>
      <c r="L192" s="488">
        <f t="shared" si="51"/>
        <v>36398.750500000002</v>
      </c>
      <c r="M192" s="490">
        <v>6689.8760000000002</v>
      </c>
      <c r="N192" s="489">
        <v>3511.7966226666699</v>
      </c>
      <c r="O192" s="490">
        <f t="shared" si="49"/>
        <v>3178.0793773333298</v>
      </c>
      <c r="P192" s="12"/>
    </row>
    <row r="193" spans="1:16" ht="20.149999999999999" customHeight="1">
      <c r="A193" s="26"/>
      <c r="B193" s="7" t="s">
        <v>34</v>
      </c>
      <c r="C193" s="27" t="s">
        <v>504</v>
      </c>
      <c r="D193" s="28"/>
      <c r="E193" s="79">
        <f>SUM(E134:E192)</f>
        <v>14898686.4166667</v>
      </c>
      <c r="F193" s="79">
        <f t="shared" ref="F193:O193" si="56">SUM(F134:F192)</f>
        <v>0</v>
      </c>
      <c r="G193" s="79">
        <f t="shared" si="56"/>
        <v>0</v>
      </c>
      <c r="H193" s="79">
        <f t="shared" si="56"/>
        <v>2490000</v>
      </c>
      <c r="I193" s="79">
        <f t="shared" si="56"/>
        <v>228000</v>
      </c>
      <c r="J193" s="79">
        <f t="shared" si="56"/>
        <v>17616686.416666701</v>
      </c>
      <c r="K193" s="79">
        <v>11413301.213524999</v>
      </c>
      <c r="L193" s="79">
        <f t="shared" si="56"/>
        <v>6203385.2031416697</v>
      </c>
      <c r="M193" s="79">
        <f t="shared" si="56"/>
        <v>2121047.87476133</v>
      </c>
      <c r="N193" s="79">
        <v>1265795.4594602</v>
      </c>
      <c r="O193" s="79">
        <f t="shared" si="56"/>
        <v>855252.41530113295</v>
      </c>
      <c r="P193" s="12"/>
    </row>
    <row r="194" spans="1:16" ht="30.75" customHeight="1">
      <c r="A194" s="3"/>
      <c r="B194" s="29" t="s">
        <v>80</v>
      </c>
      <c r="C194" s="30">
        <f>C34+C40+C54+C59+C72+C82+C95+C102+C112+C131+C193</f>
        <v>153</v>
      </c>
      <c r="D194" s="31"/>
      <c r="E194" s="208">
        <f>E193+E131+E118+E112+E102+E95+E82+E72+E59+E54+E40+E34</f>
        <v>64242790.417000003</v>
      </c>
      <c r="F194" s="208">
        <f t="shared" ref="F194:O194" si="57">F193+F131+F118+F112+F102+F95+F82+F72+F59+F54+F40+F34</f>
        <v>0</v>
      </c>
      <c r="G194" s="208">
        <f t="shared" si="57"/>
        <v>7760000</v>
      </c>
      <c r="H194" s="208">
        <f t="shared" si="57"/>
        <v>5090000</v>
      </c>
      <c r="I194" s="208">
        <f t="shared" si="57"/>
        <v>2039337.4691049999</v>
      </c>
      <c r="J194" s="208">
        <f t="shared" si="57"/>
        <v>79132127.886105001</v>
      </c>
      <c r="K194" s="208">
        <f t="shared" si="57"/>
        <v>53058223.956574999</v>
      </c>
      <c r="L194" s="505">
        <f t="shared" si="57"/>
        <v>26073903.929529998</v>
      </c>
      <c r="M194" s="208">
        <f t="shared" si="57"/>
        <v>11287301.131869501</v>
      </c>
      <c r="N194" s="208">
        <f t="shared" si="57"/>
        <v>7214215.7686455902</v>
      </c>
      <c r="O194" s="505">
        <f t="shared" si="57"/>
        <v>4073085.3632238898</v>
      </c>
      <c r="P194" s="12"/>
    </row>
    <row r="195" spans="1:16" ht="20.149999999999999" customHeight="1">
      <c r="A195" s="2"/>
      <c r="B195" s="32"/>
      <c r="C195" s="2"/>
      <c r="D195" s="33"/>
      <c r="E195" s="33"/>
      <c r="F195" s="33"/>
      <c r="G195" s="209"/>
      <c r="H195" s="209"/>
      <c r="I195" s="209"/>
      <c r="J195" s="209"/>
      <c r="K195" s="209"/>
      <c r="L195" s="209"/>
      <c r="M195" s="209"/>
      <c r="N195" s="209"/>
      <c r="O195" s="209"/>
      <c r="P195" s="34"/>
    </row>
    <row r="196" spans="1:16" ht="36.75" customHeight="1">
      <c r="A196" s="2"/>
      <c r="B196" s="32"/>
      <c r="C196" s="33"/>
      <c r="D196" s="33"/>
      <c r="E196" s="33"/>
      <c r="F196" s="33"/>
      <c r="G196" s="209"/>
      <c r="H196" s="209"/>
      <c r="J196" s="34"/>
      <c r="L196" s="34"/>
      <c r="M196" s="209">
        <f>'May New PAYE '!V189</f>
        <v>11302661.131869501</v>
      </c>
      <c r="N196" s="209"/>
      <c r="O196" s="209"/>
    </row>
    <row r="197" spans="1:16">
      <c r="J197" s="34"/>
      <c r="K197" s="34"/>
      <c r="M197" s="34">
        <f>M194-M196</f>
        <v>-15360.000000001901</v>
      </c>
    </row>
    <row r="198" spans="1:16" ht="20.149999999999999" customHeight="1">
      <c r="J198" s="34"/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64" workbookViewId="0">
      <selection activeCell="W69" sqref="W69"/>
    </sheetView>
  </sheetViews>
  <sheetFormatPr defaultColWidth="9.1796875" defaultRowHeight="12.5"/>
  <cols>
    <col min="1" max="1" width="6.81640625" style="274" customWidth="1"/>
    <col min="2" max="2" width="39.1796875" style="274" customWidth="1"/>
    <col min="3" max="3" width="16.81640625" style="274" customWidth="1"/>
    <col min="4" max="4" width="6.7265625" style="274" customWidth="1"/>
    <col min="5" max="5" width="13.1796875" style="274" customWidth="1"/>
    <col min="6" max="6" width="11.1796875" style="274" customWidth="1"/>
    <col min="7" max="7" width="14.453125" style="274" customWidth="1"/>
    <col min="8" max="8" width="5.81640625" style="274" customWidth="1"/>
    <col min="9" max="9" width="12.81640625" style="274" customWidth="1"/>
    <col min="10" max="10" width="11.54296875" style="274" customWidth="1"/>
    <col min="11" max="11" width="6.81640625" style="274" customWidth="1"/>
    <col min="12" max="12" width="10.81640625" style="274" customWidth="1"/>
    <col min="13" max="13" width="12.54296875" style="274" customWidth="1"/>
    <col min="14" max="14" width="11" style="274" customWidth="1"/>
    <col min="15" max="15" width="12.1796875" style="274" customWidth="1"/>
    <col min="16" max="16" width="15.453125" style="274" customWidth="1"/>
    <col min="17" max="17" width="16.54296875" style="274" customWidth="1"/>
    <col min="18" max="18" width="9.81640625" style="274" customWidth="1"/>
    <col min="19" max="19" width="10.54296875" style="274" customWidth="1"/>
    <col min="20" max="20" width="11.54296875" style="274" customWidth="1"/>
    <col min="21" max="21" width="12.453125" style="274" customWidth="1"/>
    <col min="22" max="22" width="14.54296875" style="274" customWidth="1"/>
    <col min="23" max="23" width="9.54296875" style="274" customWidth="1"/>
    <col min="24" max="24" width="15.1796875" style="274" customWidth="1"/>
    <col min="25" max="25" width="9" style="274" customWidth="1"/>
    <col min="26" max="26" width="14.1796875" style="274" customWidth="1"/>
    <col min="27" max="27" width="16.26953125" style="274" customWidth="1"/>
    <col min="28" max="28" width="14.7265625" style="274" customWidth="1"/>
    <col min="29" max="29" width="27.453125" style="274" customWidth="1"/>
    <col min="30" max="16384" width="9.1796875" style="274"/>
  </cols>
  <sheetData>
    <row r="1" spans="1:31" ht="13" hidden="1">
      <c r="A1" s="779" t="s">
        <v>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454"/>
    </row>
    <row r="2" spans="1:31" ht="13" hidden="1">
      <c r="A2" s="780" t="s">
        <v>143</v>
      </c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454"/>
    </row>
    <row r="3" spans="1:31" ht="13" hidden="1">
      <c r="A3" s="781" t="s">
        <v>144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454"/>
    </row>
    <row r="4" spans="1:31" ht="83.25" customHeight="1">
      <c r="A4" s="440" t="s">
        <v>145</v>
      </c>
      <c r="B4" s="441" t="s">
        <v>146</v>
      </c>
      <c r="C4" s="442" t="s">
        <v>147</v>
      </c>
      <c r="D4" s="441" t="s">
        <v>148</v>
      </c>
      <c r="E4" s="442" t="s">
        <v>149</v>
      </c>
      <c r="F4" s="442" t="s">
        <v>150</v>
      </c>
      <c r="G4" s="442" t="s">
        <v>151</v>
      </c>
      <c r="H4" s="442" t="s">
        <v>152</v>
      </c>
      <c r="I4" s="442" t="s">
        <v>153</v>
      </c>
      <c r="J4" s="442"/>
      <c r="K4" s="442"/>
      <c r="L4" s="442"/>
      <c r="M4" s="442" t="s">
        <v>154</v>
      </c>
      <c r="N4" s="442" t="s">
        <v>155</v>
      </c>
      <c r="O4" s="442" t="s">
        <v>156</v>
      </c>
      <c r="P4" s="442" t="s">
        <v>157</v>
      </c>
      <c r="Q4" s="442" t="s">
        <v>158</v>
      </c>
      <c r="R4" s="442" t="s">
        <v>159</v>
      </c>
      <c r="S4" s="442" t="s">
        <v>160</v>
      </c>
      <c r="T4" s="442" t="s">
        <v>161</v>
      </c>
      <c r="U4" s="442" t="s">
        <v>162</v>
      </c>
      <c r="V4" s="442" t="s">
        <v>163</v>
      </c>
      <c r="W4" s="442"/>
      <c r="X4" s="442" t="s">
        <v>164</v>
      </c>
      <c r="Y4" s="442" t="s">
        <v>165</v>
      </c>
      <c r="Z4" s="455" t="s">
        <v>166</v>
      </c>
      <c r="AA4" s="456"/>
      <c r="AB4" s="456" t="s">
        <v>520</v>
      </c>
    </row>
    <row r="5" spans="1:31" ht="17.5">
      <c r="A5" s="443">
        <v>1</v>
      </c>
      <c r="B5" s="7" t="s">
        <v>22</v>
      </c>
      <c r="C5" s="444"/>
      <c r="D5" s="445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53"/>
      <c r="X5" s="446"/>
      <c r="Y5" s="446"/>
      <c r="Z5" s="457"/>
      <c r="AA5" s="458"/>
      <c r="AB5" s="458"/>
      <c r="AC5" s="458"/>
      <c r="AD5" s="458"/>
      <c r="AE5" s="458"/>
    </row>
    <row r="6" spans="1:31" ht="36">
      <c r="A6" s="443">
        <v>3</v>
      </c>
      <c r="B6" s="10" t="s">
        <v>236</v>
      </c>
      <c r="C6" s="444">
        <v>1934986.1669999999</v>
      </c>
      <c r="D6" s="445">
        <v>12</v>
      </c>
      <c r="E6" s="446">
        <f>C6*D6</f>
        <v>23219834.004000001</v>
      </c>
      <c r="F6" s="446"/>
      <c r="G6" s="446"/>
      <c r="H6" s="446"/>
      <c r="I6" s="446">
        <f t="shared" ref="I6:I32" si="0">E6-F6-G6-H6</f>
        <v>23219834.004000001</v>
      </c>
      <c r="J6" s="446">
        <v>200000</v>
      </c>
      <c r="K6" s="446">
        <v>0.2</v>
      </c>
      <c r="L6" s="446">
        <f t="shared" ref="L6:L75" si="1">I6*K6</f>
        <v>4643966.8008000003</v>
      </c>
      <c r="M6" s="446">
        <f t="shared" ref="M6:M75" si="2">J6+L6</f>
        <v>4843966.8008000003</v>
      </c>
      <c r="N6" s="446">
        <f t="shared" ref="N6:N32" si="3">F6+G6+H6+M6</f>
        <v>4843966.8008000003</v>
      </c>
      <c r="O6" s="446">
        <f t="shared" ref="O6:O32" si="4">E6-N6</f>
        <v>18375867.203200001</v>
      </c>
      <c r="P6" s="446">
        <f t="shared" ref="P6:P75" si="5">IF(O6&lt;300000,0.07*O6,21000)</f>
        <v>21000</v>
      </c>
      <c r="Q6" s="446">
        <f t="shared" ref="Q6:Q75" si="6">IF((O6-300000)&lt;0,0,IF((O6-300000)&lt;300000,0.11*(O6-300000),33000))</f>
        <v>33000</v>
      </c>
      <c r="R6" s="446">
        <f t="shared" ref="R6:R75" si="7">IF((O6-600000)&lt;0,0,IF((O6-600000)&lt;500000,0.15*(O6-600000),75000))</f>
        <v>75000</v>
      </c>
      <c r="S6" s="446">
        <f t="shared" ref="S6:S75" si="8">IF((O6-1100000)&lt;0,0,IF((O6-1100000)&lt;500000,0.19*(O6-1100000),95000))</f>
        <v>95000</v>
      </c>
      <c r="T6" s="446">
        <f t="shared" ref="T6:T75" si="9">IF((O6-1600000)&lt;0,0,IF((O6-1600000)&lt;1600000,0.21*(O6-1600000),336000))</f>
        <v>336000</v>
      </c>
      <c r="U6" s="446">
        <f t="shared" ref="U6:U73" si="10">24%*(O6-3200000)</f>
        <v>3642208.1287679998</v>
      </c>
      <c r="V6" s="446">
        <f t="shared" ref="V6:V75" si="11">P6+Q6+R6+S6+T6+U6</f>
        <v>4202208.1287679998</v>
      </c>
      <c r="W6" s="453">
        <v>12</v>
      </c>
      <c r="X6" s="446">
        <f t="shared" ref="X6:X75" si="12">V6/W6</f>
        <v>350184.01073066698</v>
      </c>
      <c r="Y6" s="446"/>
      <c r="Z6" s="457">
        <f t="shared" ref="Z6:Z75" si="13">X6</f>
        <v>350184.01073066698</v>
      </c>
      <c r="AA6" s="458">
        <v>201165.83594666701</v>
      </c>
      <c r="AB6" s="458">
        <f>Z6-AA6</f>
        <v>149018.174784</v>
      </c>
      <c r="AC6" s="458"/>
      <c r="AD6" s="458"/>
      <c r="AE6" s="458"/>
    </row>
    <row r="7" spans="1:31" ht="18">
      <c r="A7" s="443">
        <v>4</v>
      </c>
      <c r="B7" s="10" t="s">
        <v>239</v>
      </c>
      <c r="C7" s="444">
        <v>852373.16666666698</v>
      </c>
      <c r="D7" s="445">
        <v>12</v>
      </c>
      <c r="E7" s="446">
        <f t="shared" ref="E7:E32" si="14">C7*D7</f>
        <v>10228478</v>
      </c>
      <c r="F7" s="446"/>
      <c r="G7" s="446">
        <v>731878.24</v>
      </c>
      <c r="H7" s="446"/>
      <c r="I7" s="446">
        <f t="shared" si="0"/>
        <v>9496599.7599999998</v>
      </c>
      <c r="J7" s="446">
        <v>200000</v>
      </c>
      <c r="K7" s="446">
        <v>0.2</v>
      </c>
      <c r="L7" s="446">
        <f t="shared" si="1"/>
        <v>1899319.952</v>
      </c>
      <c r="M7" s="446">
        <f t="shared" si="2"/>
        <v>2099319.952</v>
      </c>
      <c r="N7" s="446">
        <f t="shared" si="3"/>
        <v>2831198.1919999998</v>
      </c>
      <c r="O7" s="446">
        <f t="shared" si="4"/>
        <v>7397279.8080000002</v>
      </c>
      <c r="P7" s="446">
        <f t="shared" si="5"/>
        <v>21000</v>
      </c>
      <c r="Q7" s="446">
        <f t="shared" si="6"/>
        <v>33000</v>
      </c>
      <c r="R7" s="446">
        <f t="shared" si="7"/>
        <v>75000</v>
      </c>
      <c r="S7" s="446">
        <f t="shared" si="8"/>
        <v>95000</v>
      </c>
      <c r="T7" s="446">
        <f t="shared" si="9"/>
        <v>336000</v>
      </c>
      <c r="U7" s="446">
        <f t="shared" si="10"/>
        <v>1007347.15392</v>
      </c>
      <c r="V7" s="446">
        <f t="shared" si="11"/>
        <v>1567347.15392</v>
      </c>
      <c r="W7" s="453">
        <v>12</v>
      </c>
      <c r="X7" s="446">
        <f t="shared" si="12"/>
        <v>130612.26282666701</v>
      </c>
      <c r="Y7" s="446"/>
      <c r="Z7" s="457">
        <f t="shared" si="13"/>
        <v>130612.26282666701</v>
      </c>
      <c r="AA7" s="458">
        <v>82627.951418666693</v>
      </c>
      <c r="AB7" s="458">
        <f t="shared" ref="AB7:AB32" si="15">Z7-AA7</f>
        <v>47984.311408000001</v>
      </c>
      <c r="AC7" s="458"/>
      <c r="AD7" s="458"/>
      <c r="AE7" s="458"/>
    </row>
    <row r="8" spans="1:31" ht="18">
      <c r="A8" s="443">
        <v>5</v>
      </c>
      <c r="B8" s="13" t="s">
        <v>241</v>
      </c>
      <c r="C8" s="444">
        <v>1052373.16666667</v>
      </c>
      <c r="D8" s="445">
        <v>12</v>
      </c>
      <c r="E8" s="446">
        <f t="shared" si="14"/>
        <v>12628478</v>
      </c>
      <c r="F8" s="446"/>
      <c r="G8" s="446">
        <v>0</v>
      </c>
      <c r="H8" s="446"/>
      <c r="I8" s="446">
        <f t="shared" si="0"/>
        <v>12628478</v>
      </c>
      <c r="J8" s="446">
        <v>200000</v>
      </c>
      <c r="K8" s="446">
        <v>0.2</v>
      </c>
      <c r="L8" s="446">
        <f t="shared" si="1"/>
        <v>2525695.6</v>
      </c>
      <c r="M8" s="446">
        <f t="shared" si="2"/>
        <v>2725695.6</v>
      </c>
      <c r="N8" s="446">
        <f t="shared" si="3"/>
        <v>2725695.6</v>
      </c>
      <c r="O8" s="446">
        <f t="shared" si="4"/>
        <v>9902782.4000000004</v>
      </c>
      <c r="P8" s="446">
        <f t="shared" si="5"/>
        <v>21000</v>
      </c>
      <c r="Q8" s="446">
        <f t="shared" si="6"/>
        <v>33000</v>
      </c>
      <c r="R8" s="446">
        <f t="shared" si="7"/>
        <v>75000</v>
      </c>
      <c r="S8" s="446">
        <f t="shared" si="8"/>
        <v>95000</v>
      </c>
      <c r="T8" s="446">
        <f t="shared" si="9"/>
        <v>336000</v>
      </c>
      <c r="U8" s="446">
        <f t="shared" si="10"/>
        <v>1608667.7760000001</v>
      </c>
      <c r="V8" s="446">
        <f t="shared" si="11"/>
        <v>2168667.7760000001</v>
      </c>
      <c r="W8" s="453">
        <v>12</v>
      </c>
      <c r="X8" s="446">
        <f t="shared" si="12"/>
        <v>180722.31466666699</v>
      </c>
      <c r="Y8" s="446"/>
      <c r="Z8" s="457">
        <f t="shared" si="13"/>
        <v>180722.31466666699</v>
      </c>
      <c r="AA8" s="458">
        <v>121027.951418667</v>
      </c>
      <c r="AB8" s="458">
        <f t="shared" si="15"/>
        <v>59694.363248000001</v>
      </c>
      <c r="AC8" s="458"/>
      <c r="AD8" s="458"/>
      <c r="AE8" s="458"/>
    </row>
    <row r="9" spans="1:31" ht="18">
      <c r="A9" s="443">
        <v>6</v>
      </c>
      <c r="B9" s="10" t="s">
        <v>243</v>
      </c>
      <c r="C9" s="444">
        <v>942373.16666666698</v>
      </c>
      <c r="D9" s="445">
        <v>12</v>
      </c>
      <c r="E9" s="446">
        <f t="shared" si="14"/>
        <v>11308478</v>
      </c>
      <c r="F9" s="446">
        <f>'[5]JANUARY 2024'!$V$10*12</f>
        <v>12795.950999999999</v>
      </c>
      <c r="G9" s="446">
        <v>731878.24</v>
      </c>
      <c r="H9" s="446"/>
      <c r="I9" s="446">
        <f t="shared" si="0"/>
        <v>10563803.809</v>
      </c>
      <c r="J9" s="446">
        <v>200000</v>
      </c>
      <c r="K9" s="446">
        <v>0.2</v>
      </c>
      <c r="L9" s="446">
        <f t="shared" si="1"/>
        <v>2112760.7618</v>
      </c>
      <c r="M9" s="446">
        <f t="shared" si="2"/>
        <v>2312760.7618</v>
      </c>
      <c r="N9" s="446">
        <f t="shared" si="3"/>
        <v>3057434.9528000001</v>
      </c>
      <c r="O9" s="446">
        <f t="shared" si="4"/>
        <v>8251043.0471999999</v>
      </c>
      <c r="P9" s="446">
        <f t="shared" si="5"/>
        <v>21000</v>
      </c>
      <c r="Q9" s="446">
        <f t="shared" si="6"/>
        <v>33000</v>
      </c>
      <c r="R9" s="446">
        <f t="shared" si="7"/>
        <v>75000</v>
      </c>
      <c r="S9" s="446">
        <f t="shared" si="8"/>
        <v>95000</v>
      </c>
      <c r="T9" s="446">
        <f t="shared" si="9"/>
        <v>336000</v>
      </c>
      <c r="U9" s="446">
        <f t="shared" si="10"/>
        <v>1212250.3313279999</v>
      </c>
      <c r="V9" s="446">
        <f t="shared" si="11"/>
        <v>1772250.3313279999</v>
      </c>
      <c r="W9" s="453">
        <v>12</v>
      </c>
      <c r="X9" s="446">
        <f t="shared" si="12"/>
        <v>147687.52761066699</v>
      </c>
      <c r="Y9" s="446"/>
      <c r="Z9" s="457">
        <f t="shared" si="13"/>
        <v>147687.52761066699</v>
      </c>
      <c r="AA9" s="458">
        <v>99703.216202666707</v>
      </c>
      <c r="AB9" s="458">
        <f t="shared" si="15"/>
        <v>47984.311408000001</v>
      </c>
      <c r="AC9" s="458"/>
      <c r="AD9" s="458"/>
      <c r="AE9" s="458"/>
    </row>
    <row r="10" spans="1:31" ht="18">
      <c r="A10" s="443">
        <v>7</v>
      </c>
      <c r="B10" s="13" t="s">
        <v>245</v>
      </c>
      <c r="C10" s="444">
        <v>1002373.16666667</v>
      </c>
      <c r="D10" s="445">
        <v>12</v>
      </c>
      <c r="E10" s="446">
        <f t="shared" si="14"/>
        <v>12028478</v>
      </c>
      <c r="F10" s="446">
        <f>'[5]JANUARY 2024'!$V$10*12</f>
        <v>12795.950999999999</v>
      </c>
      <c r="G10" s="446">
        <v>731878.24</v>
      </c>
      <c r="H10" s="446"/>
      <c r="I10" s="446">
        <f t="shared" si="0"/>
        <v>11283803.809</v>
      </c>
      <c r="J10" s="446">
        <v>200000</v>
      </c>
      <c r="K10" s="446">
        <v>0.2</v>
      </c>
      <c r="L10" s="446">
        <f t="shared" si="1"/>
        <v>2256760.7618</v>
      </c>
      <c r="M10" s="446">
        <f t="shared" si="2"/>
        <v>2456760.7618</v>
      </c>
      <c r="N10" s="446">
        <f t="shared" si="3"/>
        <v>3201434.9528000001</v>
      </c>
      <c r="O10" s="446">
        <f t="shared" si="4"/>
        <v>8827043.0471999999</v>
      </c>
      <c r="P10" s="446">
        <f t="shared" si="5"/>
        <v>21000</v>
      </c>
      <c r="Q10" s="446">
        <f t="shared" si="6"/>
        <v>33000</v>
      </c>
      <c r="R10" s="446">
        <f t="shared" si="7"/>
        <v>75000</v>
      </c>
      <c r="S10" s="446">
        <f t="shared" si="8"/>
        <v>95000</v>
      </c>
      <c r="T10" s="446">
        <f t="shared" si="9"/>
        <v>336000</v>
      </c>
      <c r="U10" s="446">
        <f t="shared" si="10"/>
        <v>1350490.3313279999</v>
      </c>
      <c r="V10" s="446">
        <f t="shared" si="11"/>
        <v>1910490.3313279999</v>
      </c>
      <c r="W10" s="453">
        <v>12</v>
      </c>
      <c r="X10" s="446">
        <f t="shared" si="12"/>
        <v>159207.52761066699</v>
      </c>
      <c r="Y10" s="446"/>
      <c r="Z10" s="457">
        <f t="shared" si="13"/>
        <v>159207.52761066699</v>
      </c>
      <c r="AA10" s="458">
        <v>111223.216202667</v>
      </c>
      <c r="AB10" s="458">
        <f t="shared" si="15"/>
        <v>47984.311408000001</v>
      </c>
      <c r="AC10" s="458"/>
      <c r="AD10" s="458"/>
      <c r="AE10" s="458"/>
    </row>
    <row r="11" spans="1:31" ht="18">
      <c r="A11" s="443">
        <v>8</v>
      </c>
      <c r="B11" s="17" t="s">
        <v>232</v>
      </c>
      <c r="C11" s="444">
        <v>952373.16666666698</v>
      </c>
      <c r="D11" s="445">
        <v>12</v>
      </c>
      <c r="E11" s="446">
        <f t="shared" si="14"/>
        <v>11428478</v>
      </c>
      <c r="F11" s="446"/>
      <c r="G11" s="446">
        <v>0</v>
      </c>
      <c r="H11" s="446"/>
      <c r="I11" s="446">
        <f t="shared" si="0"/>
        <v>11428478</v>
      </c>
      <c r="J11" s="446">
        <v>200000</v>
      </c>
      <c r="K11" s="446">
        <v>0.2</v>
      </c>
      <c r="L11" s="446">
        <f t="shared" si="1"/>
        <v>2285695.6</v>
      </c>
      <c r="M11" s="446">
        <f t="shared" si="2"/>
        <v>2485695.6</v>
      </c>
      <c r="N11" s="446">
        <f t="shared" si="3"/>
        <v>2485695.6</v>
      </c>
      <c r="O11" s="446">
        <f t="shared" si="4"/>
        <v>8942782.4000000004</v>
      </c>
      <c r="P11" s="446">
        <f t="shared" si="5"/>
        <v>21000</v>
      </c>
      <c r="Q11" s="446">
        <f t="shared" si="6"/>
        <v>33000</v>
      </c>
      <c r="R11" s="446">
        <f t="shared" si="7"/>
        <v>75000</v>
      </c>
      <c r="S11" s="446">
        <f t="shared" si="8"/>
        <v>95000</v>
      </c>
      <c r="T11" s="446">
        <f t="shared" si="9"/>
        <v>336000</v>
      </c>
      <c r="U11" s="446">
        <f t="shared" si="10"/>
        <v>1378267.7760000001</v>
      </c>
      <c r="V11" s="446">
        <f t="shared" si="11"/>
        <v>1938267.7760000001</v>
      </c>
      <c r="W11" s="453">
        <v>12</v>
      </c>
      <c r="X11" s="446">
        <f t="shared" si="12"/>
        <v>161522.31466666699</v>
      </c>
      <c r="Y11" s="446"/>
      <c r="Z11" s="457">
        <f t="shared" si="13"/>
        <v>161522.31466666699</v>
      </c>
      <c r="AA11" s="458">
        <v>101827.951418667</v>
      </c>
      <c r="AB11" s="458">
        <f t="shared" si="15"/>
        <v>59694.363248000001</v>
      </c>
      <c r="AC11" s="458"/>
      <c r="AD11" s="458"/>
      <c r="AE11" s="458"/>
    </row>
    <row r="12" spans="1:31" ht="18">
      <c r="A12" s="443">
        <v>9</v>
      </c>
      <c r="B12" s="10" t="s">
        <v>247</v>
      </c>
      <c r="C12" s="444">
        <v>750675.58333333302</v>
      </c>
      <c r="D12" s="445">
        <v>12</v>
      </c>
      <c r="E12" s="446">
        <f t="shared" si="14"/>
        <v>9008107</v>
      </c>
      <c r="F12" s="446">
        <f>'[5]JANUARY 2024'!$V$13*12</f>
        <v>10052.25</v>
      </c>
      <c r="G12" s="446">
        <v>595848.56000000006</v>
      </c>
      <c r="H12" s="446"/>
      <c r="I12" s="446">
        <f t="shared" si="0"/>
        <v>8402206.1899999995</v>
      </c>
      <c r="J12" s="446">
        <v>200000</v>
      </c>
      <c r="K12" s="446">
        <v>0.2</v>
      </c>
      <c r="L12" s="446">
        <f t="shared" si="1"/>
        <v>1680441.2379999999</v>
      </c>
      <c r="M12" s="446">
        <f t="shared" si="2"/>
        <v>1880441.2379999999</v>
      </c>
      <c r="N12" s="446">
        <f t="shared" si="3"/>
        <v>2486342.048</v>
      </c>
      <c r="O12" s="446">
        <f t="shared" si="4"/>
        <v>6521764.9519999996</v>
      </c>
      <c r="P12" s="446">
        <f t="shared" si="5"/>
        <v>21000</v>
      </c>
      <c r="Q12" s="446">
        <f t="shared" si="6"/>
        <v>33000</v>
      </c>
      <c r="R12" s="446">
        <f t="shared" si="7"/>
        <v>75000</v>
      </c>
      <c r="S12" s="446">
        <f t="shared" si="8"/>
        <v>95000</v>
      </c>
      <c r="T12" s="446">
        <f t="shared" si="9"/>
        <v>336000</v>
      </c>
      <c r="U12" s="446">
        <f t="shared" si="10"/>
        <v>797223.58848000003</v>
      </c>
      <c r="V12" s="446">
        <f t="shared" si="11"/>
        <v>1357223.5884799999</v>
      </c>
      <c r="W12" s="453">
        <v>12</v>
      </c>
      <c r="X12" s="446">
        <f t="shared" si="12"/>
        <v>113101.965706667</v>
      </c>
      <c r="Y12" s="446"/>
      <c r="Z12" s="457">
        <f t="shared" si="13"/>
        <v>113101.965706667</v>
      </c>
      <c r="AA12" s="458">
        <v>74036.103146666705</v>
      </c>
      <c r="AB12" s="458">
        <f t="shared" si="15"/>
        <v>39065.862560000001</v>
      </c>
      <c r="AC12" s="458"/>
      <c r="AD12" s="458"/>
      <c r="AE12" s="458"/>
    </row>
    <row r="13" spans="1:31" ht="18">
      <c r="A13" s="443">
        <v>10</v>
      </c>
      <c r="B13" s="10" t="s">
        <v>250</v>
      </c>
      <c r="C13" s="444">
        <v>842118.08333333302</v>
      </c>
      <c r="D13" s="445">
        <v>12</v>
      </c>
      <c r="E13" s="446">
        <f t="shared" si="14"/>
        <v>10105417</v>
      </c>
      <c r="F13" s="446">
        <f>'[5]JANUARY 2024'!$V$14*12</f>
        <v>9305.9519999999993</v>
      </c>
      <c r="G13" s="446">
        <v>558833.36</v>
      </c>
      <c r="H13" s="446"/>
      <c r="I13" s="446">
        <f t="shared" si="0"/>
        <v>9537277.6879999992</v>
      </c>
      <c r="J13" s="446">
        <v>200000</v>
      </c>
      <c r="K13" s="446">
        <v>0.2</v>
      </c>
      <c r="L13" s="446">
        <f t="shared" si="1"/>
        <v>1907455.5375999999</v>
      </c>
      <c r="M13" s="446">
        <f t="shared" si="2"/>
        <v>2107455.5375999999</v>
      </c>
      <c r="N13" s="446">
        <f t="shared" si="3"/>
        <v>2675594.8495999998</v>
      </c>
      <c r="O13" s="446">
        <f t="shared" si="4"/>
        <v>7429822.1503999997</v>
      </c>
      <c r="P13" s="446">
        <f t="shared" si="5"/>
        <v>21000</v>
      </c>
      <c r="Q13" s="446">
        <f t="shared" si="6"/>
        <v>33000</v>
      </c>
      <c r="R13" s="446">
        <f t="shared" si="7"/>
        <v>75000</v>
      </c>
      <c r="S13" s="446">
        <f t="shared" si="8"/>
        <v>95000</v>
      </c>
      <c r="T13" s="446">
        <f t="shared" si="9"/>
        <v>336000</v>
      </c>
      <c r="U13" s="446">
        <f t="shared" si="10"/>
        <v>1015157.316096</v>
      </c>
      <c r="V13" s="446">
        <f t="shared" si="11"/>
        <v>1575157.3160959999</v>
      </c>
      <c r="W13" s="453">
        <v>12</v>
      </c>
      <c r="X13" s="446">
        <f t="shared" si="12"/>
        <v>131263.10967466701</v>
      </c>
      <c r="Y13" s="446"/>
      <c r="Z13" s="457">
        <f t="shared" si="13"/>
        <v>131263.10967466701</v>
      </c>
      <c r="AA13" s="458">
        <v>94625.782058666693</v>
      </c>
      <c r="AB13" s="458">
        <f t="shared" si="15"/>
        <v>36637.327616000002</v>
      </c>
      <c r="AC13" s="458"/>
      <c r="AD13" s="458"/>
      <c r="AE13" s="458"/>
    </row>
    <row r="14" spans="1:31" ht="18">
      <c r="A14" s="443">
        <v>11</v>
      </c>
      <c r="B14" s="10" t="s">
        <v>252</v>
      </c>
      <c r="C14" s="444">
        <v>554373.75</v>
      </c>
      <c r="D14" s="445">
        <v>12</v>
      </c>
      <c r="E14" s="446">
        <f t="shared" si="14"/>
        <v>6652485</v>
      </c>
      <c r="F14" s="446"/>
      <c r="G14" s="446">
        <v>464998.8</v>
      </c>
      <c r="H14" s="446"/>
      <c r="I14" s="446">
        <f t="shared" si="0"/>
        <v>6187486.2000000002</v>
      </c>
      <c r="J14" s="446">
        <v>200000</v>
      </c>
      <c r="K14" s="446">
        <v>0.2</v>
      </c>
      <c r="L14" s="446">
        <f t="shared" si="1"/>
        <v>1237497.24</v>
      </c>
      <c r="M14" s="446">
        <f t="shared" si="2"/>
        <v>1437497.24</v>
      </c>
      <c r="N14" s="446">
        <f t="shared" si="3"/>
        <v>1902496.04</v>
      </c>
      <c r="O14" s="446">
        <f t="shared" si="4"/>
        <v>4749988.96</v>
      </c>
      <c r="P14" s="446">
        <f t="shared" si="5"/>
        <v>21000</v>
      </c>
      <c r="Q14" s="446">
        <f t="shared" si="6"/>
        <v>33000</v>
      </c>
      <c r="R14" s="446">
        <f t="shared" si="7"/>
        <v>75000</v>
      </c>
      <c r="S14" s="446">
        <f t="shared" si="8"/>
        <v>95000</v>
      </c>
      <c r="T14" s="446">
        <f t="shared" si="9"/>
        <v>336000</v>
      </c>
      <c r="U14" s="446">
        <f t="shared" si="10"/>
        <v>371997.3504</v>
      </c>
      <c r="V14" s="446">
        <f t="shared" si="11"/>
        <v>931997.3504</v>
      </c>
      <c r="W14" s="453">
        <v>12</v>
      </c>
      <c r="X14" s="446">
        <f t="shared" si="12"/>
        <v>77666.445866666705</v>
      </c>
      <c r="Y14" s="446"/>
      <c r="Z14" s="457">
        <f t="shared" si="13"/>
        <v>77666.445866666705</v>
      </c>
      <c r="AA14" s="458">
        <v>44846.6165886667</v>
      </c>
      <c r="AB14" s="458">
        <f t="shared" si="15"/>
        <v>32819.829277999997</v>
      </c>
      <c r="AC14" s="458"/>
      <c r="AD14" s="458"/>
      <c r="AE14" s="458"/>
    </row>
    <row r="15" spans="1:31" ht="18">
      <c r="A15" s="443">
        <v>12</v>
      </c>
      <c r="B15" s="13" t="s">
        <v>255</v>
      </c>
      <c r="C15" s="444">
        <v>660498</v>
      </c>
      <c r="D15" s="445">
        <v>12</v>
      </c>
      <c r="E15" s="446">
        <f t="shared" si="14"/>
        <v>7925976</v>
      </c>
      <c r="F15" s="446"/>
      <c r="G15" s="447">
        <v>451678.08</v>
      </c>
      <c r="H15" s="446"/>
      <c r="I15" s="446">
        <f t="shared" si="0"/>
        <v>7474297.9199999999</v>
      </c>
      <c r="J15" s="446">
        <v>200000</v>
      </c>
      <c r="K15" s="446">
        <v>0.2</v>
      </c>
      <c r="L15" s="446">
        <f t="shared" si="1"/>
        <v>1494859.584</v>
      </c>
      <c r="M15" s="446">
        <f t="shared" si="2"/>
        <v>1694859.584</v>
      </c>
      <c r="N15" s="446">
        <f t="shared" si="3"/>
        <v>2146537.6639999999</v>
      </c>
      <c r="O15" s="446">
        <f t="shared" si="4"/>
        <v>5779438.3360000001</v>
      </c>
      <c r="P15" s="446">
        <f t="shared" si="5"/>
        <v>21000</v>
      </c>
      <c r="Q15" s="446">
        <f t="shared" si="6"/>
        <v>33000</v>
      </c>
      <c r="R15" s="446">
        <f t="shared" si="7"/>
        <v>75000</v>
      </c>
      <c r="S15" s="446">
        <f t="shared" si="8"/>
        <v>95000</v>
      </c>
      <c r="T15" s="446">
        <f t="shared" si="9"/>
        <v>336000</v>
      </c>
      <c r="U15" s="446">
        <f t="shared" si="10"/>
        <v>619065.20064000005</v>
      </c>
      <c r="V15" s="446">
        <f t="shared" si="11"/>
        <v>1179065.2006399999</v>
      </c>
      <c r="W15" s="453">
        <v>12</v>
      </c>
      <c r="X15" s="446">
        <f t="shared" si="12"/>
        <v>98255.4333866667</v>
      </c>
      <c r="Y15" s="446"/>
      <c r="Z15" s="457">
        <f t="shared" si="13"/>
        <v>98255.4333866667</v>
      </c>
      <c r="AA15" s="458">
        <v>46666.666666666701</v>
      </c>
      <c r="AB15" s="458">
        <f t="shared" si="15"/>
        <v>51588.76672</v>
      </c>
      <c r="AC15" s="458"/>
      <c r="AD15" s="458"/>
      <c r="AE15" s="458"/>
    </row>
    <row r="16" spans="1:31" ht="18">
      <c r="A16" s="443">
        <v>13</v>
      </c>
      <c r="B16" s="10" t="s">
        <v>258</v>
      </c>
      <c r="C16" s="444">
        <v>732746.5</v>
      </c>
      <c r="D16" s="445">
        <v>12</v>
      </c>
      <c r="E16" s="446">
        <f t="shared" si="14"/>
        <v>8792958</v>
      </c>
      <c r="F16" s="446"/>
      <c r="G16" s="446">
        <v>425036.64</v>
      </c>
      <c r="H16" s="446"/>
      <c r="I16" s="446">
        <f t="shared" si="0"/>
        <v>8367921.3600000003</v>
      </c>
      <c r="J16" s="446">
        <v>200000</v>
      </c>
      <c r="K16" s="446">
        <v>0.2</v>
      </c>
      <c r="L16" s="446">
        <f t="shared" si="1"/>
        <v>1673584.2720000001</v>
      </c>
      <c r="M16" s="446">
        <f t="shared" si="2"/>
        <v>1873584.2720000001</v>
      </c>
      <c r="N16" s="446">
        <f t="shared" si="3"/>
        <v>2298620.912</v>
      </c>
      <c r="O16" s="446">
        <f t="shared" si="4"/>
        <v>6494337.0880000005</v>
      </c>
      <c r="P16" s="446">
        <f t="shared" si="5"/>
        <v>21000</v>
      </c>
      <c r="Q16" s="446">
        <f t="shared" si="6"/>
        <v>33000</v>
      </c>
      <c r="R16" s="446">
        <f t="shared" si="7"/>
        <v>75000</v>
      </c>
      <c r="S16" s="446">
        <f t="shared" si="8"/>
        <v>95000</v>
      </c>
      <c r="T16" s="446">
        <f t="shared" si="9"/>
        <v>336000</v>
      </c>
      <c r="U16" s="446">
        <f t="shared" si="10"/>
        <v>790640.90112000005</v>
      </c>
      <c r="V16" s="446">
        <f t="shared" si="11"/>
        <v>1350640.9011200001</v>
      </c>
      <c r="W16" s="453">
        <v>12</v>
      </c>
      <c r="X16" s="446">
        <f t="shared" si="12"/>
        <v>112553.408426667</v>
      </c>
      <c r="Y16" s="446"/>
      <c r="Z16" s="457">
        <f t="shared" si="13"/>
        <v>112553.408426667</v>
      </c>
      <c r="AA16" s="458">
        <v>46666.666666666701</v>
      </c>
      <c r="AB16" s="458">
        <f t="shared" si="15"/>
        <v>65886.741760000004</v>
      </c>
      <c r="AC16" s="458"/>
      <c r="AD16" s="458"/>
      <c r="AE16" s="458"/>
    </row>
    <row r="17" spans="1:31" ht="18">
      <c r="A17" s="443">
        <v>14</v>
      </c>
      <c r="B17" s="10" t="s">
        <v>261</v>
      </c>
      <c r="C17" s="444">
        <v>511804.91666666698</v>
      </c>
      <c r="D17" s="445">
        <v>12</v>
      </c>
      <c r="E17" s="446">
        <f t="shared" si="14"/>
        <v>6141659</v>
      </c>
      <c r="F17" s="446"/>
      <c r="G17" s="446">
        <v>424132.72</v>
      </c>
      <c r="H17" s="446"/>
      <c r="I17" s="446">
        <f t="shared" si="0"/>
        <v>5717526.2800000003</v>
      </c>
      <c r="J17" s="446">
        <v>200000</v>
      </c>
      <c r="K17" s="446">
        <v>0.2</v>
      </c>
      <c r="L17" s="446">
        <f t="shared" si="1"/>
        <v>1143505.2560000001</v>
      </c>
      <c r="M17" s="446">
        <f t="shared" si="2"/>
        <v>1343505.2560000001</v>
      </c>
      <c r="N17" s="446">
        <f t="shared" si="3"/>
        <v>1767637.976</v>
      </c>
      <c r="O17" s="446">
        <f t="shared" si="4"/>
        <v>4374021.0240000002</v>
      </c>
      <c r="P17" s="446">
        <f t="shared" si="5"/>
        <v>21000</v>
      </c>
      <c r="Q17" s="446">
        <f t="shared" si="6"/>
        <v>33000</v>
      </c>
      <c r="R17" s="446">
        <f t="shared" si="7"/>
        <v>75000</v>
      </c>
      <c r="S17" s="446">
        <f t="shared" si="8"/>
        <v>95000</v>
      </c>
      <c r="T17" s="446">
        <f t="shared" si="9"/>
        <v>336000</v>
      </c>
      <c r="U17" s="446">
        <f t="shared" si="10"/>
        <v>281765.04576000001</v>
      </c>
      <c r="V17" s="446">
        <f t="shared" si="11"/>
        <v>841765.04576000001</v>
      </c>
      <c r="W17" s="453">
        <v>12</v>
      </c>
      <c r="X17" s="446">
        <f t="shared" si="12"/>
        <v>70147.087146666701</v>
      </c>
      <c r="Y17" s="446"/>
      <c r="Z17" s="457">
        <f t="shared" si="13"/>
        <v>70147.087146666701</v>
      </c>
      <c r="AA17" s="458">
        <v>42046.063686666697</v>
      </c>
      <c r="AB17" s="458">
        <f t="shared" si="15"/>
        <v>28101.02346</v>
      </c>
      <c r="AC17" s="458"/>
      <c r="AD17" s="458"/>
      <c r="AE17" s="458"/>
    </row>
    <row r="18" spans="1:31" ht="18">
      <c r="A18" s="443">
        <v>15</v>
      </c>
      <c r="B18" s="10" t="s">
        <v>264</v>
      </c>
      <c r="C18" s="444">
        <v>548915.91666666698</v>
      </c>
      <c r="D18" s="445">
        <v>12</v>
      </c>
      <c r="E18" s="446">
        <f t="shared" si="14"/>
        <v>6586991</v>
      </c>
      <c r="F18" s="446"/>
      <c r="G18" s="446">
        <v>411759.28</v>
      </c>
      <c r="H18" s="446"/>
      <c r="I18" s="446">
        <f t="shared" si="0"/>
        <v>6175231.7199999997</v>
      </c>
      <c r="J18" s="446">
        <v>200000</v>
      </c>
      <c r="K18" s="446">
        <v>0.2</v>
      </c>
      <c r="L18" s="446">
        <f t="shared" si="1"/>
        <v>1235046.344</v>
      </c>
      <c r="M18" s="446">
        <f t="shared" si="2"/>
        <v>1435046.344</v>
      </c>
      <c r="N18" s="446">
        <f t="shared" si="3"/>
        <v>1846805.6240000001</v>
      </c>
      <c r="O18" s="446">
        <f t="shared" si="4"/>
        <v>4740185.3760000002</v>
      </c>
      <c r="P18" s="446">
        <f t="shared" si="5"/>
        <v>21000</v>
      </c>
      <c r="Q18" s="446">
        <f t="shared" si="6"/>
        <v>33000</v>
      </c>
      <c r="R18" s="446">
        <f t="shared" si="7"/>
        <v>75000</v>
      </c>
      <c r="S18" s="446">
        <f t="shared" si="8"/>
        <v>95000</v>
      </c>
      <c r="T18" s="446">
        <f t="shared" si="9"/>
        <v>336000</v>
      </c>
      <c r="U18" s="446">
        <f t="shared" si="10"/>
        <v>369644.49024000001</v>
      </c>
      <c r="V18" s="446">
        <f t="shared" si="11"/>
        <v>929644.49023999996</v>
      </c>
      <c r="W18" s="453">
        <v>12</v>
      </c>
      <c r="X18" s="446">
        <f t="shared" si="12"/>
        <v>77470.374186666697</v>
      </c>
      <c r="Y18" s="446"/>
      <c r="Z18" s="457">
        <f t="shared" si="13"/>
        <v>77470.374186666697</v>
      </c>
      <c r="AA18" s="458">
        <v>46666.666666666701</v>
      </c>
      <c r="AB18" s="458">
        <f t="shared" si="15"/>
        <v>30803.70752</v>
      </c>
      <c r="AC18" s="458"/>
      <c r="AD18" s="458"/>
      <c r="AE18" s="458"/>
    </row>
    <row r="19" spans="1:31" ht="18">
      <c r="A19" s="443">
        <v>16</v>
      </c>
      <c r="B19" s="17" t="s">
        <v>267</v>
      </c>
      <c r="C19" s="444">
        <v>636026.91666666698</v>
      </c>
      <c r="D19" s="445">
        <v>12</v>
      </c>
      <c r="E19" s="446">
        <f t="shared" si="14"/>
        <v>7632323</v>
      </c>
      <c r="F19" s="446">
        <f>618.53*12</f>
        <v>7422.36</v>
      </c>
      <c r="G19" s="446">
        <v>399385.84</v>
      </c>
      <c r="H19" s="446"/>
      <c r="I19" s="446">
        <f t="shared" si="0"/>
        <v>7225514.7999999998</v>
      </c>
      <c r="J19" s="446">
        <v>200000</v>
      </c>
      <c r="K19" s="446">
        <v>0.2</v>
      </c>
      <c r="L19" s="446">
        <f t="shared" si="1"/>
        <v>1445102.96</v>
      </c>
      <c r="M19" s="446">
        <f t="shared" si="2"/>
        <v>1645102.96</v>
      </c>
      <c r="N19" s="446">
        <f t="shared" si="3"/>
        <v>2051911.16</v>
      </c>
      <c r="O19" s="446">
        <f t="shared" si="4"/>
        <v>5580411.8399999999</v>
      </c>
      <c r="P19" s="446">
        <f t="shared" si="5"/>
        <v>21000</v>
      </c>
      <c r="Q19" s="446">
        <f t="shared" si="6"/>
        <v>33000</v>
      </c>
      <c r="R19" s="446">
        <f t="shared" si="7"/>
        <v>75000</v>
      </c>
      <c r="S19" s="446">
        <f t="shared" si="8"/>
        <v>95000</v>
      </c>
      <c r="T19" s="446">
        <f t="shared" si="9"/>
        <v>336000</v>
      </c>
      <c r="U19" s="446">
        <f t="shared" si="10"/>
        <v>571298.84160000004</v>
      </c>
      <c r="V19" s="446">
        <f t="shared" si="11"/>
        <v>1131298.8415999999</v>
      </c>
      <c r="W19" s="453">
        <v>12</v>
      </c>
      <c r="X19" s="446">
        <f t="shared" si="12"/>
        <v>94274.903466666699</v>
      </c>
      <c r="Y19" s="446"/>
      <c r="Z19" s="457">
        <f t="shared" si="13"/>
        <v>94274.903466666699</v>
      </c>
      <c r="AA19" s="458">
        <v>46666.666666666701</v>
      </c>
      <c r="AB19" s="458">
        <f t="shared" si="15"/>
        <v>47608.236799999999</v>
      </c>
      <c r="AC19" s="458"/>
      <c r="AD19" s="458"/>
      <c r="AE19" s="458"/>
    </row>
    <row r="20" spans="1:31" ht="18">
      <c r="A20" s="443">
        <v>17</v>
      </c>
      <c r="B20" s="10" t="s">
        <v>270</v>
      </c>
      <c r="C20" s="444">
        <v>537895.16666666698</v>
      </c>
      <c r="D20" s="445">
        <v>12</v>
      </c>
      <c r="E20" s="446">
        <f t="shared" si="14"/>
        <v>6454742</v>
      </c>
      <c r="F20" s="446"/>
      <c r="G20" s="446">
        <v>362779.36</v>
      </c>
      <c r="H20" s="446"/>
      <c r="I20" s="446">
        <f t="shared" si="0"/>
        <v>6091962.6399999997</v>
      </c>
      <c r="J20" s="446">
        <v>200000</v>
      </c>
      <c r="K20" s="446">
        <v>0.2</v>
      </c>
      <c r="L20" s="446">
        <f t="shared" si="1"/>
        <v>1218392.5279999999</v>
      </c>
      <c r="M20" s="446">
        <f t="shared" si="2"/>
        <v>1418392.5279999999</v>
      </c>
      <c r="N20" s="446">
        <f t="shared" si="3"/>
        <v>1781171.888</v>
      </c>
      <c r="O20" s="446">
        <f t="shared" si="4"/>
        <v>4673570.1119999997</v>
      </c>
      <c r="P20" s="446">
        <f t="shared" si="5"/>
        <v>21000</v>
      </c>
      <c r="Q20" s="446">
        <f t="shared" si="6"/>
        <v>33000</v>
      </c>
      <c r="R20" s="446">
        <f t="shared" si="7"/>
        <v>75000</v>
      </c>
      <c r="S20" s="446">
        <f t="shared" si="8"/>
        <v>95000</v>
      </c>
      <c r="T20" s="446">
        <f t="shared" si="9"/>
        <v>336000</v>
      </c>
      <c r="U20" s="446">
        <f t="shared" si="10"/>
        <v>353656.82688000001</v>
      </c>
      <c r="V20" s="446">
        <f t="shared" si="11"/>
        <v>913656.82687999995</v>
      </c>
      <c r="W20" s="453">
        <v>12</v>
      </c>
      <c r="X20" s="446">
        <f t="shared" si="12"/>
        <v>76138.068906666696</v>
      </c>
      <c r="Y20" s="446"/>
      <c r="Z20" s="457">
        <f t="shared" si="13"/>
        <v>76138.068906666696</v>
      </c>
      <c r="AA20" s="458">
        <v>52497.770378666602</v>
      </c>
      <c r="AB20" s="458">
        <f t="shared" si="15"/>
        <v>23640.298527999999</v>
      </c>
      <c r="AC20" s="458"/>
      <c r="AD20" s="458"/>
      <c r="AE20" s="458"/>
    </row>
    <row r="21" spans="1:31" ht="18">
      <c r="A21" s="443">
        <v>18</v>
      </c>
      <c r="B21" s="13" t="s">
        <v>272</v>
      </c>
      <c r="C21" s="444">
        <v>553512.5</v>
      </c>
      <c r="D21" s="445">
        <v>12</v>
      </c>
      <c r="E21" s="446">
        <f t="shared" si="14"/>
        <v>6642150</v>
      </c>
      <c r="F21" s="446"/>
      <c r="G21" s="446">
        <v>339372</v>
      </c>
      <c r="H21" s="446"/>
      <c r="I21" s="446">
        <f t="shared" si="0"/>
        <v>6302778</v>
      </c>
      <c r="J21" s="446">
        <v>200000</v>
      </c>
      <c r="K21" s="446">
        <v>0.2</v>
      </c>
      <c r="L21" s="446">
        <f t="shared" si="1"/>
        <v>1260555.6000000001</v>
      </c>
      <c r="M21" s="446">
        <f t="shared" si="2"/>
        <v>1460555.6</v>
      </c>
      <c r="N21" s="446">
        <f t="shared" si="3"/>
        <v>1799927.6</v>
      </c>
      <c r="O21" s="446">
        <f t="shared" si="4"/>
        <v>4842222.4000000004</v>
      </c>
      <c r="P21" s="446">
        <f t="shared" si="5"/>
        <v>21000</v>
      </c>
      <c r="Q21" s="446">
        <f t="shared" si="6"/>
        <v>33000</v>
      </c>
      <c r="R21" s="446">
        <f t="shared" si="7"/>
        <v>75000</v>
      </c>
      <c r="S21" s="446">
        <f t="shared" si="8"/>
        <v>95000</v>
      </c>
      <c r="T21" s="446">
        <f t="shared" si="9"/>
        <v>336000</v>
      </c>
      <c r="U21" s="446">
        <f t="shared" si="10"/>
        <v>394133.37599999999</v>
      </c>
      <c r="V21" s="446">
        <f t="shared" si="11"/>
        <v>954133.37600000005</v>
      </c>
      <c r="W21" s="453">
        <v>12</v>
      </c>
      <c r="X21" s="446">
        <f t="shared" si="12"/>
        <v>79511.114666666705</v>
      </c>
      <c r="Y21" s="446"/>
      <c r="Z21" s="457">
        <f t="shared" si="13"/>
        <v>79511.114666666705</v>
      </c>
      <c r="AA21" s="458">
        <v>46666.666666666701</v>
      </c>
      <c r="AB21" s="458">
        <f t="shared" si="15"/>
        <v>32844.447999999997</v>
      </c>
      <c r="AC21" s="458"/>
      <c r="AD21" s="458"/>
      <c r="AE21" s="458"/>
    </row>
    <row r="22" spans="1:31" ht="18">
      <c r="A22" s="443">
        <v>19</v>
      </c>
      <c r="B22" s="10" t="s">
        <v>274</v>
      </c>
      <c r="C22" s="444">
        <v>463512.5</v>
      </c>
      <c r="D22" s="445">
        <v>12</v>
      </c>
      <c r="E22" s="446">
        <f t="shared" si="14"/>
        <v>5562150</v>
      </c>
      <c r="F22" s="446"/>
      <c r="G22" s="446">
        <v>339372</v>
      </c>
      <c r="H22" s="446"/>
      <c r="I22" s="446">
        <f t="shared" si="0"/>
        <v>5222778</v>
      </c>
      <c r="J22" s="446">
        <v>200000</v>
      </c>
      <c r="K22" s="446">
        <v>0.2</v>
      </c>
      <c r="L22" s="446">
        <f t="shared" si="1"/>
        <v>1044555.6</v>
      </c>
      <c r="M22" s="446">
        <f t="shared" si="2"/>
        <v>1244555.6000000001</v>
      </c>
      <c r="N22" s="446">
        <f t="shared" si="3"/>
        <v>1583927.6</v>
      </c>
      <c r="O22" s="446">
        <f t="shared" si="4"/>
        <v>3978222.4</v>
      </c>
      <c r="P22" s="446">
        <f t="shared" si="5"/>
        <v>21000</v>
      </c>
      <c r="Q22" s="446">
        <f t="shared" si="6"/>
        <v>33000</v>
      </c>
      <c r="R22" s="446">
        <f t="shared" si="7"/>
        <v>75000</v>
      </c>
      <c r="S22" s="446">
        <f t="shared" si="8"/>
        <v>95000</v>
      </c>
      <c r="T22" s="446">
        <f t="shared" si="9"/>
        <v>336000</v>
      </c>
      <c r="U22" s="446">
        <f t="shared" si="10"/>
        <v>186773.37599999999</v>
      </c>
      <c r="V22" s="446">
        <f t="shared" si="11"/>
        <v>746773.37600000005</v>
      </c>
      <c r="W22" s="453">
        <v>12</v>
      </c>
      <c r="X22" s="446">
        <f t="shared" si="12"/>
        <v>62231.114666666697</v>
      </c>
      <c r="Y22" s="446"/>
      <c r="Z22" s="457">
        <f t="shared" si="13"/>
        <v>62231.114666666697</v>
      </c>
      <c r="AA22" s="458">
        <v>46666.666666666701</v>
      </c>
      <c r="AB22" s="458">
        <f t="shared" si="15"/>
        <v>15564.448</v>
      </c>
      <c r="AC22" s="458"/>
      <c r="AD22" s="458"/>
      <c r="AE22" s="458"/>
    </row>
    <row r="23" spans="1:31" ht="18">
      <c r="A23" s="443">
        <v>20</v>
      </c>
      <c r="B23" s="13" t="s">
        <v>276</v>
      </c>
      <c r="C23" s="444">
        <v>453029.66666666698</v>
      </c>
      <c r="D23" s="445">
        <v>12</v>
      </c>
      <c r="E23" s="446">
        <f t="shared" si="14"/>
        <v>5436356</v>
      </c>
      <c r="F23" s="446"/>
      <c r="G23" s="446">
        <v>281308.48</v>
      </c>
      <c r="H23" s="446"/>
      <c r="I23" s="446">
        <f t="shared" si="0"/>
        <v>5155047.5199999996</v>
      </c>
      <c r="J23" s="446">
        <v>200000</v>
      </c>
      <c r="K23" s="446">
        <v>0.2</v>
      </c>
      <c r="L23" s="446">
        <f t="shared" si="1"/>
        <v>1031009.504</v>
      </c>
      <c r="M23" s="446">
        <f t="shared" si="2"/>
        <v>1231009.504</v>
      </c>
      <c r="N23" s="446">
        <f t="shared" si="3"/>
        <v>1512317.9839999999</v>
      </c>
      <c r="O23" s="446">
        <f t="shared" si="4"/>
        <v>3924038.0159999998</v>
      </c>
      <c r="P23" s="446">
        <f t="shared" si="5"/>
        <v>21000</v>
      </c>
      <c r="Q23" s="446">
        <f t="shared" si="6"/>
        <v>33000</v>
      </c>
      <c r="R23" s="446">
        <f t="shared" si="7"/>
        <v>75000</v>
      </c>
      <c r="S23" s="446">
        <f t="shared" si="8"/>
        <v>95000</v>
      </c>
      <c r="T23" s="446">
        <f t="shared" si="9"/>
        <v>336000</v>
      </c>
      <c r="U23" s="446">
        <f t="shared" si="10"/>
        <v>173769.12383999999</v>
      </c>
      <c r="V23" s="446">
        <f t="shared" si="11"/>
        <v>733769.12384000001</v>
      </c>
      <c r="W23" s="453">
        <v>12</v>
      </c>
      <c r="X23" s="446">
        <f t="shared" si="12"/>
        <v>61147.426986666702</v>
      </c>
      <c r="Y23" s="446"/>
      <c r="Z23" s="457">
        <f t="shared" si="13"/>
        <v>61147.426986666702</v>
      </c>
      <c r="AA23" s="458">
        <v>42371.815728666697</v>
      </c>
      <c r="AB23" s="458">
        <f t="shared" si="15"/>
        <v>18775.611258000001</v>
      </c>
      <c r="AC23" s="458"/>
      <c r="AD23" s="458"/>
      <c r="AE23" s="458"/>
    </row>
    <row r="24" spans="1:31" ht="18">
      <c r="A24" s="443">
        <v>21</v>
      </c>
      <c r="B24" s="3" t="s">
        <v>278</v>
      </c>
      <c r="C24" s="444">
        <v>330481.66666666698</v>
      </c>
      <c r="D24" s="445">
        <v>12</v>
      </c>
      <c r="E24" s="446">
        <f t="shared" si="14"/>
        <v>3965780</v>
      </c>
      <c r="F24" s="446"/>
      <c r="G24" s="446">
        <v>259662.4</v>
      </c>
      <c r="H24" s="446"/>
      <c r="I24" s="446">
        <f t="shared" si="0"/>
        <v>3706117.6</v>
      </c>
      <c r="J24" s="446">
        <v>200000</v>
      </c>
      <c r="K24" s="446">
        <v>0.2</v>
      </c>
      <c r="L24" s="446">
        <f t="shared" si="1"/>
        <v>741223.52</v>
      </c>
      <c r="M24" s="446">
        <f t="shared" si="2"/>
        <v>941223.52</v>
      </c>
      <c r="N24" s="446">
        <f t="shared" si="3"/>
        <v>1200885.92</v>
      </c>
      <c r="O24" s="446">
        <f t="shared" si="4"/>
        <v>2764894.08</v>
      </c>
      <c r="P24" s="446">
        <f t="shared" si="5"/>
        <v>21000</v>
      </c>
      <c r="Q24" s="446">
        <f t="shared" si="6"/>
        <v>33000</v>
      </c>
      <c r="R24" s="446">
        <f t="shared" si="7"/>
        <v>75000</v>
      </c>
      <c r="S24" s="446">
        <f t="shared" si="8"/>
        <v>95000</v>
      </c>
      <c r="T24" s="446">
        <f t="shared" si="9"/>
        <v>244627.7568</v>
      </c>
      <c r="U24" s="446"/>
      <c r="V24" s="446">
        <f t="shared" si="11"/>
        <v>468627.75679999997</v>
      </c>
      <c r="W24" s="453">
        <v>12</v>
      </c>
      <c r="X24" s="446">
        <f t="shared" si="12"/>
        <v>39052.313066666698</v>
      </c>
      <c r="Y24" s="446"/>
      <c r="Z24" s="457">
        <f t="shared" si="13"/>
        <v>39052.313066666698</v>
      </c>
      <c r="AA24" s="458">
        <v>23036.012346666699</v>
      </c>
      <c r="AB24" s="458">
        <f t="shared" si="15"/>
        <v>16016.300719999999</v>
      </c>
      <c r="AC24" s="458"/>
      <c r="AD24" s="458"/>
      <c r="AE24" s="458"/>
    </row>
    <row r="25" spans="1:31" ht="18">
      <c r="A25" s="443">
        <v>22</v>
      </c>
      <c r="B25" s="17" t="s">
        <v>280</v>
      </c>
      <c r="C25" s="444">
        <v>330481.66666666698</v>
      </c>
      <c r="D25" s="445">
        <v>12</v>
      </c>
      <c r="E25" s="446">
        <f t="shared" si="14"/>
        <v>3965780</v>
      </c>
      <c r="F25" s="446"/>
      <c r="G25" s="446">
        <v>259662.4</v>
      </c>
      <c r="H25" s="446"/>
      <c r="I25" s="446">
        <f t="shared" si="0"/>
        <v>3706117.6</v>
      </c>
      <c r="J25" s="446">
        <v>200000</v>
      </c>
      <c r="K25" s="446">
        <v>0.2</v>
      </c>
      <c r="L25" s="446">
        <f t="shared" si="1"/>
        <v>741223.52</v>
      </c>
      <c r="M25" s="446">
        <f t="shared" si="2"/>
        <v>941223.52</v>
      </c>
      <c r="N25" s="446">
        <f t="shared" si="3"/>
        <v>1200885.92</v>
      </c>
      <c r="O25" s="446">
        <f t="shared" si="4"/>
        <v>2764894.08</v>
      </c>
      <c r="P25" s="446">
        <f t="shared" si="5"/>
        <v>21000</v>
      </c>
      <c r="Q25" s="446">
        <f t="shared" si="6"/>
        <v>33000</v>
      </c>
      <c r="R25" s="446">
        <f t="shared" si="7"/>
        <v>75000</v>
      </c>
      <c r="S25" s="446">
        <f t="shared" si="8"/>
        <v>95000</v>
      </c>
      <c r="T25" s="446">
        <f t="shared" si="9"/>
        <v>244627.7568</v>
      </c>
      <c r="U25" s="446"/>
      <c r="V25" s="446">
        <f t="shared" si="11"/>
        <v>468627.75679999997</v>
      </c>
      <c r="W25" s="453">
        <v>12</v>
      </c>
      <c r="X25" s="446">
        <f t="shared" si="12"/>
        <v>39052.313066666698</v>
      </c>
      <c r="Y25" s="446"/>
      <c r="Z25" s="457">
        <f t="shared" si="13"/>
        <v>39052.313066666698</v>
      </c>
      <c r="AA25" s="458">
        <v>23036.012346666699</v>
      </c>
      <c r="AB25" s="458">
        <f t="shared" si="15"/>
        <v>16016.300719999999</v>
      </c>
      <c r="AC25" s="458"/>
      <c r="AD25" s="458"/>
      <c r="AE25" s="458"/>
    </row>
    <row r="26" spans="1:31" ht="18">
      <c r="A26" s="443">
        <v>23</v>
      </c>
      <c r="B26" s="10" t="s">
        <v>281</v>
      </c>
      <c r="C26" s="444">
        <v>370481.66666666698</v>
      </c>
      <c r="D26" s="445">
        <v>12</v>
      </c>
      <c r="E26" s="446">
        <f t="shared" si="14"/>
        <v>4445780</v>
      </c>
      <c r="F26" s="446"/>
      <c r="G26" s="446">
        <v>259662.4</v>
      </c>
      <c r="H26" s="446"/>
      <c r="I26" s="446">
        <f t="shared" si="0"/>
        <v>4186117.6</v>
      </c>
      <c r="J26" s="446">
        <v>200000</v>
      </c>
      <c r="K26" s="446">
        <v>0.2</v>
      </c>
      <c r="L26" s="446">
        <f t="shared" si="1"/>
        <v>837223.52</v>
      </c>
      <c r="M26" s="446">
        <f t="shared" si="2"/>
        <v>1037223.52</v>
      </c>
      <c r="N26" s="446">
        <f t="shared" si="3"/>
        <v>1296885.92</v>
      </c>
      <c r="O26" s="446">
        <f t="shared" si="4"/>
        <v>3148894.08</v>
      </c>
      <c r="P26" s="446">
        <f t="shared" si="5"/>
        <v>21000</v>
      </c>
      <c r="Q26" s="446">
        <f t="shared" si="6"/>
        <v>33000</v>
      </c>
      <c r="R26" s="446">
        <f t="shared" si="7"/>
        <v>75000</v>
      </c>
      <c r="S26" s="446">
        <f t="shared" si="8"/>
        <v>95000</v>
      </c>
      <c r="T26" s="446">
        <f t="shared" si="9"/>
        <v>325267.75679999997</v>
      </c>
      <c r="U26" s="446"/>
      <c r="V26" s="446">
        <f t="shared" si="11"/>
        <v>549267.75679999997</v>
      </c>
      <c r="W26" s="453">
        <v>12</v>
      </c>
      <c r="X26" s="446">
        <f t="shared" si="12"/>
        <v>45772.313066666698</v>
      </c>
      <c r="Y26" s="446"/>
      <c r="Z26" s="457">
        <f t="shared" si="13"/>
        <v>45772.313066666698</v>
      </c>
      <c r="AA26" s="458">
        <v>29756.012346666699</v>
      </c>
      <c r="AB26" s="458">
        <f t="shared" si="15"/>
        <v>16016.300719999999</v>
      </c>
      <c r="AC26" s="458"/>
      <c r="AD26" s="458"/>
      <c r="AE26" s="458"/>
    </row>
    <row r="27" spans="1:31" ht="18">
      <c r="A27" s="443">
        <v>24</v>
      </c>
      <c r="B27" s="17" t="s">
        <v>282</v>
      </c>
      <c r="C27" s="444">
        <v>323165.33333333302</v>
      </c>
      <c r="D27" s="445">
        <v>12</v>
      </c>
      <c r="E27" s="446">
        <f t="shared" si="14"/>
        <v>3877984</v>
      </c>
      <c r="F27" s="446"/>
      <c r="G27" s="446">
        <v>252638.72</v>
      </c>
      <c r="H27" s="446"/>
      <c r="I27" s="446">
        <f t="shared" si="0"/>
        <v>3625345.28</v>
      </c>
      <c r="J27" s="446">
        <v>200000</v>
      </c>
      <c r="K27" s="446">
        <v>0.2</v>
      </c>
      <c r="L27" s="446">
        <f t="shared" ref="L27" si="16">I27*K27</f>
        <v>725069.05599999998</v>
      </c>
      <c r="M27" s="446">
        <f t="shared" ref="M27" si="17">J27+L27</f>
        <v>925069.05599999998</v>
      </c>
      <c r="N27" s="446">
        <f t="shared" si="3"/>
        <v>1177707.7760000001</v>
      </c>
      <c r="O27" s="446">
        <f t="shared" si="4"/>
        <v>2700276.2239999999</v>
      </c>
      <c r="P27" s="446">
        <f t="shared" ref="P27" si="18">IF(O27&lt;300000,0.07*O27,21000)</f>
        <v>21000</v>
      </c>
      <c r="Q27" s="446">
        <f t="shared" ref="Q27" si="19">IF((O27-300000)&lt;0,0,IF((O27-300000)&lt;300000,0.11*(O27-300000),33000))</f>
        <v>33000</v>
      </c>
      <c r="R27" s="446">
        <f t="shared" ref="R27" si="20">IF((O27-600000)&lt;0,0,IF((O27-600000)&lt;500000,0.15*(O27-600000),75000))</f>
        <v>75000</v>
      </c>
      <c r="S27" s="446">
        <f t="shared" ref="S27" si="21">IF((O27-1100000)&lt;0,0,IF((O27-1100000)&lt;500000,0.19*(O27-1100000),95000))</f>
        <v>95000</v>
      </c>
      <c r="T27" s="446">
        <f t="shared" ref="T27" si="22">IF((O27-1600000)&lt;0,0,IF((O27-1600000)&lt;1600000,0.21*(O27-1600000),336000))</f>
        <v>231058.00704</v>
      </c>
      <c r="U27" s="446"/>
      <c r="V27" s="446">
        <f t="shared" ref="V27" si="23">P27+Q27+R27+S27+T27+U27</f>
        <v>455058.00704</v>
      </c>
      <c r="W27" s="453">
        <v>12</v>
      </c>
      <c r="X27" s="446">
        <f t="shared" ref="X27" si="24">V27/W27</f>
        <v>37921.500586666698</v>
      </c>
      <c r="Y27" s="446"/>
      <c r="Z27" s="457">
        <f t="shared" ref="Z27" si="25">X27</f>
        <v>37921.500586666698</v>
      </c>
      <c r="AA27" s="458">
        <v>22338.4826046667</v>
      </c>
      <c r="AB27" s="458">
        <f t="shared" si="15"/>
        <v>15583.017981999999</v>
      </c>
      <c r="AC27" s="458"/>
      <c r="AD27" s="458"/>
      <c r="AE27" s="458"/>
    </row>
    <row r="28" spans="1:31" ht="18">
      <c r="A28" s="443">
        <v>25</v>
      </c>
      <c r="B28" s="17" t="s">
        <v>284</v>
      </c>
      <c r="C28" s="444">
        <v>315849</v>
      </c>
      <c r="D28" s="445">
        <v>12</v>
      </c>
      <c r="E28" s="446">
        <f t="shared" si="14"/>
        <v>3790188</v>
      </c>
      <c r="F28" s="446"/>
      <c r="G28" s="446">
        <v>245615.04</v>
      </c>
      <c r="H28" s="446"/>
      <c r="I28" s="446">
        <f t="shared" si="0"/>
        <v>3544572.96</v>
      </c>
      <c r="J28" s="446">
        <v>200000</v>
      </c>
      <c r="K28" s="446">
        <v>0.2</v>
      </c>
      <c r="L28" s="446">
        <f t="shared" si="1"/>
        <v>708914.59199999995</v>
      </c>
      <c r="M28" s="446">
        <f t="shared" si="2"/>
        <v>908914.59199999995</v>
      </c>
      <c r="N28" s="446">
        <f t="shared" si="3"/>
        <v>1154529.632</v>
      </c>
      <c r="O28" s="446">
        <f t="shared" si="4"/>
        <v>2635658.3679999998</v>
      </c>
      <c r="P28" s="446">
        <f t="shared" si="5"/>
        <v>21000</v>
      </c>
      <c r="Q28" s="446">
        <f t="shared" si="6"/>
        <v>33000</v>
      </c>
      <c r="R28" s="446">
        <f t="shared" si="7"/>
        <v>75000</v>
      </c>
      <c r="S28" s="446">
        <f t="shared" si="8"/>
        <v>95000</v>
      </c>
      <c r="T28" s="446">
        <f t="shared" si="9"/>
        <v>217488.25727999999</v>
      </c>
      <c r="U28" s="446"/>
      <c r="V28" s="446">
        <f t="shared" si="11"/>
        <v>441488.25728000002</v>
      </c>
      <c r="W28" s="453">
        <v>12</v>
      </c>
      <c r="X28" s="446">
        <f t="shared" si="12"/>
        <v>36790.688106666697</v>
      </c>
      <c r="Y28" s="446"/>
      <c r="Z28" s="457">
        <f t="shared" si="13"/>
        <v>36790.688106666697</v>
      </c>
      <c r="AA28" s="458">
        <v>21640.952862666702</v>
      </c>
      <c r="AB28" s="458">
        <f t="shared" si="15"/>
        <v>15149.735244</v>
      </c>
      <c r="AC28" s="458"/>
      <c r="AD28" s="458"/>
      <c r="AE28" s="458"/>
    </row>
    <row r="29" spans="1:31" ht="36">
      <c r="A29" s="443">
        <v>26</v>
      </c>
      <c r="B29" s="17" t="s">
        <v>286</v>
      </c>
      <c r="C29" s="444">
        <v>315849</v>
      </c>
      <c r="D29" s="445">
        <v>12</v>
      </c>
      <c r="E29" s="446">
        <f t="shared" si="14"/>
        <v>3790188</v>
      </c>
      <c r="F29" s="446"/>
      <c r="G29" s="446">
        <v>245615.04</v>
      </c>
      <c r="H29" s="446"/>
      <c r="I29" s="446">
        <f t="shared" si="0"/>
        <v>3544572.96</v>
      </c>
      <c r="J29" s="446">
        <v>200000</v>
      </c>
      <c r="K29" s="446">
        <v>0.2</v>
      </c>
      <c r="L29" s="446">
        <f t="shared" si="1"/>
        <v>708914.59199999995</v>
      </c>
      <c r="M29" s="446">
        <f t="shared" si="2"/>
        <v>908914.59199999995</v>
      </c>
      <c r="N29" s="446">
        <f t="shared" si="3"/>
        <v>1154529.632</v>
      </c>
      <c r="O29" s="446">
        <f t="shared" si="4"/>
        <v>2635658.3679999998</v>
      </c>
      <c r="P29" s="446">
        <f t="shared" si="5"/>
        <v>21000</v>
      </c>
      <c r="Q29" s="446">
        <f t="shared" si="6"/>
        <v>33000</v>
      </c>
      <c r="R29" s="446">
        <f t="shared" si="7"/>
        <v>75000</v>
      </c>
      <c r="S29" s="446">
        <f t="shared" si="8"/>
        <v>95000</v>
      </c>
      <c r="T29" s="446">
        <f t="shared" si="9"/>
        <v>217488.25727999999</v>
      </c>
      <c r="U29" s="446"/>
      <c r="V29" s="446">
        <f t="shared" si="11"/>
        <v>441488.25728000002</v>
      </c>
      <c r="W29" s="453">
        <v>12</v>
      </c>
      <c r="X29" s="446">
        <f t="shared" si="12"/>
        <v>36790.688106666697</v>
      </c>
      <c r="Y29" s="446"/>
      <c r="Z29" s="457">
        <f t="shared" si="13"/>
        <v>36790.688106666697</v>
      </c>
      <c r="AA29" s="458">
        <v>21640.952862666702</v>
      </c>
      <c r="AB29" s="458">
        <f t="shared" si="15"/>
        <v>15149.735244</v>
      </c>
      <c r="AC29" s="458"/>
      <c r="AD29" s="458"/>
      <c r="AE29" s="458"/>
    </row>
    <row r="30" spans="1:31" ht="18">
      <c r="A30" s="443">
        <v>27</v>
      </c>
      <c r="B30" s="17" t="s">
        <v>287</v>
      </c>
      <c r="C30" s="444">
        <v>330481.66666666698</v>
      </c>
      <c r="D30" s="445">
        <v>12</v>
      </c>
      <c r="E30" s="446">
        <f t="shared" si="14"/>
        <v>3965780</v>
      </c>
      <c r="F30" s="446"/>
      <c r="G30" s="446">
        <v>259662.4</v>
      </c>
      <c r="H30" s="446"/>
      <c r="I30" s="446">
        <f t="shared" si="0"/>
        <v>3706117.6</v>
      </c>
      <c r="J30" s="446">
        <v>200000</v>
      </c>
      <c r="K30" s="446">
        <v>0.2</v>
      </c>
      <c r="L30" s="446">
        <f t="shared" si="1"/>
        <v>741223.52</v>
      </c>
      <c r="M30" s="446">
        <f t="shared" si="2"/>
        <v>941223.52</v>
      </c>
      <c r="N30" s="446">
        <f t="shared" si="3"/>
        <v>1200885.92</v>
      </c>
      <c r="O30" s="446">
        <f t="shared" si="4"/>
        <v>2764894.08</v>
      </c>
      <c r="P30" s="446">
        <f t="shared" si="5"/>
        <v>21000</v>
      </c>
      <c r="Q30" s="446">
        <f t="shared" si="6"/>
        <v>33000</v>
      </c>
      <c r="R30" s="446">
        <f t="shared" si="7"/>
        <v>75000</v>
      </c>
      <c r="S30" s="446">
        <f t="shared" si="8"/>
        <v>95000</v>
      </c>
      <c r="T30" s="446">
        <f t="shared" si="9"/>
        <v>244627.7568</v>
      </c>
      <c r="U30" s="446"/>
      <c r="V30" s="446">
        <f t="shared" si="11"/>
        <v>468627.75679999997</v>
      </c>
      <c r="W30" s="453">
        <v>12</v>
      </c>
      <c r="X30" s="446">
        <f t="shared" si="12"/>
        <v>39052.313066666698</v>
      </c>
      <c r="Y30" s="446"/>
      <c r="Z30" s="457">
        <f t="shared" si="13"/>
        <v>39052.313066666698</v>
      </c>
      <c r="AA30" s="458">
        <v>22338.4826046667</v>
      </c>
      <c r="AB30" s="458">
        <f t="shared" si="15"/>
        <v>16713.830462000002</v>
      </c>
      <c r="AC30" s="458"/>
      <c r="AD30" s="458"/>
      <c r="AE30" s="458"/>
    </row>
    <row r="31" spans="1:31" ht="18">
      <c r="A31" s="443">
        <v>28</v>
      </c>
      <c r="B31" s="17" t="s">
        <v>289</v>
      </c>
      <c r="C31" s="444">
        <v>280631.91666666698</v>
      </c>
      <c r="D31" s="445">
        <v>12</v>
      </c>
      <c r="E31" s="446">
        <f t="shared" si="14"/>
        <v>3367583</v>
      </c>
      <c r="F31" s="446"/>
      <c r="G31" s="447">
        <v>221406.64</v>
      </c>
      <c r="H31" s="446"/>
      <c r="I31" s="446">
        <f t="shared" si="0"/>
        <v>3146176.36</v>
      </c>
      <c r="J31" s="446">
        <v>200000</v>
      </c>
      <c r="K31" s="446">
        <v>0.2</v>
      </c>
      <c r="L31" s="446">
        <f t="shared" si="1"/>
        <v>629235.272</v>
      </c>
      <c r="M31" s="446">
        <f t="shared" si="2"/>
        <v>829235.272</v>
      </c>
      <c r="N31" s="446">
        <f t="shared" si="3"/>
        <v>1050641.912</v>
      </c>
      <c r="O31" s="446">
        <f t="shared" si="4"/>
        <v>2316941.088</v>
      </c>
      <c r="P31" s="446">
        <f t="shared" si="5"/>
        <v>21000</v>
      </c>
      <c r="Q31" s="446">
        <f t="shared" si="6"/>
        <v>33000</v>
      </c>
      <c r="R31" s="446">
        <f t="shared" si="7"/>
        <v>75000</v>
      </c>
      <c r="S31" s="446">
        <f t="shared" si="8"/>
        <v>95000</v>
      </c>
      <c r="T31" s="446">
        <f t="shared" si="9"/>
        <v>150557.62848000001</v>
      </c>
      <c r="U31" s="446"/>
      <c r="V31" s="446">
        <f t="shared" si="11"/>
        <v>374557.62848000001</v>
      </c>
      <c r="W31" s="453">
        <v>12</v>
      </c>
      <c r="X31" s="446">
        <f t="shared" si="12"/>
        <v>31213.135706666701</v>
      </c>
      <c r="Y31" s="446"/>
      <c r="Z31" s="457">
        <f t="shared" si="13"/>
        <v>31213.135706666701</v>
      </c>
      <c r="AA31" s="458">
        <v>17572.885002666699</v>
      </c>
      <c r="AB31" s="458">
        <f t="shared" si="15"/>
        <v>13640.250704</v>
      </c>
      <c r="AC31" s="458"/>
      <c r="AD31" s="458"/>
      <c r="AE31" s="458"/>
    </row>
    <row r="32" spans="1:31" ht="18">
      <c r="A32" s="443">
        <v>29</v>
      </c>
      <c r="B32" s="17" t="s">
        <v>292</v>
      </c>
      <c r="C32" s="444">
        <v>274459.75</v>
      </c>
      <c r="D32" s="445">
        <v>12</v>
      </c>
      <c r="E32" s="446">
        <f t="shared" si="14"/>
        <v>3293517</v>
      </c>
      <c r="F32" s="446"/>
      <c r="G32" s="447">
        <f>17956.78*12</f>
        <v>215481.36</v>
      </c>
      <c r="H32" s="446"/>
      <c r="I32" s="446">
        <f t="shared" si="0"/>
        <v>3078035.64</v>
      </c>
      <c r="J32" s="446">
        <v>200000</v>
      </c>
      <c r="K32" s="446">
        <v>0.2</v>
      </c>
      <c r="L32" s="446">
        <f t="shared" si="1"/>
        <v>615607.12800000003</v>
      </c>
      <c r="M32" s="446">
        <f t="shared" si="2"/>
        <v>815607.12800000003</v>
      </c>
      <c r="N32" s="446">
        <f t="shared" si="3"/>
        <v>1031088.488</v>
      </c>
      <c r="O32" s="446">
        <f t="shared" si="4"/>
        <v>2262428.5120000001</v>
      </c>
      <c r="P32" s="446">
        <f t="shared" si="5"/>
        <v>21000</v>
      </c>
      <c r="Q32" s="446">
        <f t="shared" si="6"/>
        <v>33000</v>
      </c>
      <c r="R32" s="446">
        <f t="shared" si="7"/>
        <v>75000</v>
      </c>
      <c r="S32" s="446">
        <f t="shared" si="8"/>
        <v>95000</v>
      </c>
      <c r="T32" s="446">
        <f t="shared" si="9"/>
        <v>139109.98752</v>
      </c>
      <c r="U32" s="446"/>
      <c r="V32" s="446">
        <f t="shared" si="11"/>
        <v>363109.98752000002</v>
      </c>
      <c r="W32" s="453">
        <v>12</v>
      </c>
      <c r="X32" s="446">
        <f t="shared" si="12"/>
        <v>30259.165626666701</v>
      </c>
      <c r="Y32" s="446"/>
      <c r="Z32" s="457">
        <f t="shared" si="13"/>
        <v>30259.165626666701</v>
      </c>
      <c r="AA32" s="458">
        <v>16512.682190666699</v>
      </c>
      <c r="AB32" s="458">
        <f t="shared" si="15"/>
        <v>13746.483436</v>
      </c>
      <c r="AC32" s="458"/>
      <c r="AD32" s="458"/>
      <c r="AE32" s="458"/>
    </row>
    <row r="33" spans="1:31" ht="17.5">
      <c r="A33" s="443">
        <v>31</v>
      </c>
      <c r="B33" s="21"/>
      <c r="C33" s="448"/>
      <c r="D33" s="445"/>
      <c r="E33" s="446"/>
      <c r="F33" s="449"/>
      <c r="G33" s="449"/>
      <c r="H33" s="449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53"/>
      <c r="X33" s="446"/>
      <c r="Y33" s="449"/>
      <c r="Z33" s="457"/>
      <c r="AA33" s="458"/>
      <c r="AB33" s="458"/>
      <c r="AC33" s="458"/>
      <c r="AD33" s="458"/>
      <c r="AE33" s="458"/>
    </row>
    <row r="34" spans="1:31" ht="17.5">
      <c r="A34" s="443">
        <v>32</v>
      </c>
      <c r="B34" s="19" t="s">
        <v>35</v>
      </c>
      <c r="C34" s="446"/>
      <c r="D34" s="445"/>
      <c r="E34" s="446"/>
      <c r="F34" s="449"/>
      <c r="G34" s="449"/>
      <c r="H34" s="449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53"/>
      <c r="X34" s="446"/>
      <c r="Y34" s="449"/>
      <c r="Z34" s="457"/>
      <c r="AA34" s="458"/>
      <c r="AB34" s="458"/>
      <c r="AC34" s="458"/>
      <c r="AD34" s="458"/>
      <c r="AE34" s="458"/>
    </row>
    <row r="35" spans="1:31" ht="18">
      <c r="A35" s="443"/>
      <c r="B35" s="17" t="s">
        <v>295</v>
      </c>
      <c r="C35" s="450">
        <v>1535720</v>
      </c>
      <c r="D35" s="446">
        <v>12</v>
      </c>
      <c r="E35" s="446">
        <f>C35*D35</f>
        <v>18428640</v>
      </c>
      <c r="F35" s="446"/>
      <c r="G35" s="447">
        <v>1378291.2</v>
      </c>
      <c r="H35" s="446"/>
      <c r="I35" s="446">
        <f>E35-F35-G35-H35</f>
        <v>17050348.800000001</v>
      </c>
      <c r="J35" s="446">
        <v>200000</v>
      </c>
      <c r="K35" s="446">
        <v>0.2</v>
      </c>
      <c r="L35" s="446">
        <f>I35*K35</f>
        <v>3410069.76</v>
      </c>
      <c r="M35" s="446">
        <f>J35+L35</f>
        <v>3610069.76</v>
      </c>
      <c r="N35" s="446">
        <f>F35+G35+H35+M35</f>
        <v>4988360.96</v>
      </c>
      <c r="O35" s="446">
        <f>E35-N35</f>
        <v>13440279.039999999</v>
      </c>
      <c r="P35" s="446">
        <f t="shared" si="5"/>
        <v>21000</v>
      </c>
      <c r="Q35" s="446">
        <f t="shared" ref="Q35:Q37" si="26">IF((O35-300000)&lt;0,0,IF((O35-300000)&lt;300000,0.11*(O35-300000),33000))</f>
        <v>33000</v>
      </c>
      <c r="R35" s="446">
        <f t="shared" ref="R35:R37" si="27">IF((O35-600000)&lt;0,0,IF((O35-600000)&lt;500000,0.15*(O35-600000),75000))</f>
        <v>75000</v>
      </c>
      <c r="S35" s="446">
        <f t="shared" ref="S35:S37" si="28">IF((O35-1100000)&lt;0,0,IF((O35-1100000)&lt;500000,0.19*(O35-1100000),95000))</f>
        <v>95000</v>
      </c>
      <c r="T35" s="446">
        <f t="shared" ref="T35:T37" si="29">IF((O35-1600000)&lt;0,0,IF((O35-1600000)&lt;1600000,0.21*(O35-1600000),336000))</f>
        <v>336000</v>
      </c>
      <c r="U35" s="446">
        <f t="shared" si="10"/>
        <v>2457666.9696</v>
      </c>
      <c r="V35" s="446">
        <f>P35+Q35+R35+S35+T35+U35</f>
        <v>3017666.9696</v>
      </c>
      <c r="W35" s="446">
        <v>12</v>
      </c>
      <c r="X35" s="446">
        <f>V35/W35</f>
        <v>251472.247466667</v>
      </c>
      <c r="Y35" s="446"/>
      <c r="Z35" s="457">
        <f>X35</f>
        <v>251472.247466667</v>
      </c>
      <c r="AA35" s="446">
        <v>161106.806858667</v>
      </c>
      <c r="AB35" s="446">
        <f>Z35-AA35</f>
        <v>90365.440607999903</v>
      </c>
      <c r="AC35" s="458"/>
      <c r="AD35" s="458"/>
      <c r="AE35" s="458"/>
    </row>
    <row r="36" spans="1:31" ht="18">
      <c r="A36" s="443"/>
      <c r="B36" s="17" t="s">
        <v>298</v>
      </c>
      <c r="C36" s="446">
        <v>353029.66666666698</v>
      </c>
      <c r="D36" s="445">
        <v>12</v>
      </c>
      <c r="E36" s="446">
        <f>C36*D36</f>
        <v>4236356</v>
      </c>
      <c r="F36" s="446"/>
      <c r="G36" s="447">
        <v>281308.48</v>
      </c>
      <c r="H36" s="446"/>
      <c r="I36" s="446">
        <f>E36-F36-G36-H36</f>
        <v>3955047.52</v>
      </c>
      <c r="J36" s="446">
        <v>200000</v>
      </c>
      <c r="K36" s="446">
        <v>0.2</v>
      </c>
      <c r="L36" s="446">
        <f>I36*K36</f>
        <v>791009.50399999996</v>
      </c>
      <c r="M36" s="446">
        <f>J36+L36</f>
        <v>991009.50399999996</v>
      </c>
      <c r="N36" s="446">
        <f>F36+G36+H36+M36</f>
        <v>1272317.9839999999</v>
      </c>
      <c r="O36" s="446">
        <f>E36-N36</f>
        <v>2964038.0159999998</v>
      </c>
      <c r="P36" s="446">
        <f t="shared" si="5"/>
        <v>21000</v>
      </c>
      <c r="Q36" s="446">
        <f t="shared" si="26"/>
        <v>33000</v>
      </c>
      <c r="R36" s="446">
        <f t="shared" si="27"/>
        <v>75000</v>
      </c>
      <c r="S36" s="446">
        <f t="shared" si="28"/>
        <v>95000</v>
      </c>
      <c r="T36" s="446">
        <f t="shared" si="29"/>
        <v>286447.98336000001</v>
      </c>
      <c r="U36" s="446"/>
      <c r="V36" s="446">
        <f>P36+Q36+R36+S36+T36+U36</f>
        <v>510447.98336000001</v>
      </c>
      <c r="W36" s="446">
        <v>12</v>
      </c>
      <c r="X36" s="446">
        <f>V36/W36</f>
        <v>42537.331946666702</v>
      </c>
      <c r="Y36" s="446"/>
      <c r="Z36" s="457">
        <f>X36</f>
        <v>42537.331946666702</v>
      </c>
      <c r="AA36" s="458">
        <v>17042.713866666702</v>
      </c>
      <c r="AB36" s="446">
        <f t="shared" ref="AB36:AB37" si="30">Z36-AA36</f>
        <v>25494.61808</v>
      </c>
      <c r="AC36" s="458"/>
      <c r="AD36" s="458"/>
      <c r="AE36" s="458"/>
    </row>
    <row r="37" spans="1:31" ht="18">
      <c r="A37" s="443">
        <v>33</v>
      </c>
      <c r="B37" s="10" t="s">
        <v>300</v>
      </c>
      <c r="C37" s="444">
        <v>360965.58333333302</v>
      </c>
      <c r="D37" s="445">
        <v>12</v>
      </c>
      <c r="E37" s="446">
        <f>C37*D37</f>
        <v>4331587</v>
      </c>
      <c r="F37" s="446"/>
      <c r="G37" s="447">
        <v>288926.96000000002</v>
      </c>
      <c r="H37" s="446"/>
      <c r="I37" s="446">
        <f>E37-F37-G37-H37</f>
        <v>4042660.04</v>
      </c>
      <c r="J37" s="446">
        <v>200000</v>
      </c>
      <c r="K37" s="446">
        <v>0.2</v>
      </c>
      <c r="L37" s="446">
        <f>I37*K37</f>
        <v>808532.00800000003</v>
      </c>
      <c r="M37" s="446">
        <f>J37+L37</f>
        <v>1008532.008</v>
      </c>
      <c r="N37" s="446">
        <f>F37+G37+H37+M37</f>
        <v>1297458.9680000001</v>
      </c>
      <c r="O37" s="446">
        <f>E37-N37</f>
        <v>3034128.0320000001</v>
      </c>
      <c r="P37" s="446">
        <f t="shared" si="5"/>
        <v>21000</v>
      </c>
      <c r="Q37" s="446">
        <f t="shared" si="26"/>
        <v>33000</v>
      </c>
      <c r="R37" s="446">
        <f t="shared" si="27"/>
        <v>75000</v>
      </c>
      <c r="S37" s="446">
        <f t="shared" si="28"/>
        <v>95000</v>
      </c>
      <c r="T37" s="446">
        <f t="shared" si="29"/>
        <v>301166.88672000001</v>
      </c>
      <c r="U37" s="446"/>
      <c r="V37" s="446">
        <f>P37+Q37+R37+S37+T37+U37</f>
        <v>525166.88671999995</v>
      </c>
      <c r="W37" s="446">
        <v>12</v>
      </c>
      <c r="X37" s="446">
        <f>V37/W37</f>
        <v>43763.907226666699</v>
      </c>
      <c r="Y37" s="446"/>
      <c r="Z37" s="457">
        <f>X37</f>
        <v>43763.907226666699</v>
      </c>
      <c r="AA37" s="458">
        <v>26339.0784066667</v>
      </c>
      <c r="AB37" s="446">
        <f t="shared" si="30"/>
        <v>17424.828819999999</v>
      </c>
      <c r="AC37" s="458"/>
      <c r="AD37" s="458"/>
      <c r="AE37" s="458"/>
    </row>
    <row r="38" spans="1:31" ht="18">
      <c r="A38" s="443"/>
      <c r="B38" s="13"/>
      <c r="C38" s="448"/>
      <c r="D38" s="445"/>
      <c r="E38" s="446"/>
      <c r="F38" s="449"/>
      <c r="G38" s="449">
        <v>0</v>
      </c>
      <c r="H38" s="449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53"/>
      <c r="X38" s="446"/>
      <c r="Y38" s="449"/>
      <c r="Z38" s="457"/>
      <c r="AA38" s="458"/>
      <c r="AB38" s="458"/>
      <c r="AC38" s="458"/>
      <c r="AD38" s="458"/>
      <c r="AE38" s="458"/>
    </row>
    <row r="39" spans="1:31" ht="17.5">
      <c r="A39" s="443"/>
      <c r="B39" s="22" t="s">
        <v>39</v>
      </c>
      <c r="C39" s="446"/>
      <c r="D39" s="445"/>
      <c r="E39" s="446"/>
      <c r="F39" s="449"/>
      <c r="G39" s="449">
        <v>0</v>
      </c>
      <c r="H39" s="449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53"/>
      <c r="X39" s="446"/>
      <c r="Y39" s="449"/>
      <c r="Z39" s="457"/>
      <c r="AA39" s="458"/>
      <c r="AB39" s="458"/>
      <c r="AC39" s="458"/>
      <c r="AD39" s="458"/>
      <c r="AE39" s="458"/>
    </row>
    <row r="40" spans="1:31" ht="36">
      <c r="A40" s="443">
        <v>35</v>
      </c>
      <c r="B40" s="10" t="s">
        <v>302</v>
      </c>
      <c r="C40" s="444">
        <v>1635720</v>
      </c>
      <c r="D40" s="445">
        <v>12</v>
      </c>
      <c r="E40" s="446">
        <f>C40*D40</f>
        <v>19628640</v>
      </c>
      <c r="F40" s="446"/>
      <c r="G40" s="447">
        <v>1378291.2</v>
      </c>
      <c r="H40" s="446"/>
      <c r="I40" s="446">
        <f t="shared" ref="I40:I50" si="31">E40-F40-G40-H40</f>
        <v>18250348.800000001</v>
      </c>
      <c r="J40" s="446">
        <v>200000</v>
      </c>
      <c r="K40" s="446">
        <v>0.2</v>
      </c>
      <c r="L40" s="446">
        <f>I40*K40</f>
        <v>3650069.76</v>
      </c>
      <c r="M40" s="446">
        <f>J40+L40</f>
        <v>3850069.76</v>
      </c>
      <c r="N40" s="446">
        <f t="shared" ref="N40:N50" si="32">F40+G40+H40+M40</f>
        <v>5228360.96</v>
      </c>
      <c r="O40" s="446">
        <f t="shared" ref="O40:O50" si="33">E40-N40</f>
        <v>14400279.039999999</v>
      </c>
      <c r="P40" s="446">
        <f>IF(O40&lt;300000,0.07*O40,21000)</f>
        <v>21000</v>
      </c>
      <c r="Q40" s="446">
        <f>IF((O40-300000)&lt;0,0,IF((O40-300000)&lt;300000,0.11*(O40-300000),33000))</f>
        <v>33000</v>
      </c>
      <c r="R40" s="446">
        <f>IF((O40-600000)&lt;0,0,IF((O40-600000)&lt;500000,0.15*(O40-600000),75000))</f>
        <v>75000</v>
      </c>
      <c r="S40" s="446">
        <f>IF((O40-1100000)&lt;0,0,IF((O40-1100000)&lt;500000,0.19*(O40-1100000),95000))</f>
        <v>95000</v>
      </c>
      <c r="T40" s="446">
        <f>IF((O40-1600000)&lt;0,0,IF((O40-1600000)&lt;1600000,0.21*(O40-1600000),336000))</f>
        <v>336000</v>
      </c>
      <c r="U40" s="446">
        <f>0.24*(O40-3200000)</f>
        <v>2688066.9696</v>
      </c>
      <c r="V40" s="446">
        <f>P40+Q40+R40+S40+T40+U40</f>
        <v>3248066.9696</v>
      </c>
      <c r="W40" s="453">
        <v>12</v>
      </c>
      <c r="X40" s="446">
        <f>V40/W40</f>
        <v>270672.24746666697</v>
      </c>
      <c r="Y40" s="446"/>
      <c r="Z40" s="457">
        <f>X40</f>
        <v>270672.24746666697</v>
      </c>
      <c r="AA40" s="458">
        <v>180306.806858667</v>
      </c>
      <c r="AB40" s="458">
        <f>Z40-AA40</f>
        <v>90365.440607999903</v>
      </c>
      <c r="AC40" s="458"/>
      <c r="AD40" s="458"/>
      <c r="AE40" s="458"/>
    </row>
    <row r="41" spans="1:31" ht="18">
      <c r="A41" s="443">
        <v>36</v>
      </c>
      <c r="B41" s="10" t="s">
        <v>304</v>
      </c>
      <c r="C41" s="446">
        <v>780675.58333333302</v>
      </c>
      <c r="D41" s="445">
        <v>12</v>
      </c>
      <c r="E41" s="446">
        <f t="shared" ref="E41:E50" si="34">C41*D41</f>
        <v>9368107</v>
      </c>
      <c r="F41" s="449"/>
      <c r="G41" s="447">
        <v>595848.56000000006</v>
      </c>
      <c r="H41" s="449"/>
      <c r="I41" s="446">
        <f t="shared" si="31"/>
        <v>8772258.4399999995</v>
      </c>
      <c r="J41" s="446">
        <v>200000</v>
      </c>
      <c r="K41" s="446">
        <v>0.2</v>
      </c>
      <c r="L41" s="446">
        <f t="shared" si="1"/>
        <v>1754451.6880000001</v>
      </c>
      <c r="M41" s="446">
        <f t="shared" si="2"/>
        <v>1954451.6880000001</v>
      </c>
      <c r="N41" s="446">
        <f t="shared" si="32"/>
        <v>2550300.2480000001</v>
      </c>
      <c r="O41" s="446">
        <f t="shared" si="33"/>
        <v>6817806.7520000003</v>
      </c>
      <c r="P41" s="446">
        <f t="shared" si="5"/>
        <v>21000</v>
      </c>
      <c r="Q41" s="446">
        <f t="shared" si="6"/>
        <v>33000</v>
      </c>
      <c r="R41" s="446">
        <f t="shared" si="7"/>
        <v>75000</v>
      </c>
      <c r="S41" s="446">
        <f t="shared" si="8"/>
        <v>95000</v>
      </c>
      <c r="T41" s="446">
        <f t="shared" si="9"/>
        <v>336000</v>
      </c>
      <c r="U41" s="446">
        <f t="shared" si="10"/>
        <v>868273.62048000004</v>
      </c>
      <c r="V41" s="446">
        <f t="shared" si="11"/>
        <v>1428273.62048</v>
      </c>
      <c r="W41" s="453">
        <v>12</v>
      </c>
      <c r="X41" s="446">
        <f t="shared" si="12"/>
        <v>119022.801706667</v>
      </c>
      <c r="Y41" s="449"/>
      <c r="Z41" s="457">
        <f t="shared" si="13"/>
        <v>119022.801706667</v>
      </c>
      <c r="AA41" s="458">
        <v>79956.9391466667</v>
      </c>
      <c r="AB41" s="458">
        <f t="shared" ref="AB41:AB50" si="35">Z41-AA41</f>
        <v>39065.862560000001</v>
      </c>
      <c r="AC41" s="458"/>
      <c r="AD41" s="458"/>
      <c r="AE41" s="458"/>
    </row>
    <row r="42" spans="1:31" ht="18">
      <c r="A42" s="443">
        <v>37</v>
      </c>
      <c r="B42" s="10" t="s">
        <v>306</v>
      </c>
      <c r="C42" s="446">
        <v>919203.58333333302</v>
      </c>
      <c r="D42" s="445">
        <v>12</v>
      </c>
      <c r="E42" s="446">
        <f t="shared" si="34"/>
        <v>11030443</v>
      </c>
      <c r="F42" s="449"/>
      <c r="G42" s="447">
        <v>709635.44</v>
      </c>
      <c r="H42" s="449"/>
      <c r="I42" s="446">
        <f t="shared" si="31"/>
        <v>10320807.560000001</v>
      </c>
      <c r="J42" s="446">
        <v>200000</v>
      </c>
      <c r="K42" s="446">
        <v>0.2</v>
      </c>
      <c r="L42" s="446">
        <f t="shared" si="1"/>
        <v>2064161.5120000001</v>
      </c>
      <c r="M42" s="446">
        <f t="shared" si="2"/>
        <v>2264161.5120000001</v>
      </c>
      <c r="N42" s="446">
        <f t="shared" si="32"/>
        <v>2973796.952</v>
      </c>
      <c r="O42" s="446">
        <f t="shared" si="33"/>
        <v>8056646.0480000004</v>
      </c>
      <c r="P42" s="446">
        <f t="shared" si="5"/>
        <v>21000</v>
      </c>
      <c r="Q42" s="446">
        <f t="shared" si="6"/>
        <v>33000</v>
      </c>
      <c r="R42" s="446">
        <f t="shared" si="7"/>
        <v>75000</v>
      </c>
      <c r="S42" s="446">
        <f t="shared" si="8"/>
        <v>95000</v>
      </c>
      <c r="T42" s="446">
        <f t="shared" si="9"/>
        <v>336000</v>
      </c>
      <c r="U42" s="446">
        <f t="shared" si="10"/>
        <v>1165595.05152</v>
      </c>
      <c r="V42" s="446">
        <f t="shared" si="11"/>
        <v>1725595.05152</v>
      </c>
      <c r="W42" s="453">
        <v>12</v>
      </c>
      <c r="X42" s="446">
        <f t="shared" si="12"/>
        <v>143799.58762666699</v>
      </c>
      <c r="Y42" s="449"/>
      <c r="Z42" s="457">
        <f t="shared" si="13"/>
        <v>143799.58762666699</v>
      </c>
      <c r="AA42" s="458">
        <v>97273.513850666699</v>
      </c>
      <c r="AB42" s="458">
        <f t="shared" si="35"/>
        <v>46526.073775999997</v>
      </c>
      <c r="AC42" s="458"/>
      <c r="AD42" s="458"/>
      <c r="AE42" s="458"/>
    </row>
    <row r="43" spans="1:31" ht="18">
      <c r="A43" s="443">
        <v>38</v>
      </c>
      <c r="B43" s="10" t="s">
        <v>309</v>
      </c>
      <c r="C43" s="446">
        <v>780675.58333333302</v>
      </c>
      <c r="D43" s="445">
        <v>12</v>
      </c>
      <c r="E43" s="446">
        <f t="shared" si="34"/>
        <v>9368107</v>
      </c>
      <c r="F43" s="449"/>
      <c r="G43" s="447">
        <v>595848.56000000006</v>
      </c>
      <c r="H43" s="449"/>
      <c r="I43" s="446">
        <f t="shared" si="31"/>
        <v>8772258.4399999995</v>
      </c>
      <c r="J43" s="446">
        <v>200000</v>
      </c>
      <c r="K43" s="446">
        <v>0.2</v>
      </c>
      <c r="L43" s="446">
        <f t="shared" si="1"/>
        <v>1754451.6880000001</v>
      </c>
      <c r="M43" s="446">
        <f t="shared" si="2"/>
        <v>1954451.6880000001</v>
      </c>
      <c r="N43" s="446">
        <f t="shared" si="32"/>
        <v>2550300.2480000001</v>
      </c>
      <c r="O43" s="446">
        <f t="shared" si="33"/>
        <v>6817806.7520000003</v>
      </c>
      <c r="P43" s="446">
        <f t="shared" si="5"/>
        <v>21000</v>
      </c>
      <c r="Q43" s="446">
        <f t="shared" si="6"/>
        <v>33000</v>
      </c>
      <c r="R43" s="446">
        <f t="shared" si="7"/>
        <v>75000</v>
      </c>
      <c r="S43" s="446">
        <f t="shared" si="8"/>
        <v>95000</v>
      </c>
      <c r="T43" s="446">
        <f t="shared" si="9"/>
        <v>336000</v>
      </c>
      <c r="U43" s="446">
        <f t="shared" si="10"/>
        <v>868273.62048000004</v>
      </c>
      <c r="V43" s="446">
        <f t="shared" si="11"/>
        <v>1428273.62048</v>
      </c>
      <c r="W43" s="453">
        <v>12</v>
      </c>
      <c r="X43" s="446">
        <f t="shared" si="12"/>
        <v>119022.801706667</v>
      </c>
      <c r="Y43" s="449"/>
      <c r="Z43" s="457">
        <f t="shared" si="13"/>
        <v>119022.801706667</v>
      </c>
      <c r="AA43" s="458">
        <v>79956.9391466667</v>
      </c>
      <c r="AB43" s="458">
        <f t="shared" si="35"/>
        <v>39065.862560000001</v>
      </c>
      <c r="AC43" s="458"/>
      <c r="AD43" s="458"/>
      <c r="AE43" s="458"/>
    </row>
    <row r="44" spans="1:31" ht="18">
      <c r="A44" s="443">
        <v>39</v>
      </c>
      <c r="B44" s="10" t="s">
        <v>311</v>
      </c>
      <c r="C44" s="446">
        <v>780675.58333333302</v>
      </c>
      <c r="D44" s="445">
        <v>12</v>
      </c>
      <c r="E44" s="446">
        <f t="shared" si="34"/>
        <v>9368107</v>
      </c>
      <c r="F44" s="446">
        <f>'[5]JANUARY 2024'!$V$47*12</f>
        <v>10052.25</v>
      </c>
      <c r="G44" s="447">
        <v>595848.56000000006</v>
      </c>
      <c r="H44" s="449"/>
      <c r="I44" s="446">
        <f t="shared" si="31"/>
        <v>8762206.1899999995</v>
      </c>
      <c r="J44" s="446">
        <v>200000</v>
      </c>
      <c r="K44" s="446">
        <v>0.2</v>
      </c>
      <c r="L44" s="446">
        <f t="shared" si="1"/>
        <v>1752441.2379999999</v>
      </c>
      <c r="M44" s="446">
        <f t="shared" si="2"/>
        <v>1952441.2379999999</v>
      </c>
      <c r="N44" s="446">
        <f t="shared" si="32"/>
        <v>2558342.048</v>
      </c>
      <c r="O44" s="446">
        <f t="shared" si="33"/>
        <v>6809764.9519999996</v>
      </c>
      <c r="P44" s="446">
        <f t="shared" si="5"/>
        <v>21000</v>
      </c>
      <c r="Q44" s="446">
        <f t="shared" si="6"/>
        <v>33000</v>
      </c>
      <c r="R44" s="446">
        <f t="shared" si="7"/>
        <v>75000</v>
      </c>
      <c r="S44" s="446">
        <f t="shared" si="8"/>
        <v>95000</v>
      </c>
      <c r="T44" s="446">
        <f t="shared" si="9"/>
        <v>336000</v>
      </c>
      <c r="U44" s="446">
        <f t="shared" si="10"/>
        <v>866343.58848000003</v>
      </c>
      <c r="V44" s="446">
        <f t="shared" si="11"/>
        <v>1426343.5884799999</v>
      </c>
      <c r="W44" s="453">
        <v>12</v>
      </c>
      <c r="X44" s="446">
        <f t="shared" si="12"/>
        <v>118861.965706667</v>
      </c>
      <c r="Y44" s="449"/>
      <c r="Z44" s="457">
        <f t="shared" si="13"/>
        <v>118861.965706667</v>
      </c>
      <c r="AA44" s="458">
        <v>79796.103146666603</v>
      </c>
      <c r="AB44" s="458">
        <f t="shared" si="35"/>
        <v>39065.862560000001</v>
      </c>
      <c r="AC44" s="458"/>
      <c r="AD44" s="458"/>
      <c r="AE44" s="458"/>
    </row>
    <row r="45" spans="1:31" ht="18">
      <c r="A45" s="443">
        <v>40</v>
      </c>
      <c r="B45" s="10" t="s">
        <v>312</v>
      </c>
      <c r="C45" s="446">
        <v>742118.08333333302</v>
      </c>
      <c r="D45" s="445">
        <v>12</v>
      </c>
      <c r="E45" s="446">
        <f t="shared" si="34"/>
        <v>8905417</v>
      </c>
      <c r="F45" s="446"/>
      <c r="G45" s="447">
        <v>558833.36</v>
      </c>
      <c r="H45" s="449"/>
      <c r="I45" s="446">
        <f t="shared" si="31"/>
        <v>8346583.6399999997</v>
      </c>
      <c r="J45" s="446">
        <v>200000</v>
      </c>
      <c r="K45" s="446">
        <v>0.2</v>
      </c>
      <c r="L45" s="446">
        <f t="shared" si="1"/>
        <v>1669316.7279999999</v>
      </c>
      <c r="M45" s="446">
        <f t="shared" si="2"/>
        <v>1869316.7279999999</v>
      </c>
      <c r="N45" s="446">
        <f t="shared" si="32"/>
        <v>2428150.088</v>
      </c>
      <c r="O45" s="446">
        <f t="shared" si="33"/>
        <v>6477266.9119999995</v>
      </c>
      <c r="P45" s="446">
        <f t="shared" si="5"/>
        <v>21000</v>
      </c>
      <c r="Q45" s="446">
        <f t="shared" si="6"/>
        <v>33000</v>
      </c>
      <c r="R45" s="446">
        <f t="shared" si="7"/>
        <v>75000</v>
      </c>
      <c r="S45" s="446">
        <f t="shared" si="8"/>
        <v>95000</v>
      </c>
      <c r="T45" s="446">
        <f t="shared" si="9"/>
        <v>336000</v>
      </c>
      <c r="U45" s="446">
        <f t="shared" si="10"/>
        <v>786544.05888000003</v>
      </c>
      <c r="V45" s="446">
        <f t="shared" si="11"/>
        <v>1346544.0588799999</v>
      </c>
      <c r="W45" s="453">
        <v>12</v>
      </c>
      <c r="X45" s="446">
        <f t="shared" si="12"/>
        <v>112212.004906667</v>
      </c>
      <c r="Y45" s="449"/>
      <c r="Z45" s="457">
        <f t="shared" si="13"/>
        <v>112212.004906667</v>
      </c>
      <c r="AA45" s="458">
        <v>75572.915690666705</v>
      </c>
      <c r="AB45" s="458">
        <f t="shared" si="35"/>
        <v>36639.089216</v>
      </c>
      <c r="AC45" s="458"/>
      <c r="AD45" s="458"/>
      <c r="AE45" s="458"/>
    </row>
    <row r="46" spans="1:31" ht="18">
      <c r="A46" s="443">
        <v>41</v>
      </c>
      <c r="B46" s="13" t="s">
        <v>313</v>
      </c>
      <c r="C46" s="446">
        <v>610498</v>
      </c>
      <c r="D46" s="445">
        <v>12</v>
      </c>
      <c r="E46" s="446">
        <f t="shared" si="34"/>
        <v>7325976</v>
      </c>
      <c r="F46" s="446"/>
      <c r="G46" s="447">
        <v>451678.08</v>
      </c>
      <c r="H46" s="449"/>
      <c r="I46" s="446">
        <f t="shared" si="31"/>
        <v>6874297.9199999999</v>
      </c>
      <c r="J46" s="446">
        <v>200000</v>
      </c>
      <c r="K46" s="446">
        <v>0.2</v>
      </c>
      <c r="L46" s="446">
        <f t="shared" si="1"/>
        <v>1374859.584</v>
      </c>
      <c r="M46" s="446">
        <f t="shared" si="2"/>
        <v>1574859.584</v>
      </c>
      <c r="N46" s="446">
        <f t="shared" si="32"/>
        <v>2026537.6640000001</v>
      </c>
      <c r="O46" s="446">
        <f t="shared" si="33"/>
        <v>5299438.3360000001</v>
      </c>
      <c r="P46" s="446">
        <f t="shared" si="5"/>
        <v>21000</v>
      </c>
      <c r="Q46" s="446">
        <f t="shared" si="6"/>
        <v>33000</v>
      </c>
      <c r="R46" s="446">
        <f t="shared" si="7"/>
        <v>75000</v>
      </c>
      <c r="S46" s="446">
        <f t="shared" si="8"/>
        <v>95000</v>
      </c>
      <c r="T46" s="446">
        <f t="shared" si="9"/>
        <v>336000</v>
      </c>
      <c r="U46" s="446">
        <f t="shared" si="10"/>
        <v>503865.20064</v>
      </c>
      <c r="V46" s="446">
        <f t="shared" si="11"/>
        <v>1063865.2006399999</v>
      </c>
      <c r="W46" s="453">
        <v>12</v>
      </c>
      <c r="X46" s="446">
        <f t="shared" si="12"/>
        <v>88655.4333866667</v>
      </c>
      <c r="Y46" s="449"/>
      <c r="Z46" s="457">
        <f t="shared" si="13"/>
        <v>88655.4333866667</v>
      </c>
      <c r="AA46" s="458">
        <v>58026.609434666701</v>
      </c>
      <c r="AB46" s="458">
        <f t="shared" si="35"/>
        <v>30628.823951999999</v>
      </c>
      <c r="AC46" s="458"/>
      <c r="AD46" s="458"/>
      <c r="AE46" s="458"/>
    </row>
    <row r="47" spans="1:31" ht="18">
      <c r="A47" s="443">
        <v>42</v>
      </c>
      <c r="B47" s="10" t="s">
        <v>314</v>
      </c>
      <c r="C47" s="446">
        <v>400965.58333333302</v>
      </c>
      <c r="D47" s="445">
        <v>12</v>
      </c>
      <c r="E47" s="446">
        <f t="shared" si="34"/>
        <v>4811587</v>
      </c>
      <c r="F47" s="446"/>
      <c r="G47" s="447">
        <v>288926.96000000002</v>
      </c>
      <c r="H47" s="449"/>
      <c r="I47" s="446">
        <f t="shared" si="31"/>
        <v>4522660.04</v>
      </c>
      <c r="J47" s="446">
        <v>200000</v>
      </c>
      <c r="K47" s="446">
        <v>0.2</v>
      </c>
      <c r="L47" s="446">
        <f t="shared" si="1"/>
        <v>904532.00800000003</v>
      </c>
      <c r="M47" s="446">
        <f t="shared" si="2"/>
        <v>1104532.0079999999</v>
      </c>
      <c r="N47" s="446">
        <f t="shared" si="32"/>
        <v>1393458.9680000001</v>
      </c>
      <c r="O47" s="446">
        <f t="shared" si="33"/>
        <v>3418128.0320000001</v>
      </c>
      <c r="P47" s="446">
        <f t="shared" si="5"/>
        <v>21000</v>
      </c>
      <c r="Q47" s="446">
        <f t="shared" si="6"/>
        <v>33000</v>
      </c>
      <c r="R47" s="446">
        <f t="shared" si="7"/>
        <v>75000</v>
      </c>
      <c r="S47" s="446">
        <f t="shared" si="8"/>
        <v>95000</v>
      </c>
      <c r="T47" s="446">
        <f t="shared" si="9"/>
        <v>336000</v>
      </c>
      <c r="U47" s="446">
        <f t="shared" si="10"/>
        <v>52350.727680000004</v>
      </c>
      <c r="V47" s="446">
        <f t="shared" si="11"/>
        <v>612350.72768000001</v>
      </c>
      <c r="W47" s="453">
        <v>12</v>
      </c>
      <c r="X47" s="446">
        <f t="shared" si="12"/>
        <v>51029.227306666697</v>
      </c>
      <c r="Y47" s="449"/>
      <c r="Z47" s="457">
        <f t="shared" si="13"/>
        <v>51029.227306666697</v>
      </c>
      <c r="AA47" s="458">
        <v>33059.078406666697</v>
      </c>
      <c r="AB47" s="458">
        <f t="shared" si="35"/>
        <v>17970.1489</v>
      </c>
      <c r="AC47" s="458"/>
      <c r="AD47" s="458"/>
      <c r="AE47" s="458"/>
    </row>
    <row r="48" spans="1:31" ht="18">
      <c r="A48" s="443">
        <v>43</v>
      </c>
      <c r="B48" s="10" t="s">
        <v>315</v>
      </c>
      <c r="C48" s="446">
        <v>363165.33333333302</v>
      </c>
      <c r="D48" s="445">
        <v>12</v>
      </c>
      <c r="E48" s="446">
        <f t="shared" si="34"/>
        <v>4357984</v>
      </c>
      <c r="F48" s="446"/>
      <c r="G48" s="447">
        <v>252638.72</v>
      </c>
      <c r="H48" s="449"/>
      <c r="I48" s="446">
        <f t="shared" si="31"/>
        <v>4105345.28</v>
      </c>
      <c r="J48" s="446">
        <v>200000</v>
      </c>
      <c r="K48" s="446">
        <v>0.2</v>
      </c>
      <c r="L48" s="446">
        <f t="shared" si="1"/>
        <v>821069.05599999998</v>
      </c>
      <c r="M48" s="446">
        <f t="shared" si="2"/>
        <v>1021069.056</v>
      </c>
      <c r="N48" s="446">
        <f t="shared" si="32"/>
        <v>1273707.7760000001</v>
      </c>
      <c r="O48" s="446">
        <f t="shared" si="33"/>
        <v>3084276.2239999999</v>
      </c>
      <c r="P48" s="446">
        <f t="shared" si="5"/>
        <v>21000</v>
      </c>
      <c r="Q48" s="446">
        <f t="shared" si="6"/>
        <v>33000</v>
      </c>
      <c r="R48" s="446">
        <f t="shared" si="7"/>
        <v>75000</v>
      </c>
      <c r="S48" s="446">
        <f t="shared" si="8"/>
        <v>95000</v>
      </c>
      <c r="T48" s="446">
        <f t="shared" si="9"/>
        <v>311698.00704</v>
      </c>
      <c r="U48" s="446"/>
      <c r="V48" s="446">
        <f t="shared" si="11"/>
        <v>535698.00704000005</v>
      </c>
      <c r="W48" s="453">
        <v>12</v>
      </c>
      <c r="X48" s="446">
        <f t="shared" si="12"/>
        <v>44641.500586666698</v>
      </c>
      <c r="Y48" s="449"/>
      <c r="Z48" s="457">
        <f t="shared" si="13"/>
        <v>44641.500586666698</v>
      </c>
      <c r="AA48" s="458">
        <v>29058.4826046667</v>
      </c>
      <c r="AB48" s="458">
        <f t="shared" si="35"/>
        <v>15583.017981999999</v>
      </c>
      <c r="AC48" s="458"/>
      <c r="AD48" s="458"/>
      <c r="AE48" s="458"/>
    </row>
    <row r="49" spans="1:31" ht="18">
      <c r="A49" s="443">
        <v>44</v>
      </c>
      <c r="B49" s="10" t="s">
        <v>316</v>
      </c>
      <c r="C49" s="446">
        <v>363165.33333333302</v>
      </c>
      <c r="D49" s="445">
        <v>12</v>
      </c>
      <c r="E49" s="446">
        <f t="shared" si="34"/>
        <v>4357984</v>
      </c>
      <c r="F49" s="446"/>
      <c r="G49" s="447">
        <v>252638.72</v>
      </c>
      <c r="H49" s="449"/>
      <c r="I49" s="446">
        <f t="shared" si="31"/>
        <v>4105345.28</v>
      </c>
      <c r="J49" s="446">
        <v>200000</v>
      </c>
      <c r="K49" s="446">
        <v>0.2</v>
      </c>
      <c r="L49" s="446">
        <f t="shared" si="1"/>
        <v>821069.05599999998</v>
      </c>
      <c r="M49" s="446">
        <f t="shared" si="2"/>
        <v>1021069.056</v>
      </c>
      <c r="N49" s="446">
        <f t="shared" si="32"/>
        <v>1273707.7760000001</v>
      </c>
      <c r="O49" s="446">
        <f t="shared" si="33"/>
        <v>3084276.2239999999</v>
      </c>
      <c r="P49" s="446">
        <f t="shared" si="5"/>
        <v>21000</v>
      </c>
      <c r="Q49" s="446">
        <f t="shared" si="6"/>
        <v>33000</v>
      </c>
      <c r="R49" s="446">
        <f t="shared" si="7"/>
        <v>75000</v>
      </c>
      <c r="S49" s="446">
        <f t="shared" si="8"/>
        <v>95000</v>
      </c>
      <c r="T49" s="446">
        <f t="shared" si="9"/>
        <v>311698.00704</v>
      </c>
      <c r="U49" s="446"/>
      <c r="V49" s="446">
        <f t="shared" si="11"/>
        <v>535698.00704000005</v>
      </c>
      <c r="W49" s="453">
        <v>12</v>
      </c>
      <c r="X49" s="446">
        <f t="shared" si="12"/>
        <v>44641.500586666698</v>
      </c>
      <c r="Y49" s="449"/>
      <c r="Z49" s="457">
        <f t="shared" si="13"/>
        <v>44641.500586666698</v>
      </c>
      <c r="AA49" s="458">
        <v>28360.952862666702</v>
      </c>
      <c r="AB49" s="458">
        <f t="shared" si="35"/>
        <v>16280.547724</v>
      </c>
      <c r="AC49" s="458"/>
      <c r="AD49" s="458"/>
      <c r="AE49" s="458"/>
    </row>
    <row r="50" spans="1:31" ht="18">
      <c r="A50" s="443">
        <v>45</v>
      </c>
      <c r="B50" s="10" t="s">
        <v>317</v>
      </c>
      <c r="C50" s="446">
        <v>363165.33333333302</v>
      </c>
      <c r="D50" s="445">
        <v>12</v>
      </c>
      <c r="E50" s="446">
        <f t="shared" si="34"/>
        <v>4357984</v>
      </c>
      <c r="F50" s="446"/>
      <c r="G50" s="447">
        <v>252638.72</v>
      </c>
      <c r="H50" s="449"/>
      <c r="I50" s="446">
        <f t="shared" si="31"/>
        <v>4105345.28</v>
      </c>
      <c r="J50" s="446">
        <v>200000</v>
      </c>
      <c r="K50" s="446">
        <v>0.2</v>
      </c>
      <c r="L50" s="446">
        <f t="shared" si="1"/>
        <v>821069.05599999998</v>
      </c>
      <c r="M50" s="446">
        <f t="shared" si="2"/>
        <v>1021069.056</v>
      </c>
      <c r="N50" s="446">
        <f t="shared" si="32"/>
        <v>1273707.7760000001</v>
      </c>
      <c r="O50" s="446">
        <f t="shared" si="33"/>
        <v>3084276.2239999999</v>
      </c>
      <c r="P50" s="446">
        <f t="shared" si="5"/>
        <v>21000</v>
      </c>
      <c r="Q50" s="446">
        <f t="shared" si="6"/>
        <v>33000</v>
      </c>
      <c r="R50" s="446">
        <f t="shared" si="7"/>
        <v>75000</v>
      </c>
      <c r="S50" s="446">
        <f t="shared" si="8"/>
        <v>95000</v>
      </c>
      <c r="T50" s="446">
        <f t="shared" si="9"/>
        <v>311698.00704</v>
      </c>
      <c r="U50" s="446"/>
      <c r="V50" s="446">
        <f t="shared" si="11"/>
        <v>535698.00704000005</v>
      </c>
      <c r="W50" s="453">
        <v>12</v>
      </c>
      <c r="X50" s="446">
        <f t="shared" si="12"/>
        <v>44641.500586666698</v>
      </c>
      <c r="Y50" s="449"/>
      <c r="Z50" s="457">
        <f t="shared" si="13"/>
        <v>44641.500586666698</v>
      </c>
      <c r="AA50" s="458">
        <v>29058.4826046667</v>
      </c>
      <c r="AB50" s="458">
        <f t="shared" si="35"/>
        <v>15583.017981999999</v>
      </c>
      <c r="AC50" s="458"/>
      <c r="AD50" s="458"/>
      <c r="AE50" s="458"/>
    </row>
    <row r="51" spans="1:31" ht="17.5">
      <c r="A51" s="443"/>
      <c r="B51" s="21"/>
      <c r="C51" s="451"/>
      <c r="D51" s="445"/>
      <c r="E51" s="446"/>
      <c r="F51" s="446"/>
      <c r="G51" s="449"/>
      <c r="H51" s="449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53"/>
      <c r="X51" s="446"/>
      <c r="Y51" s="449"/>
      <c r="Z51" s="457"/>
      <c r="AA51" s="458"/>
      <c r="AB51" s="458"/>
      <c r="AC51" s="458"/>
      <c r="AD51" s="458"/>
      <c r="AE51" s="458"/>
    </row>
    <row r="52" spans="1:31" ht="17.5">
      <c r="A52" s="443"/>
      <c r="B52" s="19" t="s">
        <v>318</v>
      </c>
      <c r="C52" s="446"/>
      <c r="D52" s="445"/>
      <c r="E52" s="446"/>
      <c r="F52" s="446"/>
      <c r="G52" s="449"/>
      <c r="H52" s="449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53"/>
      <c r="X52" s="446"/>
      <c r="Y52" s="449"/>
      <c r="Z52" s="457"/>
      <c r="AA52" s="458"/>
      <c r="AB52" s="458"/>
      <c r="AC52" s="458"/>
      <c r="AD52" s="458"/>
      <c r="AE52" s="458"/>
    </row>
    <row r="53" spans="1:31" ht="18">
      <c r="A53" s="443">
        <v>47</v>
      </c>
      <c r="B53" s="10" t="s">
        <v>521</v>
      </c>
      <c r="C53" s="446">
        <v>1635720</v>
      </c>
      <c r="D53" s="445">
        <v>12</v>
      </c>
      <c r="E53" s="446">
        <f>C53*D53</f>
        <v>19628640</v>
      </c>
      <c r="F53" s="446"/>
      <c r="G53" s="447">
        <v>1378291.2</v>
      </c>
      <c r="H53" s="449"/>
      <c r="I53" s="446">
        <f>E53-F53-G53-H53</f>
        <v>18250348.800000001</v>
      </c>
      <c r="J53" s="446">
        <v>200000</v>
      </c>
      <c r="K53" s="446">
        <v>0.2</v>
      </c>
      <c r="L53" s="446">
        <f t="shared" si="1"/>
        <v>3650069.76</v>
      </c>
      <c r="M53" s="446">
        <f t="shared" si="2"/>
        <v>3850069.76</v>
      </c>
      <c r="N53" s="446">
        <f>F53+G53+H53+M53</f>
        <v>5228360.96</v>
      </c>
      <c r="O53" s="446">
        <f>E53-N53</f>
        <v>14400279.039999999</v>
      </c>
      <c r="P53" s="446">
        <f t="shared" si="5"/>
        <v>21000</v>
      </c>
      <c r="Q53" s="446">
        <f t="shared" si="6"/>
        <v>33000</v>
      </c>
      <c r="R53" s="446">
        <f t="shared" si="7"/>
        <v>75000</v>
      </c>
      <c r="S53" s="446">
        <f t="shared" si="8"/>
        <v>95000</v>
      </c>
      <c r="T53" s="446">
        <f t="shared" si="9"/>
        <v>336000</v>
      </c>
      <c r="U53" s="446">
        <f t="shared" si="10"/>
        <v>2688066.9696</v>
      </c>
      <c r="V53" s="446">
        <f t="shared" si="11"/>
        <v>3248066.9696</v>
      </c>
      <c r="W53" s="453">
        <v>12</v>
      </c>
      <c r="X53" s="446">
        <f t="shared" si="12"/>
        <v>270672.24746666697</v>
      </c>
      <c r="Y53" s="449"/>
      <c r="Z53" s="457">
        <f t="shared" si="13"/>
        <v>270672.24746666697</v>
      </c>
      <c r="AA53" s="458">
        <v>180306.806858667</v>
      </c>
      <c r="AB53" s="458">
        <f>Z53-AA53</f>
        <v>90365.440607999903</v>
      </c>
      <c r="AC53" s="458"/>
      <c r="AD53" s="458"/>
      <c r="AE53" s="458"/>
    </row>
    <row r="54" spans="1:31" ht="18">
      <c r="A54" s="443">
        <v>48</v>
      </c>
      <c r="B54" s="10" t="s">
        <v>321</v>
      </c>
      <c r="C54" s="446">
        <v>700675.58333333302</v>
      </c>
      <c r="D54" s="445">
        <v>12</v>
      </c>
      <c r="E54" s="446">
        <f>C54*D54</f>
        <v>8408107</v>
      </c>
      <c r="F54" s="446"/>
      <c r="G54" s="446">
        <v>595848.56000000006</v>
      </c>
      <c r="H54" s="449"/>
      <c r="I54" s="446">
        <f>E54-F54-G54-H54</f>
        <v>7812258.4400000004</v>
      </c>
      <c r="J54" s="446">
        <v>200000</v>
      </c>
      <c r="K54" s="446">
        <v>0.2</v>
      </c>
      <c r="L54" s="446">
        <f t="shared" si="1"/>
        <v>1562451.6880000001</v>
      </c>
      <c r="M54" s="446">
        <f t="shared" si="2"/>
        <v>1762451.6880000001</v>
      </c>
      <c r="N54" s="446">
        <f>F54+G54+H54+M54</f>
        <v>2358300.2480000001</v>
      </c>
      <c r="O54" s="446">
        <f>E54-N54</f>
        <v>6049806.7520000003</v>
      </c>
      <c r="P54" s="446">
        <f t="shared" si="5"/>
        <v>21000</v>
      </c>
      <c r="Q54" s="446">
        <f t="shared" si="6"/>
        <v>33000</v>
      </c>
      <c r="R54" s="446">
        <f t="shared" si="7"/>
        <v>75000</v>
      </c>
      <c r="S54" s="446">
        <f t="shared" si="8"/>
        <v>95000</v>
      </c>
      <c r="T54" s="446">
        <f t="shared" si="9"/>
        <v>336000</v>
      </c>
      <c r="U54" s="446">
        <f t="shared" si="10"/>
        <v>683953.62048000004</v>
      </c>
      <c r="V54" s="446">
        <f t="shared" si="11"/>
        <v>1243953.62048</v>
      </c>
      <c r="W54" s="453">
        <v>12</v>
      </c>
      <c r="X54" s="446">
        <f t="shared" si="12"/>
        <v>103662.801706667</v>
      </c>
      <c r="Y54" s="449"/>
      <c r="Z54" s="457">
        <f t="shared" si="13"/>
        <v>103662.801706667</v>
      </c>
      <c r="AA54" s="458">
        <v>64596.9391466667</v>
      </c>
      <c r="AB54" s="458">
        <f>Z54-AA54</f>
        <v>39065.862560000001</v>
      </c>
      <c r="AC54" s="458"/>
      <c r="AD54" s="458"/>
      <c r="AE54" s="458"/>
    </row>
    <row r="55" spans="1:31" ht="17.5">
      <c r="A55" s="443"/>
      <c r="B55" s="19"/>
      <c r="C55" s="446"/>
      <c r="D55" s="445"/>
      <c r="E55" s="446"/>
      <c r="F55" s="446"/>
      <c r="G55" s="449">
        <v>0</v>
      </c>
      <c r="H55" s="449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53"/>
      <c r="X55" s="446"/>
      <c r="Y55" s="449"/>
      <c r="Z55" s="457"/>
      <c r="AA55" s="458"/>
      <c r="AB55" s="458"/>
      <c r="AC55" s="458"/>
      <c r="AD55" s="458"/>
      <c r="AE55" s="458"/>
    </row>
    <row r="56" spans="1:31" ht="35">
      <c r="A56" s="443">
        <v>49</v>
      </c>
      <c r="B56" s="19" t="s">
        <v>45</v>
      </c>
      <c r="C56" s="446"/>
      <c r="D56" s="445"/>
      <c r="E56" s="446"/>
      <c r="F56" s="446"/>
      <c r="G56" s="449">
        <v>0</v>
      </c>
      <c r="H56" s="449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53"/>
      <c r="X56" s="446"/>
      <c r="Y56" s="449"/>
      <c r="Z56" s="457"/>
      <c r="AA56" s="458"/>
      <c r="AB56" s="458"/>
      <c r="AC56" s="458"/>
      <c r="AD56" s="458"/>
      <c r="AE56" s="458"/>
    </row>
    <row r="57" spans="1:31" ht="18">
      <c r="A57" s="443">
        <v>50</v>
      </c>
      <c r="B57" s="10" t="s">
        <v>323</v>
      </c>
      <c r="C57" s="446">
        <v>1635720</v>
      </c>
      <c r="D57" s="445">
        <v>12</v>
      </c>
      <c r="E57" s="446">
        <f>C57*D57</f>
        <v>19628640</v>
      </c>
      <c r="F57" s="446"/>
      <c r="G57" s="447">
        <v>0</v>
      </c>
      <c r="H57" s="449"/>
      <c r="I57" s="446">
        <f t="shared" ref="I57:I66" si="36">E57-F57-G57-H57</f>
        <v>19628640</v>
      </c>
      <c r="J57" s="446">
        <v>200000</v>
      </c>
      <c r="K57" s="446">
        <v>0.2</v>
      </c>
      <c r="L57" s="446">
        <f t="shared" si="1"/>
        <v>3925728</v>
      </c>
      <c r="M57" s="446">
        <f t="shared" si="2"/>
        <v>4125728</v>
      </c>
      <c r="N57" s="446">
        <f t="shared" ref="N57:N66" si="37">F57+G57+H57+M57</f>
        <v>4125728</v>
      </c>
      <c r="O57" s="446">
        <f t="shared" ref="O57:O66" si="38">E57-N57</f>
        <v>15502912</v>
      </c>
      <c r="P57" s="446">
        <f t="shared" si="5"/>
        <v>21000</v>
      </c>
      <c r="Q57" s="446">
        <f t="shared" si="6"/>
        <v>33000</v>
      </c>
      <c r="R57" s="446">
        <f t="shared" si="7"/>
        <v>75000</v>
      </c>
      <c r="S57" s="446">
        <f t="shared" si="8"/>
        <v>95000</v>
      </c>
      <c r="T57" s="446">
        <f t="shared" si="9"/>
        <v>336000</v>
      </c>
      <c r="U57" s="446">
        <f t="shared" si="10"/>
        <v>2952698.88</v>
      </c>
      <c r="V57" s="446">
        <f t="shared" si="11"/>
        <v>3512698.8799999999</v>
      </c>
      <c r="W57" s="453">
        <v>12</v>
      </c>
      <c r="X57" s="446">
        <f t="shared" si="12"/>
        <v>292724.90666666703</v>
      </c>
      <c r="Y57" s="449"/>
      <c r="Z57" s="457">
        <f t="shared" si="13"/>
        <v>292724.90666666703</v>
      </c>
      <c r="AA57" s="458">
        <v>180306.806858667</v>
      </c>
      <c r="AB57" s="458">
        <f>Z57-AA57</f>
        <v>112418.099808</v>
      </c>
      <c r="AC57" s="458"/>
      <c r="AD57" s="458"/>
      <c r="AE57" s="458"/>
    </row>
    <row r="58" spans="1:31" ht="23.25" customHeight="1">
      <c r="A58" s="443">
        <v>51</v>
      </c>
      <c r="B58" s="328" t="s">
        <v>325</v>
      </c>
      <c r="C58" s="446">
        <v>761396.83333333302</v>
      </c>
      <c r="D58" s="445">
        <v>12</v>
      </c>
      <c r="E58" s="446">
        <f t="shared" ref="E58:E66" si="39">C58*D58</f>
        <v>9136762</v>
      </c>
      <c r="F58" s="446"/>
      <c r="G58" s="452">
        <f>48111.7466666667*12</f>
        <v>577340.96</v>
      </c>
      <c r="H58" s="449"/>
      <c r="I58" s="446">
        <f t="shared" si="36"/>
        <v>8559421.0399999991</v>
      </c>
      <c r="J58" s="446">
        <v>200000</v>
      </c>
      <c r="K58" s="446">
        <v>0.2</v>
      </c>
      <c r="L58" s="446">
        <f t="shared" si="1"/>
        <v>1711884.2080000001</v>
      </c>
      <c r="M58" s="446">
        <f t="shared" si="2"/>
        <v>1911884.2080000001</v>
      </c>
      <c r="N58" s="446">
        <f t="shared" si="37"/>
        <v>2489225.1680000001</v>
      </c>
      <c r="O58" s="446">
        <f t="shared" si="38"/>
        <v>6647536.8320000004</v>
      </c>
      <c r="P58" s="446">
        <f t="shared" si="5"/>
        <v>21000</v>
      </c>
      <c r="Q58" s="446">
        <f t="shared" si="6"/>
        <v>33000</v>
      </c>
      <c r="R58" s="446">
        <f t="shared" si="7"/>
        <v>75000</v>
      </c>
      <c r="S58" s="446">
        <f t="shared" si="8"/>
        <v>95000</v>
      </c>
      <c r="T58" s="446">
        <f t="shared" si="9"/>
        <v>336000</v>
      </c>
      <c r="U58" s="446">
        <f t="shared" si="10"/>
        <v>827408.83967999998</v>
      </c>
      <c r="V58" s="446">
        <f t="shared" si="11"/>
        <v>1387408.83968</v>
      </c>
      <c r="W58" s="453">
        <v>12</v>
      </c>
      <c r="X58" s="446">
        <f t="shared" si="12"/>
        <v>115617.40330666699</v>
      </c>
      <c r="Y58" s="449"/>
      <c r="Z58" s="457">
        <f t="shared" si="13"/>
        <v>115617.40330666699</v>
      </c>
      <c r="AA58" s="458">
        <v>77764.980266666695</v>
      </c>
      <c r="AB58" s="458">
        <f t="shared" ref="AB58:AB66" si="40">Z58-AA58</f>
        <v>37852.423040000001</v>
      </c>
      <c r="AC58" s="458"/>
      <c r="AD58" s="458"/>
      <c r="AE58" s="458"/>
    </row>
    <row r="59" spans="1:31" ht="18">
      <c r="A59" s="443">
        <v>52</v>
      </c>
      <c r="B59" s="10" t="s">
        <v>328</v>
      </c>
      <c r="C59" s="446">
        <v>582746.5</v>
      </c>
      <c r="D59" s="445">
        <v>12</v>
      </c>
      <c r="E59" s="446">
        <f t="shared" si="39"/>
        <v>6992958</v>
      </c>
      <c r="F59" s="446"/>
      <c r="G59" s="447">
        <v>425036.64</v>
      </c>
      <c r="H59" s="449"/>
      <c r="I59" s="446">
        <f t="shared" si="36"/>
        <v>6567921.3600000003</v>
      </c>
      <c r="J59" s="446">
        <v>200000</v>
      </c>
      <c r="K59" s="446">
        <v>0.2</v>
      </c>
      <c r="L59" s="446">
        <f t="shared" si="1"/>
        <v>1313584.2720000001</v>
      </c>
      <c r="M59" s="446">
        <f t="shared" si="2"/>
        <v>1513584.2720000001</v>
      </c>
      <c r="N59" s="446">
        <f t="shared" si="37"/>
        <v>1938620.912</v>
      </c>
      <c r="O59" s="446">
        <f t="shared" si="38"/>
        <v>5054337.0880000005</v>
      </c>
      <c r="P59" s="446">
        <f t="shared" si="5"/>
        <v>21000</v>
      </c>
      <c r="Q59" s="446">
        <f t="shared" si="6"/>
        <v>33000</v>
      </c>
      <c r="R59" s="446">
        <f t="shared" si="7"/>
        <v>75000</v>
      </c>
      <c r="S59" s="446">
        <f t="shared" si="8"/>
        <v>95000</v>
      </c>
      <c r="T59" s="446">
        <f t="shared" si="9"/>
        <v>336000</v>
      </c>
      <c r="U59" s="446">
        <f t="shared" si="10"/>
        <v>445040.90111999999</v>
      </c>
      <c r="V59" s="446">
        <f t="shared" si="11"/>
        <v>1005040.9011200001</v>
      </c>
      <c r="W59" s="453">
        <v>12</v>
      </c>
      <c r="X59" s="446">
        <f t="shared" si="12"/>
        <v>83753.408426666603</v>
      </c>
      <c r="Y59" s="449"/>
      <c r="Z59" s="457">
        <f t="shared" si="13"/>
        <v>83753.408426666603</v>
      </c>
      <c r="AA59" s="458">
        <v>54931.249226666703</v>
      </c>
      <c r="AB59" s="458">
        <f t="shared" si="40"/>
        <v>28822.159199999998</v>
      </c>
      <c r="AC59" s="458"/>
      <c r="AD59" s="458"/>
      <c r="AE59" s="458"/>
    </row>
    <row r="60" spans="1:31" ht="18">
      <c r="A60" s="443">
        <v>53</v>
      </c>
      <c r="B60" s="17" t="s">
        <v>329</v>
      </c>
      <c r="C60" s="446">
        <v>548915.91666666698</v>
      </c>
      <c r="D60" s="445">
        <v>12</v>
      </c>
      <c r="E60" s="446">
        <f t="shared" si="39"/>
        <v>6586991</v>
      </c>
      <c r="F60" s="446"/>
      <c r="G60" s="447">
        <v>411759.28</v>
      </c>
      <c r="H60" s="449"/>
      <c r="I60" s="446">
        <f t="shared" si="36"/>
        <v>6175231.7199999997</v>
      </c>
      <c r="J60" s="446">
        <v>200000</v>
      </c>
      <c r="K60" s="446">
        <v>0.2</v>
      </c>
      <c r="L60" s="446">
        <f t="shared" si="1"/>
        <v>1235046.344</v>
      </c>
      <c r="M60" s="446">
        <f t="shared" si="2"/>
        <v>1435046.344</v>
      </c>
      <c r="N60" s="446">
        <f t="shared" si="37"/>
        <v>1846805.6240000001</v>
      </c>
      <c r="O60" s="446">
        <f t="shared" si="38"/>
        <v>4740185.3760000002</v>
      </c>
      <c r="P60" s="446">
        <f t="shared" si="5"/>
        <v>21000</v>
      </c>
      <c r="Q60" s="446">
        <f t="shared" si="6"/>
        <v>33000</v>
      </c>
      <c r="R60" s="446">
        <f t="shared" si="7"/>
        <v>75000</v>
      </c>
      <c r="S60" s="446">
        <f t="shared" si="8"/>
        <v>95000</v>
      </c>
      <c r="T60" s="446">
        <f t="shared" si="9"/>
        <v>336000</v>
      </c>
      <c r="U60" s="446">
        <f t="shared" si="10"/>
        <v>369644.49024000001</v>
      </c>
      <c r="V60" s="446">
        <f t="shared" si="11"/>
        <v>929644.49023999996</v>
      </c>
      <c r="W60" s="453">
        <v>12</v>
      </c>
      <c r="X60" s="446">
        <f t="shared" si="12"/>
        <v>77470.374186666697</v>
      </c>
      <c r="Y60" s="449"/>
      <c r="Z60" s="457">
        <f t="shared" si="13"/>
        <v>77470.374186666697</v>
      </c>
      <c r="AA60" s="458">
        <v>49548.776186666699</v>
      </c>
      <c r="AB60" s="458">
        <f t="shared" si="40"/>
        <v>27921.598000000002</v>
      </c>
      <c r="AC60" s="458"/>
      <c r="AD60" s="458"/>
      <c r="AE60" s="458"/>
    </row>
    <row r="61" spans="1:31" ht="18">
      <c r="A61" s="443">
        <v>54</v>
      </c>
      <c r="B61" s="13" t="s">
        <v>330</v>
      </c>
      <c r="C61" s="446">
        <v>624373.75</v>
      </c>
      <c r="D61" s="445">
        <v>12</v>
      </c>
      <c r="E61" s="446">
        <f t="shared" si="39"/>
        <v>7492485</v>
      </c>
      <c r="F61" s="446"/>
      <c r="G61" s="447">
        <v>464998.8</v>
      </c>
      <c r="H61" s="449"/>
      <c r="I61" s="446">
        <f t="shared" si="36"/>
        <v>7027486.2000000002</v>
      </c>
      <c r="J61" s="446">
        <v>200000</v>
      </c>
      <c r="K61" s="446">
        <v>0.2</v>
      </c>
      <c r="L61" s="446">
        <f t="shared" si="1"/>
        <v>1405497.24</v>
      </c>
      <c r="M61" s="446">
        <f t="shared" si="2"/>
        <v>1605497.24</v>
      </c>
      <c r="N61" s="446">
        <f t="shared" si="37"/>
        <v>2070496.04</v>
      </c>
      <c r="O61" s="446">
        <f t="shared" si="38"/>
        <v>5421988.96</v>
      </c>
      <c r="P61" s="446">
        <f t="shared" si="5"/>
        <v>21000</v>
      </c>
      <c r="Q61" s="446">
        <f t="shared" si="6"/>
        <v>33000</v>
      </c>
      <c r="R61" s="446">
        <f t="shared" si="7"/>
        <v>75000</v>
      </c>
      <c r="S61" s="446">
        <f t="shared" si="8"/>
        <v>95000</v>
      </c>
      <c r="T61" s="446">
        <f t="shared" si="9"/>
        <v>336000</v>
      </c>
      <c r="U61" s="446">
        <f t="shared" si="10"/>
        <v>533277.3504</v>
      </c>
      <c r="V61" s="446">
        <f t="shared" si="11"/>
        <v>1093277.3504000001</v>
      </c>
      <c r="W61" s="453">
        <v>12</v>
      </c>
      <c r="X61" s="446">
        <f t="shared" si="12"/>
        <v>91106.445866666705</v>
      </c>
      <c r="Y61" s="449"/>
      <c r="Z61" s="457">
        <f t="shared" si="13"/>
        <v>91106.445866666705</v>
      </c>
      <c r="AA61" s="458">
        <v>46666.666666666701</v>
      </c>
      <c r="AB61" s="458">
        <f t="shared" si="40"/>
        <v>44439.779199999997</v>
      </c>
      <c r="AC61" s="458"/>
      <c r="AD61" s="458"/>
      <c r="AE61" s="458"/>
    </row>
    <row r="62" spans="1:31" ht="18">
      <c r="A62" s="443">
        <v>55</v>
      </c>
      <c r="B62" s="10" t="s">
        <v>331</v>
      </c>
      <c r="C62" s="446">
        <v>475703.83333333302</v>
      </c>
      <c r="D62" s="445">
        <v>12</v>
      </c>
      <c r="E62" s="446">
        <f t="shared" si="39"/>
        <v>5708446</v>
      </c>
      <c r="F62" s="446"/>
      <c r="G62" s="447">
        <v>351075.68</v>
      </c>
      <c r="H62" s="449"/>
      <c r="I62" s="446">
        <f t="shared" si="36"/>
        <v>5357370.32</v>
      </c>
      <c r="J62" s="446">
        <v>200000</v>
      </c>
      <c r="K62" s="446">
        <v>0.2</v>
      </c>
      <c r="L62" s="446">
        <f t="shared" si="1"/>
        <v>1071474.064</v>
      </c>
      <c r="M62" s="446">
        <f t="shared" si="2"/>
        <v>1271474.064</v>
      </c>
      <c r="N62" s="446">
        <f t="shared" si="37"/>
        <v>1622549.7439999999</v>
      </c>
      <c r="O62" s="446">
        <f t="shared" si="38"/>
        <v>4085896.2560000001</v>
      </c>
      <c r="P62" s="446">
        <f t="shared" si="5"/>
        <v>21000</v>
      </c>
      <c r="Q62" s="446">
        <f t="shared" si="6"/>
        <v>33000</v>
      </c>
      <c r="R62" s="446">
        <f t="shared" si="7"/>
        <v>75000</v>
      </c>
      <c r="S62" s="446">
        <f t="shared" si="8"/>
        <v>95000</v>
      </c>
      <c r="T62" s="446">
        <f t="shared" si="9"/>
        <v>336000</v>
      </c>
      <c r="U62" s="446">
        <f t="shared" si="10"/>
        <v>212615.10144</v>
      </c>
      <c r="V62" s="446">
        <f t="shared" si="11"/>
        <v>772615.10144</v>
      </c>
      <c r="W62" s="453">
        <v>12</v>
      </c>
      <c r="X62" s="446">
        <f t="shared" si="12"/>
        <v>64384.591786666701</v>
      </c>
      <c r="Y62" s="449"/>
      <c r="Z62" s="457">
        <f t="shared" si="13"/>
        <v>64384.591786666701</v>
      </c>
      <c r="AA62" s="458">
        <v>41338.951098666701</v>
      </c>
      <c r="AB62" s="458">
        <f t="shared" si="40"/>
        <v>23045.640687999999</v>
      </c>
      <c r="AC62" s="458"/>
      <c r="AD62" s="458"/>
      <c r="AE62" s="458"/>
    </row>
    <row r="63" spans="1:31" ht="18">
      <c r="A63" s="443">
        <v>56</v>
      </c>
      <c r="B63" s="10" t="s">
        <v>333</v>
      </c>
      <c r="C63" s="446">
        <v>475703.83333333302</v>
      </c>
      <c r="D63" s="445">
        <v>12</v>
      </c>
      <c r="E63" s="446">
        <f t="shared" si="39"/>
        <v>5708446</v>
      </c>
      <c r="F63" s="446"/>
      <c r="G63" s="447">
        <v>351075.68</v>
      </c>
      <c r="H63" s="449"/>
      <c r="I63" s="446">
        <f t="shared" si="36"/>
        <v>5357370.32</v>
      </c>
      <c r="J63" s="446">
        <v>200000</v>
      </c>
      <c r="K63" s="446">
        <v>0.2</v>
      </c>
      <c r="L63" s="446">
        <f t="shared" si="1"/>
        <v>1071474.064</v>
      </c>
      <c r="M63" s="446">
        <f t="shared" si="2"/>
        <v>1271474.064</v>
      </c>
      <c r="N63" s="446">
        <f t="shared" si="37"/>
        <v>1622549.7439999999</v>
      </c>
      <c r="O63" s="446">
        <f t="shared" si="38"/>
        <v>4085896.2560000001</v>
      </c>
      <c r="P63" s="446">
        <f t="shared" si="5"/>
        <v>21000</v>
      </c>
      <c r="Q63" s="446">
        <f t="shared" si="6"/>
        <v>33000</v>
      </c>
      <c r="R63" s="446">
        <f t="shared" si="7"/>
        <v>75000</v>
      </c>
      <c r="S63" s="446">
        <f t="shared" si="8"/>
        <v>95000</v>
      </c>
      <c r="T63" s="446">
        <f t="shared" si="9"/>
        <v>336000</v>
      </c>
      <c r="U63" s="446">
        <f t="shared" si="10"/>
        <v>212615.10144</v>
      </c>
      <c r="V63" s="446">
        <f t="shared" si="11"/>
        <v>772615.10144</v>
      </c>
      <c r="W63" s="453">
        <v>12</v>
      </c>
      <c r="X63" s="446">
        <f t="shared" si="12"/>
        <v>64384.591786666701</v>
      </c>
      <c r="Y63" s="449"/>
      <c r="Z63" s="457">
        <f t="shared" si="13"/>
        <v>64384.591786666701</v>
      </c>
      <c r="AA63" s="458">
        <v>41338.951098666701</v>
      </c>
      <c r="AB63" s="458">
        <f t="shared" si="40"/>
        <v>23045.640687999999</v>
      </c>
      <c r="AC63" s="458"/>
      <c r="AD63" s="458"/>
      <c r="AE63" s="458"/>
    </row>
    <row r="64" spans="1:31" ht="18">
      <c r="A64" s="443">
        <v>57</v>
      </c>
      <c r="B64" s="10" t="s">
        <v>334</v>
      </c>
      <c r="C64" s="446">
        <v>475703.83333333302</v>
      </c>
      <c r="D64" s="445">
        <v>12</v>
      </c>
      <c r="E64" s="446">
        <f t="shared" si="39"/>
        <v>5708446</v>
      </c>
      <c r="F64" s="446"/>
      <c r="G64" s="447">
        <v>351075.68</v>
      </c>
      <c r="H64" s="449"/>
      <c r="I64" s="446">
        <f t="shared" si="36"/>
        <v>5357370.32</v>
      </c>
      <c r="J64" s="446">
        <v>200000</v>
      </c>
      <c r="K64" s="446">
        <v>0.2</v>
      </c>
      <c r="L64" s="446">
        <f t="shared" si="1"/>
        <v>1071474.064</v>
      </c>
      <c r="M64" s="446">
        <f t="shared" si="2"/>
        <v>1271474.064</v>
      </c>
      <c r="N64" s="446">
        <f t="shared" si="37"/>
        <v>1622549.7439999999</v>
      </c>
      <c r="O64" s="446">
        <f t="shared" si="38"/>
        <v>4085896.2560000001</v>
      </c>
      <c r="P64" s="446">
        <f t="shared" si="5"/>
        <v>21000</v>
      </c>
      <c r="Q64" s="446">
        <f t="shared" si="6"/>
        <v>33000</v>
      </c>
      <c r="R64" s="446">
        <f t="shared" si="7"/>
        <v>75000</v>
      </c>
      <c r="S64" s="446">
        <f t="shared" si="8"/>
        <v>95000</v>
      </c>
      <c r="T64" s="446">
        <f t="shared" si="9"/>
        <v>336000</v>
      </c>
      <c r="U64" s="446">
        <f t="shared" si="10"/>
        <v>212615.10144</v>
      </c>
      <c r="V64" s="446">
        <f t="shared" si="11"/>
        <v>772615.10144</v>
      </c>
      <c r="W64" s="453">
        <v>12</v>
      </c>
      <c r="X64" s="446">
        <f t="shared" si="12"/>
        <v>64384.591786666701</v>
      </c>
      <c r="Y64" s="449"/>
      <c r="Z64" s="457">
        <f t="shared" si="13"/>
        <v>64384.591786666701</v>
      </c>
      <c r="AA64" s="458">
        <v>41338.951098666701</v>
      </c>
      <c r="AB64" s="458">
        <f t="shared" si="40"/>
        <v>23045.640687999999</v>
      </c>
      <c r="AC64" s="458"/>
      <c r="AD64" s="458"/>
      <c r="AE64" s="458"/>
    </row>
    <row r="65" spans="1:31" ht="18">
      <c r="A65" s="443">
        <v>58</v>
      </c>
      <c r="B65" s="10" t="s">
        <v>335</v>
      </c>
      <c r="C65" s="446">
        <v>487895.16666666698</v>
      </c>
      <c r="D65" s="445">
        <v>12</v>
      </c>
      <c r="E65" s="446">
        <f t="shared" si="39"/>
        <v>5854742</v>
      </c>
      <c r="F65" s="446"/>
      <c r="G65" s="447">
        <v>362779.36</v>
      </c>
      <c r="H65" s="449"/>
      <c r="I65" s="446">
        <f t="shared" si="36"/>
        <v>5491962.6399999997</v>
      </c>
      <c r="J65" s="446">
        <v>200000</v>
      </c>
      <c r="K65" s="446">
        <v>0.2</v>
      </c>
      <c r="L65" s="446">
        <f t="shared" si="1"/>
        <v>1098392.5279999999</v>
      </c>
      <c r="M65" s="446">
        <f t="shared" si="2"/>
        <v>1298392.5279999999</v>
      </c>
      <c r="N65" s="446">
        <f t="shared" si="37"/>
        <v>1661171.888</v>
      </c>
      <c r="O65" s="446">
        <f t="shared" si="38"/>
        <v>4193570.1120000002</v>
      </c>
      <c r="P65" s="446">
        <f t="shared" si="5"/>
        <v>21000</v>
      </c>
      <c r="Q65" s="446">
        <f t="shared" si="6"/>
        <v>33000</v>
      </c>
      <c r="R65" s="446">
        <f t="shared" si="7"/>
        <v>75000</v>
      </c>
      <c r="S65" s="446">
        <f t="shared" si="8"/>
        <v>95000</v>
      </c>
      <c r="T65" s="446">
        <f t="shared" si="9"/>
        <v>336000</v>
      </c>
      <c r="U65" s="446">
        <f t="shared" si="10"/>
        <v>238456.82688000001</v>
      </c>
      <c r="V65" s="446">
        <f t="shared" si="11"/>
        <v>798456.82687999995</v>
      </c>
      <c r="W65" s="453">
        <v>12</v>
      </c>
      <c r="X65" s="446">
        <f t="shared" si="12"/>
        <v>66538.068906666696</v>
      </c>
      <c r="Y65" s="449"/>
      <c r="Z65" s="457">
        <f t="shared" si="13"/>
        <v>66538.068906666696</v>
      </c>
      <c r="AA65" s="458">
        <v>43368.882414666703</v>
      </c>
      <c r="AB65" s="458">
        <f t="shared" si="40"/>
        <v>23169.186492000001</v>
      </c>
      <c r="AC65" s="458"/>
      <c r="AD65" s="458"/>
      <c r="AE65" s="458"/>
    </row>
    <row r="66" spans="1:31" ht="18">
      <c r="A66" s="443">
        <v>59</v>
      </c>
      <c r="B66" s="10" t="s">
        <v>337</v>
      </c>
      <c r="C66" s="446">
        <v>400965.58333333302</v>
      </c>
      <c r="D66" s="445">
        <v>12</v>
      </c>
      <c r="E66" s="446">
        <f t="shared" si="39"/>
        <v>4811587</v>
      </c>
      <c r="F66" s="446"/>
      <c r="G66" s="451">
        <v>288926.96000000002</v>
      </c>
      <c r="H66" s="449"/>
      <c r="I66" s="446">
        <f t="shared" si="36"/>
        <v>4522660.04</v>
      </c>
      <c r="J66" s="446">
        <v>200000</v>
      </c>
      <c r="K66" s="446">
        <v>0.2</v>
      </c>
      <c r="L66" s="446">
        <f t="shared" si="1"/>
        <v>904532.00800000003</v>
      </c>
      <c r="M66" s="446">
        <f t="shared" si="2"/>
        <v>1104532.0079999999</v>
      </c>
      <c r="N66" s="446">
        <f t="shared" si="37"/>
        <v>1393458.9680000001</v>
      </c>
      <c r="O66" s="446">
        <f t="shared" si="38"/>
        <v>3418128.0320000001</v>
      </c>
      <c r="P66" s="446">
        <f t="shared" si="5"/>
        <v>21000</v>
      </c>
      <c r="Q66" s="446">
        <f t="shared" si="6"/>
        <v>33000</v>
      </c>
      <c r="R66" s="446">
        <f t="shared" si="7"/>
        <v>75000</v>
      </c>
      <c r="S66" s="446">
        <f t="shared" si="8"/>
        <v>95000</v>
      </c>
      <c r="T66" s="446">
        <f t="shared" si="9"/>
        <v>336000</v>
      </c>
      <c r="U66" s="446">
        <f t="shared" si="10"/>
        <v>52350.727680000004</v>
      </c>
      <c r="V66" s="446">
        <f t="shared" si="11"/>
        <v>612350.72768000001</v>
      </c>
      <c r="W66" s="453">
        <v>12</v>
      </c>
      <c r="X66" s="446">
        <f t="shared" si="12"/>
        <v>51029.227306666697</v>
      </c>
      <c r="Y66" s="449"/>
      <c r="Z66" s="457">
        <f t="shared" si="13"/>
        <v>51029.227306666697</v>
      </c>
      <c r="AA66" s="458">
        <v>33825.986562666702</v>
      </c>
      <c r="AB66" s="458">
        <f t="shared" si="40"/>
        <v>17203.240743999999</v>
      </c>
      <c r="AC66" s="458"/>
      <c r="AD66" s="458"/>
      <c r="AE66" s="458"/>
    </row>
    <row r="67" spans="1:31" ht="17.5">
      <c r="A67" s="443">
        <v>60</v>
      </c>
      <c r="B67" s="19"/>
      <c r="C67" s="446"/>
      <c r="D67" s="445"/>
      <c r="E67" s="446"/>
      <c r="F67" s="446"/>
      <c r="G67" s="449"/>
      <c r="H67" s="449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53"/>
      <c r="X67" s="446"/>
      <c r="Y67" s="449"/>
      <c r="Z67" s="457"/>
      <c r="AA67" s="458"/>
      <c r="AB67" s="458"/>
      <c r="AC67" s="458"/>
      <c r="AD67" s="458"/>
      <c r="AE67" s="458"/>
    </row>
    <row r="68" spans="1:31" ht="17.5">
      <c r="A68" s="443">
        <v>61</v>
      </c>
      <c r="B68" s="21"/>
      <c r="C68" s="446"/>
      <c r="D68" s="445"/>
      <c r="E68" s="446"/>
      <c r="F68" s="446"/>
      <c r="G68" s="449"/>
      <c r="H68" s="449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53"/>
      <c r="X68" s="446"/>
      <c r="Y68" s="449"/>
      <c r="Z68" s="457"/>
      <c r="AA68" s="458"/>
      <c r="AB68" s="458"/>
      <c r="AC68" s="458"/>
      <c r="AD68" s="458"/>
      <c r="AE68" s="458"/>
    </row>
    <row r="69" spans="1:31" ht="17.5">
      <c r="A69" s="443"/>
      <c r="B69" s="19" t="s">
        <v>51</v>
      </c>
      <c r="C69" s="446"/>
      <c r="D69" s="445"/>
      <c r="E69" s="446"/>
      <c r="F69" s="446"/>
      <c r="G69" s="449"/>
      <c r="H69" s="449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53"/>
      <c r="X69" s="446"/>
      <c r="Y69" s="449"/>
      <c r="Z69" s="457"/>
      <c r="AA69" s="458"/>
      <c r="AB69" s="458"/>
      <c r="AC69" s="458"/>
      <c r="AD69" s="458"/>
      <c r="AE69" s="458"/>
    </row>
    <row r="70" spans="1:31" ht="18">
      <c r="A70" s="443"/>
      <c r="B70" s="10" t="s">
        <v>338</v>
      </c>
      <c r="C70" s="446">
        <v>1635720</v>
      </c>
      <c r="D70" s="445">
        <v>12</v>
      </c>
      <c r="E70" s="446">
        <f>C70*D70</f>
        <v>19628640</v>
      </c>
      <c r="F70" s="446"/>
      <c r="G70" s="447">
        <v>1378291.2</v>
      </c>
      <c r="H70" s="449"/>
      <c r="I70" s="446">
        <f t="shared" ref="I70:I76" si="41">E70-F70-G70-H70</f>
        <v>18250348.800000001</v>
      </c>
      <c r="J70" s="446">
        <v>200000</v>
      </c>
      <c r="K70" s="446">
        <v>0.2</v>
      </c>
      <c r="L70" s="446">
        <f t="shared" ref="L70" si="42">I70*K70</f>
        <v>3650069.76</v>
      </c>
      <c r="M70" s="446">
        <f t="shared" ref="M70" si="43">J70+L70</f>
        <v>3850069.76</v>
      </c>
      <c r="N70" s="446">
        <f t="shared" ref="N70:N76" si="44">F70+G70+H70+M70</f>
        <v>5228360.96</v>
      </c>
      <c r="O70" s="446">
        <f t="shared" ref="O70:O76" si="45">E70-N70</f>
        <v>14400279.039999999</v>
      </c>
      <c r="P70" s="446">
        <f t="shared" ref="P70" si="46">IF(O70&lt;300000,0.07*O70,21000)</f>
        <v>21000</v>
      </c>
      <c r="Q70" s="446">
        <f t="shared" ref="Q70" si="47">IF((O70-300000)&lt;0,0,IF((O70-300000)&lt;300000,0.11*(O70-300000),33000))</f>
        <v>33000</v>
      </c>
      <c r="R70" s="446">
        <f t="shared" ref="R70" si="48">IF((O70-600000)&lt;0,0,IF((O70-600000)&lt;500000,0.15*(O70-600000),75000))</f>
        <v>75000</v>
      </c>
      <c r="S70" s="446">
        <f t="shared" ref="S70" si="49">IF((O70-1100000)&lt;0,0,IF((O70-1100000)&lt;500000,0.19*(O70-1100000),95000))</f>
        <v>95000</v>
      </c>
      <c r="T70" s="446">
        <f t="shared" ref="T70" si="50">IF((O70-1600000)&lt;0,0,IF((O70-1600000)&lt;1600000,0.21*(O70-1600000),336000))</f>
        <v>336000</v>
      </c>
      <c r="U70" s="446">
        <f t="shared" ref="U70" si="51">24%*(O70-3200000)</f>
        <v>2688066.9696</v>
      </c>
      <c r="V70" s="446">
        <f t="shared" ref="V70" si="52">P70+Q70+R70+S70+T70+U70</f>
        <v>3248066.9696</v>
      </c>
      <c r="W70" s="453">
        <v>12</v>
      </c>
      <c r="X70" s="446">
        <f t="shared" ref="X70" si="53">V70/W70</f>
        <v>270672.24746666697</v>
      </c>
      <c r="Y70" s="449"/>
      <c r="Z70" s="457">
        <f t="shared" ref="Z70" si="54">X70</f>
        <v>270672.24746666697</v>
      </c>
      <c r="AA70" s="458">
        <v>180306.806858667</v>
      </c>
      <c r="AB70" s="458">
        <f>Z70-AA70</f>
        <v>90365.440607999903</v>
      </c>
      <c r="AC70" s="458"/>
      <c r="AD70" s="458"/>
      <c r="AE70" s="458"/>
    </row>
    <row r="71" spans="1:31" ht="18">
      <c r="A71" s="443">
        <v>62</v>
      </c>
      <c r="B71" s="13" t="s">
        <v>220</v>
      </c>
      <c r="C71" s="446">
        <v>761396.83333333302</v>
      </c>
      <c r="D71" s="445">
        <v>12</v>
      </c>
      <c r="E71" s="446">
        <f t="shared" ref="E71:E76" si="55">C71*D71</f>
        <v>9136762</v>
      </c>
      <c r="F71" s="446"/>
      <c r="G71" s="447">
        <v>0</v>
      </c>
      <c r="H71" s="449"/>
      <c r="I71" s="446">
        <f t="shared" si="41"/>
        <v>9136762</v>
      </c>
      <c r="J71" s="446">
        <v>200000</v>
      </c>
      <c r="K71" s="446">
        <v>0.2</v>
      </c>
      <c r="L71" s="446">
        <f t="shared" si="1"/>
        <v>1827352.4</v>
      </c>
      <c r="M71" s="446">
        <f t="shared" si="2"/>
        <v>2027352.4</v>
      </c>
      <c r="N71" s="446">
        <f t="shared" si="44"/>
        <v>2027352.4</v>
      </c>
      <c r="O71" s="446">
        <f t="shared" si="45"/>
        <v>7109409.5999999996</v>
      </c>
      <c r="P71" s="446">
        <f t="shared" si="5"/>
        <v>21000</v>
      </c>
      <c r="Q71" s="446">
        <f t="shared" si="6"/>
        <v>33000</v>
      </c>
      <c r="R71" s="446">
        <f t="shared" si="7"/>
        <v>75000</v>
      </c>
      <c r="S71" s="446">
        <f t="shared" si="8"/>
        <v>95000</v>
      </c>
      <c r="T71" s="446">
        <f t="shared" si="9"/>
        <v>336000</v>
      </c>
      <c r="U71" s="446">
        <f t="shared" si="10"/>
        <v>938258.304</v>
      </c>
      <c r="V71" s="446">
        <f t="shared" si="11"/>
        <v>1498258.304</v>
      </c>
      <c r="W71" s="453">
        <v>12</v>
      </c>
      <c r="X71" s="446">
        <f t="shared" si="12"/>
        <v>124854.858666667</v>
      </c>
      <c r="Y71" s="449"/>
      <c r="Z71" s="457">
        <f t="shared" si="13"/>
        <v>124854.858666667</v>
      </c>
      <c r="AA71" s="458">
        <v>77764.980266666695</v>
      </c>
      <c r="AB71" s="458">
        <f t="shared" ref="AB71:AB76" si="56">Z71-AA71</f>
        <v>47089.878400000001</v>
      </c>
      <c r="AC71" s="458"/>
      <c r="AD71" s="458"/>
      <c r="AE71" s="458"/>
    </row>
    <row r="72" spans="1:31" ht="36">
      <c r="A72" s="443">
        <v>63</v>
      </c>
      <c r="B72" s="17" t="s">
        <v>223</v>
      </c>
      <c r="C72" s="446">
        <f>700675.583333333+80000</f>
        <v>780675.58333333302</v>
      </c>
      <c r="D72" s="445">
        <v>12</v>
      </c>
      <c r="E72" s="446">
        <f t="shared" si="55"/>
        <v>9368107</v>
      </c>
      <c r="F72" s="446"/>
      <c r="G72" s="447">
        <v>0</v>
      </c>
      <c r="H72" s="449"/>
      <c r="I72" s="446">
        <f t="shared" si="41"/>
        <v>9368107</v>
      </c>
      <c r="J72" s="446">
        <v>200000</v>
      </c>
      <c r="K72" s="446">
        <v>0.2</v>
      </c>
      <c r="L72" s="446">
        <f t="shared" si="1"/>
        <v>1873621.4</v>
      </c>
      <c r="M72" s="446">
        <f t="shared" si="2"/>
        <v>2073621.4</v>
      </c>
      <c r="N72" s="446">
        <f t="shared" si="44"/>
        <v>2073621.4</v>
      </c>
      <c r="O72" s="446">
        <f t="shared" si="45"/>
        <v>7294485.5999999996</v>
      </c>
      <c r="P72" s="446">
        <f t="shared" si="5"/>
        <v>21000</v>
      </c>
      <c r="Q72" s="446">
        <f t="shared" si="6"/>
        <v>33000</v>
      </c>
      <c r="R72" s="446">
        <f t="shared" si="7"/>
        <v>75000</v>
      </c>
      <c r="S72" s="446">
        <f t="shared" si="8"/>
        <v>95000</v>
      </c>
      <c r="T72" s="446">
        <f t="shared" si="9"/>
        <v>336000</v>
      </c>
      <c r="U72" s="446">
        <f t="shared" si="10"/>
        <v>982676.54399999895</v>
      </c>
      <c r="V72" s="446">
        <f t="shared" si="11"/>
        <v>1542676.544</v>
      </c>
      <c r="W72" s="453">
        <v>12</v>
      </c>
      <c r="X72" s="446">
        <f t="shared" si="12"/>
        <v>128556.37866666701</v>
      </c>
      <c r="Y72" s="449"/>
      <c r="Z72" s="457">
        <f t="shared" si="13"/>
        <v>128556.37866666701</v>
      </c>
      <c r="AA72" s="458">
        <v>64596.9391466667</v>
      </c>
      <c r="AB72" s="458">
        <f t="shared" si="56"/>
        <v>63959.439519999898</v>
      </c>
      <c r="AC72" s="458"/>
      <c r="AD72" s="458"/>
      <c r="AE72" s="458"/>
    </row>
    <row r="73" spans="1:31" ht="18">
      <c r="A73" s="443">
        <v>64</v>
      </c>
      <c r="B73" s="10" t="s">
        <v>340</v>
      </c>
      <c r="C73" s="446">
        <v>596622.25</v>
      </c>
      <c r="D73" s="445">
        <v>12</v>
      </c>
      <c r="E73" s="446">
        <f t="shared" si="55"/>
        <v>7159467</v>
      </c>
      <c r="F73" s="446">
        <f>'[5]JANUARY 2024'!$V$78*12</f>
        <v>8019.7950000000001</v>
      </c>
      <c r="G73" s="447">
        <v>438357.36</v>
      </c>
      <c r="H73" s="449"/>
      <c r="I73" s="446">
        <f t="shared" si="41"/>
        <v>6713089.8449999997</v>
      </c>
      <c r="J73" s="446">
        <v>200000</v>
      </c>
      <c r="K73" s="446">
        <v>0.2</v>
      </c>
      <c r="L73" s="446">
        <f t="shared" si="1"/>
        <v>1342617.969</v>
      </c>
      <c r="M73" s="446">
        <f t="shared" si="2"/>
        <v>1542617.969</v>
      </c>
      <c r="N73" s="446">
        <f t="shared" si="44"/>
        <v>1988995.1240000001</v>
      </c>
      <c r="O73" s="446">
        <f t="shared" si="45"/>
        <v>5170471.8760000002</v>
      </c>
      <c r="P73" s="446">
        <f t="shared" si="5"/>
        <v>21000</v>
      </c>
      <c r="Q73" s="446">
        <f t="shared" si="6"/>
        <v>33000</v>
      </c>
      <c r="R73" s="446">
        <f t="shared" si="7"/>
        <v>75000</v>
      </c>
      <c r="S73" s="446">
        <f t="shared" si="8"/>
        <v>95000</v>
      </c>
      <c r="T73" s="446">
        <f t="shared" si="9"/>
        <v>336000</v>
      </c>
      <c r="U73" s="446">
        <f t="shared" si="10"/>
        <v>472913.25024000002</v>
      </c>
      <c r="V73" s="446">
        <f t="shared" si="11"/>
        <v>1032913.25024</v>
      </c>
      <c r="W73" s="453">
        <v>12</v>
      </c>
      <c r="X73" s="446">
        <f t="shared" si="12"/>
        <v>86076.104186666693</v>
      </c>
      <c r="Y73" s="449"/>
      <c r="Z73" s="457">
        <f t="shared" si="13"/>
        <v>86076.104186666693</v>
      </c>
      <c r="AA73" s="458">
        <v>56350.586186666696</v>
      </c>
      <c r="AB73" s="458">
        <f t="shared" si="56"/>
        <v>29725.518</v>
      </c>
      <c r="AC73" s="458"/>
      <c r="AD73" s="458"/>
      <c r="AE73" s="458"/>
    </row>
    <row r="74" spans="1:31" ht="18">
      <c r="A74" s="443">
        <v>65</v>
      </c>
      <c r="B74" s="10" t="s">
        <v>343</v>
      </c>
      <c r="C74" s="446">
        <v>408901.5</v>
      </c>
      <c r="D74" s="445">
        <v>12</v>
      </c>
      <c r="E74" s="446">
        <f t="shared" si="55"/>
        <v>4906818</v>
      </c>
      <c r="F74" s="446"/>
      <c r="G74" s="447">
        <v>296545.44</v>
      </c>
      <c r="H74" s="449"/>
      <c r="I74" s="446">
        <f t="shared" si="41"/>
        <v>4610272.5599999996</v>
      </c>
      <c r="J74" s="446">
        <v>200000</v>
      </c>
      <c r="K74" s="446">
        <v>0.2</v>
      </c>
      <c r="L74" s="446">
        <f t="shared" si="1"/>
        <v>922054.51199999999</v>
      </c>
      <c r="M74" s="446">
        <f t="shared" si="2"/>
        <v>1122054.5120000001</v>
      </c>
      <c r="N74" s="446">
        <f t="shared" si="44"/>
        <v>1418599.952</v>
      </c>
      <c r="O74" s="446">
        <f t="shared" si="45"/>
        <v>3488218.048</v>
      </c>
      <c r="P74" s="446">
        <f t="shared" si="5"/>
        <v>21000</v>
      </c>
      <c r="Q74" s="446">
        <f t="shared" si="6"/>
        <v>33000</v>
      </c>
      <c r="R74" s="446">
        <f t="shared" si="7"/>
        <v>75000</v>
      </c>
      <c r="S74" s="446">
        <f t="shared" si="8"/>
        <v>95000</v>
      </c>
      <c r="T74" s="446">
        <f t="shared" si="9"/>
        <v>336000</v>
      </c>
      <c r="U74" s="446">
        <f>0.24*(O74-3200000)</f>
        <v>69172.331520000007</v>
      </c>
      <c r="V74" s="446">
        <f t="shared" si="11"/>
        <v>629172.33152000001</v>
      </c>
      <c r="W74" s="453">
        <v>12</v>
      </c>
      <c r="X74" s="446">
        <f t="shared" si="12"/>
        <v>52431.027626666699</v>
      </c>
      <c r="Y74" s="449"/>
      <c r="Z74" s="457">
        <f t="shared" si="13"/>
        <v>52431.027626666699</v>
      </c>
      <c r="AA74" s="458">
        <v>17507.548966666702</v>
      </c>
      <c r="AB74" s="458">
        <f t="shared" si="56"/>
        <v>34923.478660000001</v>
      </c>
      <c r="AC74" s="458"/>
      <c r="AD74" s="458"/>
      <c r="AE74" s="458"/>
    </row>
    <row r="75" spans="1:31" ht="24.75" customHeight="1">
      <c r="A75" s="443"/>
      <c r="B75" s="10" t="s">
        <v>346</v>
      </c>
      <c r="C75" s="446">
        <v>363165.33333333302</v>
      </c>
      <c r="D75" s="445">
        <v>12</v>
      </c>
      <c r="E75" s="446">
        <f t="shared" si="55"/>
        <v>4357984</v>
      </c>
      <c r="F75" s="446"/>
      <c r="G75" s="447">
        <v>252638.72</v>
      </c>
      <c r="H75" s="449"/>
      <c r="I75" s="446">
        <f t="shared" si="41"/>
        <v>4105345.28</v>
      </c>
      <c r="J75" s="446">
        <v>200000</v>
      </c>
      <c r="K75" s="446">
        <v>0.2</v>
      </c>
      <c r="L75" s="446">
        <f t="shared" si="1"/>
        <v>821069.05599999998</v>
      </c>
      <c r="M75" s="446">
        <f t="shared" si="2"/>
        <v>1021069.056</v>
      </c>
      <c r="N75" s="446">
        <f t="shared" si="44"/>
        <v>1273707.7760000001</v>
      </c>
      <c r="O75" s="446">
        <f t="shared" si="45"/>
        <v>3084276.2239999999</v>
      </c>
      <c r="P75" s="446">
        <f t="shared" si="5"/>
        <v>21000</v>
      </c>
      <c r="Q75" s="446">
        <f t="shared" si="6"/>
        <v>33000</v>
      </c>
      <c r="R75" s="446">
        <f t="shared" si="7"/>
        <v>75000</v>
      </c>
      <c r="S75" s="446">
        <f t="shared" si="8"/>
        <v>95000</v>
      </c>
      <c r="T75" s="446">
        <f t="shared" si="9"/>
        <v>311698.00704</v>
      </c>
      <c r="U75" s="446"/>
      <c r="V75" s="446">
        <f t="shared" si="11"/>
        <v>535698.00704000005</v>
      </c>
      <c r="W75" s="453">
        <v>12</v>
      </c>
      <c r="X75" s="446">
        <f t="shared" si="12"/>
        <v>44641.500586666698</v>
      </c>
      <c r="Y75" s="449"/>
      <c r="Z75" s="457">
        <f t="shared" si="13"/>
        <v>44641.500586666698</v>
      </c>
      <c r="AA75" s="458">
        <v>29058.4826046667</v>
      </c>
      <c r="AB75" s="458">
        <f t="shared" si="56"/>
        <v>15583.017981999999</v>
      </c>
      <c r="AC75" s="458"/>
      <c r="AD75" s="458"/>
      <c r="AE75" s="458"/>
    </row>
    <row r="76" spans="1:31" ht="18">
      <c r="A76" s="443"/>
      <c r="B76" s="10" t="s">
        <v>347</v>
      </c>
      <c r="C76" s="446">
        <v>324459.75</v>
      </c>
      <c r="D76" s="445">
        <v>12</v>
      </c>
      <c r="E76" s="446">
        <f t="shared" si="55"/>
        <v>3893517</v>
      </c>
      <c r="F76" s="446"/>
      <c r="G76" s="447">
        <v>215481.36</v>
      </c>
      <c r="H76" s="449"/>
      <c r="I76" s="446">
        <f t="shared" si="41"/>
        <v>3678035.64</v>
      </c>
      <c r="J76" s="446">
        <v>200000</v>
      </c>
      <c r="K76" s="446">
        <v>0.2</v>
      </c>
      <c r="L76" s="446">
        <f t="shared" ref="L76" si="57">I76*K76</f>
        <v>735607.12800000003</v>
      </c>
      <c r="M76" s="446">
        <f t="shared" ref="M76" si="58">J76+L76</f>
        <v>935607.12800000003</v>
      </c>
      <c r="N76" s="446">
        <f t="shared" si="44"/>
        <v>1151088.4879999999</v>
      </c>
      <c r="O76" s="446">
        <f t="shared" si="45"/>
        <v>2742428.5120000001</v>
      </c>
      <c r="P76" s="446">
        <f t="shared" ref="P76" si="59">IF(O76&lt;300000,0.07*O76,21000)</f>
        <v>21000</v>
      </c>
      <c r="Q76" s="446">
        <f t="shared" ref="Q76" si="60">IF((O76-300000)&lt;0,0,IF((O76-300000)&lt;300000,0.11*(O76-300000),33000))</f>
        <v>33000</v>
      </c>
      <c r="R76" s="446">
        <f t="shared" ref="R76" si="61">IF((O76-600000)&lt;0,0,IF((O76-600000)&lt;500000,0.15*(O76-600000),75000))</f>
        <v>75000</v>
      </c>
      <c r="S76" s="446">
        <f t="shared" ref="S76" si="62">IF((O76-1100000)&lt;0,0,IF((O76-1100000)&lt;500000,0.19*(O76-1100000),95000))</f>
        <v>95000</v>
      </c>
      <c r="T76" s="446">
        <f t="shared" ref="T76" si="63">IF((O76-1600000)&lt;0,0,IF((O76-1600000)&lt;1600000,0.21*(O76-1600000),336000))</f>
        <v>239909.98752</v>
      </c>
      <c r="U76" s="446"/>
      <c r="V76" s="446">
        <f t="shared" ref="V76" si="64">P76+Q76+R76+S76+T76+U76</f>
        <v>463909.98752000002</v>
      </c>
      <c r="W76" s="453">
        <v>12</v>
      </c>
      <c r="X76" s="446">
        <f t="shared" ref="X76" si="65">V76/W76</f>
        <v>38659.165626666698</v>
      </c>
      <c r="Y76" s="449"/>
      <c r="Z76" s="457">
        <f t="shared" ref="Z76" si="66">X76</f>
        <v>38659.165626666698</v>
      </c>
      <c r="AA76" s="458">
        <v>24751.170462666701</v>
      </c>
      <c r="AB76" s="458">
        <f t="shared" si="56"/>
        <v>13907.995164</v>
      </c>
      <c r="AC76" s="458"/>
      <c r="AD76" s="458"/>
      <c r="AE76" s="458"/>
    </row>
    <row r="77" spans="1:31" ht="17.5">
      <c r="A77" s="443"/>
      <c r="B77" s="19" t="s">
        <v>34</v>
      </c>
      <c r="C77" s="446"/>
      <c r="D77" s="445"/>
      <c r="E77" s="446"/>
      <c r="F77" s="446"/>
      <c r="G77" s="449"/>
      <c r="H77" s="449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53"/>
      <c r="X77" s="446"/>
      <c r="Y77" s="449"/>
      <c r="Z77" s="457"/>
      <c r="AA77" s="458"/>
      <c r="AB77" s="458"/>
      <c r="AC77" s="458"/>
      <c r="AD77" s="458"/>
      <c r="AE77" s="458"/>
    </row>
    <row r="78" spans="1:31" ht="17.5">
      <c r="A78" s="443">
        <v>66</v>
      </c>
      <c r="B78" s="19"/>
      <c r="C78" s="446"/>
      <c r="D78" s="445"/>
      <c r="E78" s="446"/>
      <c r="F78" s="446"/>
      <c r="G78" s="449"/>
      <c r="H78" s="449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53"/>
      <c r="X78" s="446"/>
      <c r="Y78" s="449"/>
      <c r="Z78" s="457"/>
      <c r="AA78" s="458"/>
      <c r="AB78" s="458"/>
      <c r="AC78" s="458"/>
      <c r="AD78" s="458"/>
      <c r="AE78" s="458"/>
    </row>
    <row r="79" spans="1:31" ht="35">
      <c r="A79" s="443">
        <v>67</v>
      </c>
      <c r="B79" s="19" t="s">
        <v>56</v>
      </c>
      <c r="C79" s="446"/>
      <c r="Z79" s="460"/>
      <c r="AB79" s="274" t="s">
        <v>522</v>
      </c>
      <c r="AC79" s="458"/>
      <c r="AD79" s="458"/>
      <c r="AE79" s="458"/>
    </row>
    <row r="80" spans="1:31" ht="18">
      <c r="A80" s="443">
        <v>68</v>
      </c>
      <c r="B80" s="10" t="s">
        <v>349</v>
      </c>
      <c r="C80" s="446">
        <v>880675.58333333302</v>
      </c>
      <c r="D80" s="445">
        <v>12</v>
      </c>
      <c r="E80" s="446">
        <f>C80*D80</f>
        <v>10568107</v>
      </c>
      <c r="F80" s="446"/>
      <c r="G80" s="447">
        <v>595848.56000000006</v>
      </c>
      <c r="H80" s="449"/>
      <c r="I80" s="446">
        <f t="shared" ref="I80:I89" si="67">E80-F80-G80-H80</f>
        <v>9972258.4399999995</v>
      </c>
      <c r="J80" s="446">
        <v>200000</v>
      </c>
      <c r="K80" s="446">
        <v>0.2</v>
      </c>
      <c r="L80" s="446">
        <f t="shared" ref="L80:L89" si="68">I80*K80</f>
        <v>1994451.6880000001</v>
      </c>
      <c r="M80" s="446">
        <f t="shared" ref="M80:M89" si="69">J80+L80</f>
        <v>2194451.6880000001</v>
      </c>
      <c r="N80" s="446">
        <f t="shared" ref="N80:N89" si="70">F80+G80+H80+M80</f>
        <v>2790300.2480000001</v>
      </c>
      <c r="O80" s="446">
        <f t="shared" ref="O80:O89" si="71">E80-N80</f>
        <v>7777806.7520000003</v>
      </c>
      <c r="P80" s="446">
        <f t="shared" ref="P80:P89" si="72">IF(O80&lt;300000,0.07*O80,21000)</f>
        <v>21000</v>
      </c>
      <c r="Q80" s="446">
        <f t="shared" ref="Q80:Q89" si="73">IF((O80-300000)&lt;0,0,IF((O80-300000)&lt;300000,0.11*(O80-300000),33000))</f>
        <v>33000</v>
      </c>
      <c r="R80" s="446">
        <f t="shared" ref="R80:R89" si="74">IF((O80-600000)&lt;0,0,IF((O80-600000)&lt;500000,0.15*(O80-600000),75000))</f>
        <v>75000</v>
      </c>
      <c r="S80" s="446">
        <f t="shared" ref="S80:S89" si="75">IF((O80-1100000)&lt;0,0,IF((O80-1100000)&lt;500000,0.19*(O80-1100000),95000))</f>
        <v>95000</v>
      </c>
      <c r="T80" s="446">
        <f t="shared" ref="T80:T89" si="76">IF((O80-1600000)&lt;0,0,IF((O80-1600000)&lt;1600000,0.21*(O80-1600000),336000))</f>
        <v>336000</v>
      </c>
      <c r="U80" s="446">
        <f t="shared" ref="U80:U88" si="77">24%*(O80-3200000)</f>
        <v>1098673.62048</v>
      </c>
      <c r="V80" s="446">
        <f t="shared" ref="V80:V89" si="78">P80+Q80+R80+S80+T80+U80</f>
        <v>1658673.62048</v>
      </c>
      <c r="W80" s="453">
        <v>12</v>
      </c>
      <c r="X80" s="446">
        <f t="shared" ref="X80:X89" si="79">V80/W80</f>
        <v>138222.801706667</v>
      </c>
      <c r="Y80" s="449"/>
      <c r="Z80" s="457">
        <f t="shared" ref="Z80:Z89" si="80">X80</f>
        <v>138222.801706667</v>
      </c>
      <c r="AA80" s="446">
        <v>99156.9391466667</v>
      </c>
      <c r="AB80" s="458">
        <f>Z80-AA80</f>
        <v>39065.862560000001</v>
      </c>
      <c r="AC80" s="458" t="s">
        <v>349</v>
      </c>
      <c r="AD80" s="458"/>
      <c r="AE80" s="458"/>
    </row>
    <row r="81" spans="1:31" ht="18">
      <c r="A81" s="443">
        <v>69</v>
      </c>
      <c r="B81" s="10" t="s">
        <v>350</v>
      </c>
      <c r="C81" s="446">
        <v>780675.58333333302</v>
      </c>
      <c r="D81" s="445">
        <v>12</v>
      </c>
      <c r="E81" s="446">
        <f t="shared" ref="E81:E87" si="81">C81*D81</f>
        <v>9368107</v>
      </c>
      <c r="F81" s="446">
        <f>'[5]JANUARY 2024'!$V$86*12</f>
        <v>10052.25</v>
      </c>
      <c r="G81" s="447">
        <v>595848.56000000006</v>
      </c>
      <c r="H81" s="449"/>
      <c r="I81" s="446">
        <f t="shared" si="67"/>
        <v>8762206.1899999995</v>
      </c>
      <c r="J81" s="446">
        <v>200000</v>
      </c>
      <c r="K81" s="446">
        <v>0.2</v>
      </c>
      <c r="L81" s="446">
        <f t="shared" si="68"/>
        <v>1752441.2379999999</v>
      </c>
      <c r="M81" s="446">
        <f t="shared" si="69"/>
        <v>1952441.2379999999</v>
      </c>
      <c r="N81" s="446">
        <f t="shared" si="70"/>
        <v>2558342.048</v>
      </c>
      <c r="O81" s="446">
        <f t="shared" si="71"/>
        <v>6809764.9519999996</v>
      </c>
      <c r="P81" s="446">
        <f t="shared" si="72"/>
        <v>21000</v>
      </c>
      <c r="Q81" s="446">
        <f t="shared" si="73"/>
        <v>33000</v>
      </c>
      <c r="R81" s="446">
        <f t="shared" si="74"/>
        <v>75000</v>
      </c>
      <c r="S81" s="446">
        <f t="shared" si="75"/>
        <v>95000</v>
      </c>
      <c r="T81" s="446">
        <f t="shared" si="76"/>
        <v>336000</v>
      </c>
      <c r="U81" s="446">
        <f t="shared" si="77"/>
        <v>866343.58848000003</v>
      </c>
      <c r="V81" s="446">
        <f t="shared" si="78"/>
        <v>1426343.5884799999</v>
      </c>
      <c r="W81" s="453">
        <v>12</v>
      </c>
      <c r="X81" s="446">
        <f t="shared" si="79"/>
        <v>118861.965706667</v>
      </c>
      <c r="Y81" s="449"/>
      <c r="Z81" s="457">
        <f t="shared" si="80"/>
        <v>118861.965706667</v>
      </c>
      <c r="AA81" s="446">
        <v>98996.103146666705</v>
      </c>
      <c r="AB81" s="458">
        <f t="shared" ref="AB81:AB87" si="82">Z81-AA81</f>
        <v>19865.862560000001</v>
      </c>
      <c r="AC81" s="458" t="s">
        <v>350</v>
      </c>
      <c r="AD81" s="458"/>
      <c r="AE81" s="458"/>
    </row>
    <row r="82" spans="1:31" ht="36">
      <c r="A82" s="443">
        <v>70</v>
      </c>
      <c r="B82" s="10" t="s">
        <v>351</v>
      </c>
      <c r="C82" s="446">
        <v>742118.08333333302</v>
      </c>
      <c r="D82" s="445">
        <v>12</v>
      </c>
      <c r="E82" s="446">
        <f t="shared" si="81"/>
        <v>8905417</v>
      </c>
      <c r="F82" s="446"/>
      <c r="G82" s="447">
        <v>558833.36</v>
      </c>
      <c r="H82" s="449"/>
      <c r="I82" s="446">
        <f t="shared" si="67"/>
        <v>8346583.6399999997</v>
      </c>
      <c r="J82" s="446">
        <v>200000</v>
      </c>
      <c r="K82" s="446">
        <v>0.2</v>
      </c>
      <c r="L82" s="446">
        <f t="shared" si="68"/>
        <v>1669316.7279999999</v>
      </c>
      <c r="M82" s="446">
        <f t="shared" si="69"/>
        <v>1869316.7279999999</v>
      </c>
      <c r="N82" s="446">
        <f t="shared" si="70"/>
        <v>2428150.088</v>
      </c>
      <c r="O82" s="446">
        <f t="shared" si="71"/>
        <v>6477266.9119999995</v>
      </c>
      <c r="P82" s="446">
        <f t="shared" si="72"/>
        <v>21000</v>
      </c>
      <c r="Q82" s="446">
        <f t="shared" si="73"/>
        <v>33000</v>
      </c>
      <c r="R82" s="446">
        <f t="shared" si="74"/>
        <v>75000</v>
      </c>
      <c r="S82" s="446">
        <f t="shared" si="75"/>
        <v>95000</v>
      </c>
      <c r="T82" s="446">
        <f t="shared" si="76"/>
        <v>336000</v>
      </c>
      <c r="U82" s="446">
        <f t="shared" si="77"/>
        <v>786544.05888000003</v>
      </c>
      <c r="V82" s="446">
        <f t="shared" si="78"/>
        <v>1346544.0588799999</v>
      </c>
      <c r="W82" s="453">
        <v>12</v>
      </c>
      <c r="X82" s="446">
        <f t="shared" si="79"/>
        <v>112212.004906667</v>
      </c>
      <c r="Y82" s="449"/>
      <c r="Z82" s="457">
        <f t="shared" si="80"/>
        <v>112212.004906667</v>
      </c>
      <c r="AA82" s="446">
        <v>79956.9391466667</v>
      </c>
      <c r="AB82" s="458">
        <f t="shared" si="82"/>
        <v>32255.065760000001</v>
      </c>
      <c r="AC82" s="458" t="s">
        <v>351</v>
      </c>
      <c r="AD82" s="458"/>
      <c r="AE82" s="458"/>
    </row>
    <row r="83" spans="1:31" ht="18">
      <c r="A83" s="443">
        <v>71</v>
      </c>
      <c r="B83" s="10" t="s">
        <v>352</v>
      </c>
      <c r="C83" s="446">
        <v>561804.91666666698</v>
      </c>
      <c r="D83" s="445">
        <v>12</v>
      </c>
      <c r="E83" s="446">
        <f t="shared" si="81"/>
        <v>6741659</v>
      </c>
      <c r="F83" s="446"/>
      <c r="G83" s="447">
        <v>424132.72</v>
      </c>
      <c r="H83" s="449"/>
      <c r="I83" s="446">
        <f t="shared" si="67"/>
        <v>6317526.2800000003</v>
      </c>
      <c r="J83" s="446">
        <v>200000</v>
      </c>
      <c r="K83" s="446">
        <v>0.2</v>
      </c>
      <c r="L83" s="446">
        <f t="shared" si="68"/>
        <v>1263505.2560000001</v>
      </c>
      <c r="M83" s="446">
        <f t="shared" si="69"/>
        <v>1463505.2560000001</v>
      </c>
      <c r="N83" s="446">
        <f t="shared" si="70"/>
        <v>1887637.976</v>
      </c>
      <c r="O83" s="446">
        <f t="shared" si="71"/>
        <v>4854021.0240000002</v>
      </c>
      <c r="P83" s="446">
        <f t="shared" si="72"/>
        <v>21000</v>
      </c>
      <c r="Q83" s="446">
        <f t="shared" si="73"/>
        <v>33000</v>
      </c>
      <c r="R83" s="446">
        <f t="shared" si="74"/>
        <v>75000</v>
      </c>
      <c r="S83" s="446">
        <f t="shared" si="75"/>
        <v>95000</v>
      </c>
      <c r="T83" s="446">
        <f t="shared" si="76"/>
        <v>336000</v>
      </c>
      <c r="U83" s="446">
        <f t="shared" si="77"/>
        <v>396965.04576000001</v>
      </c>
      <c r="V83" s="446">
        <f t="shared" si="78"/>
        <v>956965.04576000001</v>
      </c>
      <c r="W83" s="453">
        <v>12</v>
      </c>
      <c r="X83" s="446">
        <f t="shared" si="79"/>
        <v>79747.087146666701</v>
      </c>
      <c r="Y83" s="449"/>
      <c r="Z83" s="457">
        <f t="shared" si="80"/>
        <v>79747.087146666701</v>
      </c>
      <c r="AA83" s="446">
        <v>75574.677290666703</v>
      </c>
      <c r="AB83" s="458">
        <f t="shared" si="82"/>
        <v>4172.4098559999802</v>
      </c>
      <c r="AC83" s="458" t="s">
        <v>352</v>
      </c>
      <c r="AD83" s="458"/>
      <c r="AE83" s="458"/>
    </row>
    <row r="84" spans="1:31" ht="18">
      <c r="A84" s="443">
        <v>72</v>
      </c>
      <c r="B84" s="10" t="s">
        <v>354</v>
      </c>
      <c r="C84" s="446">
        <v>548915.91666666698</v>
      </c>
      <c r="D84" s="445">
        <v>12</v>
      </c>
      <c r="E84" s="446">
        <f t="shared" si="81"/>
        <v>6586991</v>
      </c>
      <c r="F84" s="446"/>
      <c r="G84" s="447">
        <v>411759.28</v>
      </c>
      <c r="H84" s="449"/>
      <c r="I84" s="446">
        <f t="shared" si="67"/>
        <v>6175231.7199999997</v>
      </c>
      <c r="J84" s="446">
        <v>200000</v>
      </c>
      <c r="K84" s="446">
        <v>0.2</v>
      </c>
      <c r="L84" s="446">
        <f t="shared" si="68"/>
        <v>1235046.344</v>
      </c>
      <c r="M84" s="446">
        <f t="shared" si="69"/>
        <v>1435046.344</v>
      </c>
      <c r="N84" s="446">
        <f t="shared" si="70"/>
        <v>1846805.6240000001</v>
      </c>
      <c r="O84" s="446">
        <f t="shared" si="71"/>
        <v>4740185.3760000002</v>
      </c>
      <c r="P84" s="446">
        <f t="shared" si="72"/>
        <v>21000</v>
      </c>
      <c r="Q84" s="446">
        <f t="shared" si="73"/>
        <v>33000</v>
      </c>
      <c r="R84" s="446">
        <f t="shared" si="74"/>
        <v>75000</v>
      </c>
      <c r="S84" s="446">
        <f t="shared" si="75"/>
        <v>95000</v>
      </c>
      <c r="T84" s="446">
        <f t="shared" si="76"/>
        <v>336000</v>
      </c>
      <c r="U84" s="446">
        <f t="shared" si="77"/>
        <v>369644.49024000001</v>
      </c>
      <c r="V84" s="446">
        <f t="shared" si="78"/>
        <v>929644.49023999996</v>
      </c>
      <c r="W84" s="453">
        <v>12</v>
      </c>
      <c r="X84" s="446">
        <f t="shared" si="79"/>
        <v>77470.374186666697</v>
      </c>
      <c r="Y84" s="449"/>
      <c r="Z84" s="457">
        <f t="shared" si="80"/>
        <v>77470.374186666697</v>
      </c>
      <c r="AA84" s="446">
        <v>50985.977546666698</v>
      </c>
      <c r="AB84" s="458">
        <f t="shared" si="82"/>
        <v>26484.396639999999</v>
      </c>
      <c r="AC84" s="458" t="s">
        <v>354</v>
      </c>
      <c r="AD84" s="458"/>
      <c r="AE84" s="458"/>
    </row>
    <row r="85" spans="1:31" ht="36">
      <c r="A85" s="443">
        <v>73</v>
      </c>
      <c r="B85" s="10" t="s">
        <v>355</v>
      </c>
      <c r="C85" s="446">
        <v>568870.75</v>
      </c>
      <c r="D85" s="445">
        <v>12</v>
      </c>
      <c r="E85" s="446">
        <f t="shared" si="81"/>
        <v>6826449</v>
      </c>
      <c r="F85" s="446"/>
      <c r="G85" s="447">
        <v>411715.92</v>
      </c>
      <c r="H85" s="449"/>
      <c r="I85" s="446">
        <f t="shared" si="67"/>
        <v>6414733.0800000001</v>
      </c>
      <c r="J85" s="446">
        <v>200000</v>
      </c>
      <c r="K85" s="446">
        <v>0.2</v>
      </c>
      <c r="L85" s="446">
        <f t="shared" si="68"/>
        <v>1282946.6159999999</v>
      </c>
      <c r="M85" s="446">
        <f t="shared" si="69"/>
        <v>1482946.6159999999</v>
      </c>
      <c r="N85" s="446">
        <f t="shared" si="70"/>
        <v>1894662.5360000001</v>
      </c>
      <c r="O85" s="446">
        <f t="shared" si="71"/>
        <v>4931786.4639999997</v>
      </c>
      <c r="P85" s="446">
        <f t="shared" si="72"/>
        <v>21000</v>
      </c>
      <c r="Q85" s="446">
        <f t="shared" si="73"/>
        <v>33000</v>
      </c>
      <c r="R85" s="446">
        <f t="shared" si="74"/>
        <v>75000</v>
      </c>
      <c r="S85" s="446">
        <f t="shared" si="75"/>
        <v>95000</v>
      </c>
      <c r="T85" s="446">
        <f t="shared" si="76"/>
        <v>336000</v>
      </c>
      <c r="U85" s="446">
        <f t="shared" si="77"/>
        <v>415628.75135999999</v>
      </c>
      <c r="V85" s="446">
        <f t="shared" si="78"/>
        <v>975628.75135999999</v>
      </c>
      <c r="W85" s="453">
        <v>12</v>
      </c>
      <c r="X85" s="446">
        <f t="shared" si="79"/>
        <v>81302.3959466667</v>
      </c>
      <c r="Y85" s="449"/>
      <c r="Z85" s="446">
        <f t="shared" si="80"/>
        <v>81302.3959466667</v>
      </c>
      <c r="AA85" s="457">
        <v>49548.776186666699</v>
      </c>
      <c r="AB85" s="458">
        <f t="shared" si="82"/>
        <v>31753.619760000001</v>
      </c>
      <c r="AC85" s="458" t="s">
        <v>355</v>
      </c>
      <c r="AD85" s="458"/>
      <c r="AE85" s="458"/>
    </row>
    <row r="86" spans="1:31" ht="18">
      <c r="A86" s="443">
        <v>74</v>
      </c>
      <c r="B86" s="10" t="s">
        <v>357</v>
      </c>
      <c r="C86" s="446">
        <v>475703.83333333302</v>
      </c>
      <c r="D86" s="445">
        <v>12</v>
      </c>
      <c r="E86" s="446">
        <f t="shared" si="81"/>
        <v>5708446</v>
      </c>
      <c r="F86" s="446"/>
      <c r="G86" s="452">
        <f>29256.3066666667*12</f>
        <v>351075.68</v>
      </c>
      <c r="H86" s="449"/>
      <c r="I86" s="446">
        <f t="shared" si="67"/>
        <v>5357370.32</v>
      </c>
      <c r="J86" s="446">
        <v>200000</v>
      </c>
      <c r="K86" s="446">
        <v>0.2</v>
      </c>
      <c r="L86" s="446">
        <f t="shared" si="68"/>
        <v>1071474.064</v>
      </c>
      <c r="M86" s="446">
        <f t="shared" si="69"/>
        <v>1271474.064</v>
      </c>
      <c r="N86" s="446">
        <f t="shared" si="70"/>
        <v>1622549.7439999999</v>
      </c>
      <c r="O86" s="446">
        <f t="shared" si="71"/>
        <v>4085896.2560000001</v>
      </c>
      <c r="P86" s="446">
        <f t="shared" si="72"/>
        <v>21000</v>
      </c>
      <c r="Q86" s="446">
        <f t="shared" si="73"/>
        <v>33000</v>
      </c>
      <c r="R86" s="446">
        <f t="shared" si="74"/>
        <v>75000</v>
      </c>
      <c r="S86" s="446">
        <f t="shared" si="75"/>
        <v>95000</v>
      </c>
      <c r="T86" s="446">
        <f t="shared" si="76"/>
        <v>336000</v>
      </c>
      <c r="U86" s="446">
        <f t="shared" si="77"/>
        <v>212615.10144</v>
      </c>
      <c r="V86" s="446">
        <f t="shared" si="78"/>
        <v>772615.10144</v>
      </c>
      <c r="W86" s="453">
        <v>12</v>
      </c>
      <c r="X86" s="446">
        <f t="shared" si="79"/>
        <v>64384.591786666701</v>
      </c>
      <c r="Y86" s="449"/>
      <c r="Z86" s="457">
        <f t="shared" si="80"/>
        <v>64384.591786666701</v>
      </c>
      <c r="AA86" s="446">
        <v>53384.053562666697</v>
      </c>
      <c r="AB86" s="458">
        <f t="shared" si="82"/>
        <v>11000.538224</v>
      </c>
      <c r="AC86" s="458" t="s">
        <v>357</v>
      </c>
      <c r="AD86" s="458"/>
      <c r="AE86" s="458"/>
    </row>
    <row r="87" spans="1:31" ht="24" customHeight="1">
      <c r="A87" s="443">
        <v>75</v>
      </c>
      <c r="B87" s="10" t="s">
        <v>358</v>
      </c>
      <c r="C87" s="446">
        <v>510248.91666666698</v>
      </c>
      <c r="D87" s="445">
        <v>12</v>
      </c>
      <c r="E87" s="446">
        <f t="shared" si="81"/>
        <v>6122987</v>
      </c>
      <c r="F87" s="446">
        <f>'[5]JANUARY 2024'!$V$92*12</f>
        <v>6922.4970000000003</v>
      </c>
      <c r="G87" s="447">
        <v>374638.96</v>
      </c>
      <c r="H87" s="449"/>
      <c r="I87" s="446">
        <f t="shared" si="67"/>
        <v>5741425.5429999996</v>
      </c>
      <c r="J87" s="446">
        <v>200000</v>
      </c>
      <c r="K87" s="446">
        <v>0.2</v>
      </c>
      <c r="L87" s="446">
        <f t="shared" si="68"/>
        <v>1148285.1085999999</v>
      </c>
      <c r="M87" s="446">
        <f t="shared" si="69"/>
        <v>1348285.1085999999</v>
      </c>
      <c r="N87" s="446">
        <f t="shared" si="70"/>
        <v>1729846.5656000001</v>
      </c>
      <c r="O87" s="446">
        <f t="shared" si="71"/>
        <v>4393140.4343999997</v>
      </c>
      <c r="P87" s="446">
        <f t="shared" si="72"/>
        <v>21000</v>
      </c>
      <c r="Q87" s="446">
        <f t="shared" si="73"/>
        <v>33000</v>
      </c>
      <c r="R87" s="446">
        <f t="shared" si="74"/>
        <v>75000</v>
      </c>
      <c r="S87" s="446">
        <f t="shared" si="75"/>
        <v>95000</v>
      </c>
      <c r="T87" s="446">
        <f t="shared" si="76"/>
        <v>336000</v>
      </c>
      <c r="U87" s="446">
        <f t="shared" si="77"/>
        <v>286353.704256</v>
      </c>
      <c r="V87" s="446">
        <f t="shared" si="78"/>
        <v>846353.704256</v>
      </c>
      <c r="W87" s="453">
        <v>12</v>
      </c>
      <c r="X87" s="446">
        <f t="shared" si="79"/>
        <v>70529.475354666705</v>
      </c>
      <c r="Y87" s="449"/>
      <c r="Z87" s="446">
        <f t="shared" si="80"/>
        <v>70529.475354666705</v>
      </c>
      <c r="AA87" s="461">
        <v>41242.0361406667</v>
      </c>
      <c r="AB87" s="458">
        <f t="shared" si="82"/>
        <v>29287.439214000002</v>
      </c>
      <c r="AC87" s="458" t="s">
        <v>358</v>
      </c>
      <c r="AD87" s="458"/>
      <c r="AE87" s="458"/>
    </row>
    <row r="88" spans="1:31" ht="18">
      <c r="A88" s="443">
        <v>76</v>
      </c>
      <c r="B88" s="10" t="s">
        <v>359</v>
      </c>
      <c r="C88" s="446">
        <v>400965.58333333302</v>
      </c>
      <c r="D88" s="445">
        <v>12</v>
      </c>
      <c r="E88" s="446">
        <f t="shared" ref="E88:E89" si="83">C88*D88</f>
        <v>4811587</v>
      </c>
      <c r="F88" s="446"/>
      <c r="G88" s="447">
        <v>288926.96000000002</v>
      </c>
      <c r="H88" s="449"/>
      <c r="I88" s="446">
        <f t="shared" si="67"/>
        <v>4522660.04</v>
      </c>
      <c r="J88" s="446">
        <v>200000</v>
      </c>
      <c r="K88" s="446">
        <v>0.2</v>
      </c>
      <c r="L88" s="446">
        <f t="shared" si="68"/>
        <v>904532.00800000003</v>
      </c>
      <c r="M88" s="446">
        <f t="shared" si="69"/>
        <v>1104532.0079999999</v>
      </c>
      <c r="N88" s="446">
        <f t="shared" si="70"/>
        <v>1393458.9680000001</v>
      </c>
      <c r="O88" s="446">
        <f t="shared" si="71"/>
        <v>3418128.0320000001</v>
      </c>
      <c r="P88" s="446">
        <f t="shared" si="72"/>
        <v>21000</v>
      </c>
      <c r="Q88" s="446">
        <f t="shared" si="73"/>
        <v>33000</v>
      </c>
      <c r="R88" s="446">
        <f t="shared" si="74"/>
        <v>75000</v>
      </c>
      <c r="S88" s="446">
        <f t="shared" si="75"/>
        <v>95000</v>
      </c>
      <c r="T88" s="446">
        <f t="shared" si="76"/>
        <v>336000</v>
      </c>
      <c r="U88" s="446">
        <f t="shared" si="77"/>
        <v>52350.727680000004</v>
      </c>
      <c r="V88" s="446">
        <f t="shared" si="78"/>
        <v>612350.72768000001</v>
      </c>
      <c r="W88" s="453">
        <v>12</v>
      </c>
      <c r="X88" s="446">
        <f t="shared" si="79"/>
        <v>51029.227306666697</v>
      </c>
      <c r="Y88" s="449"/>
      <c r="Z88" s="457">
        <f t="shared" si="80"/>
        <v>51029.227306666697</v>
      </c>
      <c r="AA88" s="446">
        <v>45414.4562526667</v>
      </c>
      <c r="AB88" s="458">
        <f t="shared" ref="AB88:AB89" si="84">Z88-AA88</f>
        <v>5614.7710539999998</v>
      </c>
      <c r="AC88" s="458" t="s">
        <v>359</v>
      </c>
      <c r="AD88" s="458"/>
      <c r="AE88" s="458"/>
    </row>
    <row r="89" spans="1:31" ht="18">
      <c r="A89" s="443"/>
      <c r="B89" s="10" t="s">
        <v>361</v>
      </c>
      <c r="C89" s="446">
        <v>330631.91666666698</v>
      </c>
      <c r="D89" s="445">
        <v>12</v>
      </c>
      <c r="E89" s="446">
        <f t="shared" si="83"/>
        <v>3967583</v>
      </c>
      <c r="F89" s="446"/>
      <c r="G89" s="447">
        <v>221406.64</v>
      </c>
      <c r="H89" s="449"/>
      <c r="I89" s="446">
        <f t="shared" si="67"/>
        <v>3746176.36</v>
      </c>
      <c r="J89" s="446">
        <v>200000</v>
      </c>
      <c r="K89" s="446">
        <v>0.2</v>
      </c>
      <c r="L89" s="446">
        <f t="shared" si="68"/>
        <v>749235.272</v>
      </c>
      <c r="M89" s="446">
        <f t="shared" si="69"/>
        <v>949235.272</v>
      </c>
      <c r="N89" s="446">
        <f t="shared" si="70"/>
        <v>1170641.912</v>
      </c>
      <c r="O89" s="446">
        <f t="shared" si="71"/>
        <v>2796941.088</v>
      </c>
      <c r="P89" s="446">
        <f t="shared" si="72"/>
        <v>21000</v>
      </c>
      <c r="Q89" s="446">
        <f t="shared" si="73"/>
        <v>33000</v>
      </c>
      <c r="R89" s="446">
        <f t="shared" si="74"/>
        <v>75000</v>
      </c>
      <c r="S89" s="446">
        <f t="shared" si="75"/>
        <v>95000</v>
      </c>
      <c r="T89" s="446">
        <f t="shared" si="76"/>
        <v>251357.62848000001</v>
      </c>
      <c r="U89" s="446"/>
      <c r="V89" s="446">
        <f t="shared" si="78"/>
        <v>475357.62848000001</v>
      </c>
      <c r="W89" s="453">
        <v>12</v>
      </c>
      <c r="X89" s="446">
        <f t="shared" si="79"/>
        <v>39613.135706666697</v>
      </c>
      <c r="Y89" s="449"/>
      <c r="Z89" s="457">
        <f t="shared" si="80"/>
        <v>39613.135706666697</v>
      </c>
      <c r="AA89" s="446">
        <v>33825.986562666702</v>
      </c>
      <c r="AB89" s="458">
        <f t="shared" si="84"/>
        <v>5787.149144</v>
      </c>
      <c r="AC89" s="458" t="s">
        <v>361</v>
      </c>
      <c r="AD89" s="458"/>
      <c r="AE89" s="458"/>
    </row>
    <row r="90" spans="1:31" ht="17.5">
      <c r="A90" s="443"/>
      <c r="B90" s="19"/>
      <c r="C90" s="446"/>
      <c r="D90" s="445"/>
      <c r="E90" s="446"/>
      <c r="F90" s="446"/>
      <c r="G90" s="449"/>
      <c r="H90" s="449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53"/>
      <c r="X90" s="446"/>
      <c r="Y90" s="449"/>
      <c r="Z90" s="457"/>
      <c r="AA90" s="458"/>
      <c r="AB90" s="458"/>
      <c r="AC90" s="458"/>
      <c r="AD90" s="458"/>
      <c r="AE90" s="458"/>
    </row>
    <row r="91" spans="1:31" ht="17.5">
      <c r="A91" s="443"/>
      <c r="B91" s="21"/>
      <c r="C91" s="446"/>
      <c r="D91" s="445"/>
      <c r="E91" s="446"/>
      <c r="F91" s="446"/>
      <c r="G91" s="449"/>
      <c r="H91" s="449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53"/>
      <c r="X91" s="446"/>
      <c r="Y91" s="449"/>
      <c r="Z91" s="457"/>
      <c r="AA91" s="458"/>
      <c r="AB91" s="458"/>
      <c r="AC91" s="458"/>
      <c r="AD91" s="458"/>
      <c r="AE91" s="458"/>
    </row>
    <row r="92" spans="1:31" ht="17.5">
      <c r="A92" s="443">
        <v>78</v>
      </c>
      <c r="B92" s="19" t="s">
        <v>58</v>
      </c>
      <c r="C92" s="446"/>
      <c r="Z92" s="460"/>
      <c r="AC92" s="458"/>
      <c r="AD92" s="458"/>
      <c r="AE92" s="458"/>
    </row>
    <row r="93" spans="1:31" ht="36">
      <c r="A93" s="443">
        <v>79</v>
      </c>
      <c r="B93" s="13" t="s">
        <v>363</v>
      </c>
      <c r="C93" s="446">
        <v>852373.16666666698</v>
      </c>
      <c r="D93" s="445">
        <v>12</v>
      </c>
      <c r="E93" s="446">
        <f>C93*D93</f>
        <v>10228478</v>
      </c>
      <c r="F93" s="446">
        <f>'[5]JANUARY 2024'!$V$98*12</f>
        <v>12795.950999999999</v>
      </c>
      <c r="G93" s="447">
        <v>731878.24</v>
      </c>
      <c r="H93" s="449"/>
      <c r="I93" s="446">
        <f>E93-F93-G93-H93</f>
        <v>9483803.8090000004</v>
      </c>
      <c r="J93" s="446">
        <v>200000</v>
      </c>
      <c r="K93" s="446">
        <v>0.2</v>
      </c>
      <c r="L93" s="446">
        <f>I93*K93</f>
        <v>1896760.7618</v>
      </c>
      <c r="M93" s="446">
        <f>J93+L93</f>
        <v>2096760.7618</v>
      </c>
      <c r="N93" s="446">
        <f>F93+G93+H93+M93</f>
        <v>2841434.9528000001</v>
      </c>
      <c r="O93" s="446">
        <f>E93-N93</f>
        <v>7387043.0471999999</v>
      </c>
      <c r="P93" s="446">
        <f>IF(O93&lt;300000,0.07*O93,21000)</f>
        <v>21000</v>
      </c>
      <c r="Q93" s="446">
        <f>IF((O93-300000)&lt;0,0,IF((O93-300000)&lt;300000,0.11*(O93-300000),33000))</f>
        <v>33000</v>
      </c>
      <c r="R93" s="446">
        <f>IF((O93-600000)&lt;0,0,IF((O93-600000)&lt;500000,0.15*(O93-600000),75000))</f>
        <v>75000</v>
      </c>
      <c r="S93" s="446">
        <f>IF((O93-1100000)&lt;0,0,IF((O93-1100000)&lt;500000,0.19*(O93-1100000),95000))</f>
        <v>95000</v>
      </c>
      <c r="T93" s="446">
        <f>IF((O93-1600000)&lt;0,0,IF((O93-1600000)&lt;1600000,0.21*(O93-1600000),336000))</f>
        <v>336000</v>
      </c>
      <c r="U93" s="446">
        <f>24%*(O93-3200000)</f>
        <v>1004890.3313279999</v>
      </c>
      <c r="V93" s="446">
        <f>P93+Q93+R93+S93+T93+U93</f>
        <v>1564890.3313279999</v>
      </c>
      <c r="W93" s="453">
        <v>12</v>
      </c>
      <c r="X93" s="446">
        <f>V93/W93</f>
        <v>130407.52761066701</v>
      </c>
      <c r="Y93" s="449"/>
      <c r="Z93" s="457">
        <f>X93</f>
        <v>130407.52761066701</v>
      </c>
      <c r="AA93" s="458">
        <v>82423.216202666707</v>
      </c>
      <c r="AB93" s="458">
        <f>Z93-AA93</f>
        <v>47984.311408000001</v>
      </c>
      <c r="AC93" s="458" t="s">
        <v>363</v>
      </c>
      <c r="AD93" s="458"/>
      <c r="AE93" s="458"/>
    </row>
    <row r="94" spans="1:31" ht="18">
      <c r="A94" s="443">
        <v>80</v>
      </c>
      <c r="B94" s="10" t="s">
        <v>366</v>
      </c>
      <c r="C94" s="446">
        <v>526622.25</v>
      </c>
      <c r="D94" s="445">
        <v>12</v>
      </c>
      <c r="E94" s="446">
        <f t="shared" ref="E94:E96" si="85">C94*D94</f>
        <v>6319467</v>
      </c>
      <c r="F94" s="446"/>
      <c r="G94" s="447">
        <v>438357.36</v>
      </c>
      <c r="H94" s="449"/>
      <c r="I94" s="446">
        <f>E94-F94-G94-H94</f>
        <v>5881109.6399999997</v>
      </c>
      <c r="J94" s="446">
        <v>200000</v>
      </c>
      <c r="K94" s="446">
        <v>0.2</v>
      </c>
      <c r="L94" s="446">
        <f>I94*K94</f>
        <v>1176221.9280000001</v>
      </c>
      <c r="M94" s="446">
        <f>J94+L94</f>
        <v>1376221.9280000001</v>
      </c>
      <c r="N94" s="446">
        <f>F94+G94+H94+M94</f>
        <v>1814579.2879999999</v>
      </c>
      <c r="O94" s="446">
        <f>E94-N94</f>
        <v>4504887.7120000003</v>
      </c>
      <c r="P94" s="446">
        <f>IF(O94&lt;300000,0.07*O94,21000)</f>
        <v>21000</v>
      </c>
      <c r="Q94" s="446">
        <f>IF((O94-300000)&lt;0,0,IF((O94-300000)&lt;300000,0.11*(O94-300000),33000))</f>
        <v>33000</v>
      </c>
      <c r="R94" s="446">
        <f>IF((O94-600000)&lt;0,0,IF((O94-600000)&lt;500000,0.15*(O94-600000),75000))</f>
        <v>75000</v>
      </c>
      <c r="S94" s="446">
        <f>IF((O94-1100000)&lt;0,0,IF((O94-1100000)&lt;500000,0.19*(O94-1100000),95000))</f>
        <v>95000</v>
      </c>
      <c r="T94" s="446">
        <f>IF((O94-1600000)&lt;0,0,IF((O94-1600000)&lt;1600000,0.21*(O94-1600000),336000))</f>
        <v>336000</v>
      </c>
      <c r="U94" s="446">
        <f t="shared" ref="U94:U95" si="86">24%*(O94-3200000)</f>
        <v>313173.05088</v>
      </c>
      <c r="V94" s="446">
        <f>P94+Q94+R94+S94+T94+U94</f>
        <v>873173.05088</v>
      </c>
      <c r="W94" s="453">
        <v>12</v>
      </c>
      <c r="X94" s="446">
        <f>V94/W94</f>
        <v>72764.420906666695</v>
      </c>
      <c r="Y94" s="449"/>
      <c r="Z94" s="457">
        <f>X94</f>
        <v>72764.420906666695</v>
      </c>
      <c r="AA94" s="458">
        <v>82627.951418666693</v>
      </c>
      <c r="AB94" s="458">
        <f t="shared" ref="AB94:AB96" si="87">Z94-AA94</f>
        <v>-9863.5305120000303</v>
      </c>
      <c r="AC94" s="458" t="s">
        <v>366</v>
      </c>
      <c r="AD94" s="458"/>
      <c r="AE94" s="458"/>
    </row>
    <row r="95" spans="1:31" ht="36">
      <c r="A95" s="443">
        <v>81</v>
      </c>
      <c r="B95" s="10" t="s">
        <v>368</v>
      </c>
      <c r="C95" s="446">
        <v>437895.16666666698</v>
      </c>
      <c r="D95" s="445">
        <v>12</v>
      </c>
      <c r="E95" s="446">
        <f t="shared" si="85"/>
        <v>5254742</v>
      </c>
      <c r="F95" s="446"/>
      <c r="G95" s="447">
        <v>362779.36</v>
      </c>
      <c r="H95" s="449"/>
      <c r="I95" s="446">
        <f>E95-F95-G95-H95</f>
        <v>4891962.6399999997</v>
      </c>
      <c r="J95" s="446">
        <v>200000</v>
      </c>
      <c r="K95" s="446">
        <v>0.2</v>
      </c>
      <c r="L95" s="446">
        <f>I95*K95</f>
        <v>978392.52800000005</v>
      </c>
      <c r="M95" s="446">
        <f>J95+L95</f>
        <v>1178392.5279999999</v>
      </c>
      <c r="N95" s="446">
        <f>F95+G95+H95+M95</f>
        <v>1541171.888</v>
      </c>
      <c r="O95" s="446">
        <f>E95-N95</f>
        <v>3713570.1120000002</v>
      </c>
      <c r="P95" s="446">
        <f>IF(O95&lt;300000,0.07*O95,21000)</f>
        <v>21000</v>
      </c>
      <c r="Q95" s="446">
        <f>IF((O95-300000)&lt;0,0,IF((O95-300000)&lt;300000,0.11*(O95-300000),33000))</f>
        <v>33000</v>
      </c>
      <c r="R95" s="446">
        <f>IF((O95-600000)&lt;0,0,IF((O95-600000)&lt;500000,0.15*(O95-600000),75000))</f>
        <v>75000</v>
      </c>
      <c r="S95" s="446">
        <f>IF((O95-1100000)&lt;0,0,IF((O95-1100000)&lt;500000,0.19*(O95-1100000),95000))</f>
        <v>95000</v>
      </c>
      <c r="T95" s="446">
        <f>IF((O95-1600000)&lt;0,0,IF((O95-1600000)&lt;1600000,0.21*(O95-1600000),336000))</f>
        <v>336000</v>
      </c>
      <c r="U95" s="446">
        <f t="shared" si="86"/>
        <v>123256.82687999999</v>
      </c>
      <c r="V95" s="446">
        <f>P95+Q95+R95+S95+T95+U95</f>
        <v>683256.82687999995</v>
      </c>
      <c r="W95" s="453">
        <v>12</v>
      </c>
      <c r="X95" s="446">
        <f>V95/W95</f>
        <v>56938.068906666696</v>
      </c>
      <c r="Y95" s="449"/>
      <c r="Z95" s="457">
        <f>X95</f>
        <v>56938.068906666696</v>
      </c>
      <c r="AA95" s="458">
        <v>43492.373376666699</v>
      </c>
      <c r="AB95" s="458">
        <f t="shared" si="87"/>
        <v>13445.695530000001</v>
      </c>
      <c r="AC95" s="458" t="s">
        <v>368</v>
      </c>
      <c r="AD95" s="458"/>
      <c r="AE95" s="458"/>
    </row>
    <row r="96" spans="1:31" ht="18">
      <c r="A96" s="443"/>
      <c r="B96" s="10" t="s">
        <v>370</v>
      </c>
      <c r="C96" s="446">
        <v>360965.58333333302</v>
      </c>
      <c r="D96" s="445">
        <v>12</v>
      </c>
      <c r="E96" s="446">
        <f t="shared" si="85"/>
        <v>4331587</v>
      </c>
      <c r="F96" s="446"/>
      <c r="G96" s="447">
        <v>288926.96000000002</v>
      </c>
      <c r="H96" s="449"/>
      <c r="I96" s="446">
        <f>E96-F96-G96-H96</f>
        <v>4042660.04</v>
      </c>
      <c r="J96" s="446">
        <v>200000</v>
      </c>
      <c r="K96" s="446">
        <v>0.2</v>
      </c>
      <c r="L96" s="446">
        <f>I96*K96</f>
        <v>808532.00800000003</v>
      </c>
      <c r="M96" s="446">
        <f>J96+L96</f>
        <v>1008532.008</v>
      </c>
      <c r="N96" s="446">
        <f>F96+G96+H96+M96</f>
        <v>1297458.9680000001</v>
      </c>
      <c r="O96" s="446">
        <f>E96-N96</f>
        <v>3034128.0320000001</v>
      </c>
      <c r="P96" s="446">
        <f>IF(O96&lt;300000,0.07*O96,21000)</f>
        <v>21000</v>
      </c>
      <c r="Q96" s="446">
        <f>IF((O96-300000)&lt;0,0,IF((O96-300000)&lt;300000,0.11*(O96-300000),33000))</f>
        <v>33000</v>
      </c>
      <c r="R96" s="446">
        <f>IF((O96-600000)&lt;0,0,IF((O96-600000)&lt;500000,0.15*(O96-600000),75000))</f>
        <v>75000</v>
      </c>
      <c r="S96" s="446">
        <f>IF((O96-1100000)&lt;0,0,IF((O96-1100000)&lt;500000,0.19*(O96-1100000),95000))</f>
        <v>95000</v>
      </c>
      <c r="T96" s="446">
        <f>IF((O96-1600000)&lt;0,0,IF((O96-1600000)&lt;1600000,0.21*(O96-1600000),336000))</f>
        <v>301166.88672000001</v>
      </c>
      <c r="U96" s="446"/>
      <c r="V96" s="446">
        <f>P96+Q96+R96+S96+T96+U96</f>
        <v>525166.88671999995</v>
      </c>
      <c r="W96" s="453">
        <v>12</v>
      </c>
      <c r="X96" s="446">
        <f>V96/W96</f>
        <v>43763.907226666699</v>
      </c>
      <c r="Y96" s="449"/>
      <c r="Z96" s="457">
        <f>X96</f>
        <v>43763.907226666699</v>
      </c>
      <c r="AA96" s="458">
        <v>34968.882414666703</v>
      </c>
      <c r="AB96" s="458">
        <f t="shared" si="87"/>
        <v>8795.0248119999997</v>
      </c>
      <c r="AC96" s="458" t="s">
        <v>370</v>
      </c>
      <c r="AD96" s="458"/>
      <c r="AE96" s="458"/>
    </row>
    <row r="97" spans="1:31" ht="17.5">
      <c r="A97" s="443"/>
      <c r="B97" s="19" t="s">
        <v>34</v>
      </c>
      <c r="C97" s="446"/>
      <c r="D97" s="445"/>
      <c r="E97" s="446"/>
      <c r="F97" s="446"/>
      <c r="G97" s="449">
        <v>0</v>
      </c>
      <c r="H97" s="449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53"/>
      <c r="X97" s="446"/>
      <c r="Y97" s="449"/>
      <c r="Z97" s="457"/>
      <c r="AA97" s="458"/>
      <c r="AB97" s="458"/>
      <c r="AC97" s="458"/>
      <c r="AD97" s="458"/>
      <c r="AE97" s="458"/>
    </row>
    <row r="98" spans="1:31" ht="17.5">
      <c r="A98" s="443">
        <v>83</v>
      </c>
      <c r="B98" s="21"/>
      <c r="C98" s="446"/>
      <c r="G98" s="274">
        <v>0</v>
      </c>
      <c r="Z98" s="460"/>
      <c r="AC98" s="458"/>
      <c r="AD98" s="458"/>
      <c r="AE98" s="458"/>
    </row>
    <row r="99" spans="1:31" ht="35">
      <c r="A99" s="443">
        <v>84</v>
      </c>
      <c r="B99" s="19" t="s">
        <v>372</v>
      </c>
      <c r="C99" s="446"/>
      <c r="G99" s="274">
        <v>0</v>
      </c>
      <c r="Z99" s="460"/>
      <c r="AB99" s="274" t="s">
        <v>520</v>
      </c>
      <c r="AC99" s="458"/>
      <c r="AD99" s="458"/>
      <c r="AE99" s="458"/>
    </row>
    <row r="100" spans="1:31" ht="18">
      <c r="A100" s="443">
        <v>85</v>
      </c>
      <c r="B100" s="10" t="s">
        <v>373</v>
      </c>
      <c r="C100" s="446">
        <v>1635720</v>
      </c>
      <c r="D100" s="445">
        <v>12</v>
      </c>
      <c r="E100" s="446">
        <f>C100*D100</f>
        <v>19628640</v>
      </c>
      <c r="F100" s="446"/>
      <c r="G100" s="447">
        <v>1378291.2</v>
      </c>
      <c r="H100" s="449"/>
      <c r="I100" s="446">
        <f t="shared" ref="I100:I105" si="88">E100-F100-G100-H100</f>
        <v>18250348.800000001</v>
      </c>
      <c r="J100" s="446">
        <v>200000</v>
      </c>
      <c r="K100" s="446">
        <v>0.2</v>
      </c>
      <c r="L100" s="446">
        <f t="shared" ref="L100:L106" si="89">I100*K100</f>
        <v>3650069.76</v>
      </c>
      <c r="M100" s="446">
        <f t="shared" ref="M100:M106" si="90">J100+L100</f>
        <v>3850069.76</v>
      </c>
      <c r="N100" s="446">
        <f t="shared" ref="N100:N105" si="91">F100+G100+H100+M100</f>
        <v>5228360.96</v>
      </c>
      <c r="O100" s="446">
        <f t="shared" ref="O100:O106" si="92">E100-N100</f>
        <v>14400279.039999999</v>
      </c>
      <c r="P100" s="446">
        <f t="shared" ref="P100:P106" si="93">IF(O100&lt;300000,0.07*O100,21000)</f>
        <v>21000</v>
      </c>
      <c r="Q100" s="446">
        <f t="shared" ref="Q100:Q106" si="94">IF((O100-300000)&lt;0,0,IF((O100-300000)&lt;300000,0.11*(O100-300000),33000))</f>
        <v>33000</v>
      </c>
      <c r="R100" s="446">
        <f t="shared" ref="R100:R106" si="95">IF((O100-600000)&lt;0,0,IF((O100-600000)&lt;500000,0.15*(O100-600000),75000))</f>
        <v>75000</v>
      </c>
      <c r="S100" s="446">
        <f t="shared" ref="S100:S106" si="96">IF((O100-1100000)&lt;0,0,IF((O100-1100000)&lt;500000,0.19*(O100-1100000),95000))</f>
        <v>95000</v>
      </c>
      <c r="T100" s="446">
        <f t="shared" ref="T100:T106" si="97">IF((O100-1600000)&lt;0,0,IF((O100-1600000)&lt;1600000,0.21*(O100-1600000),336000))</f>
        <v>336000</v>
      </c>
      <c r="U100" s="446">
        <f>24%*(O100-3200000)</f>
        <v>2688066.9696</v>
      </c>
      <c r="V100" s="446">
        <f t="shared" ref="V100:V106" si="98">P100+Q100+R100+S100+T100+U100</f>
        <v>3248066.9696</v>
      </c>
      <c r="W100" s="453">
        <v>12</v>
      </c>
      <c r="X100" s="446">
        <f t="shared" ref="X100:X106" si="99">V100/W100</f>
        <v>270672.24746666697</v>
      </c>
      <c r="Y100" s="449"/>
      <c r="Z100" s="457">
        <f t="shared" ref="Z100:Z106" si="100">X100</f>
        <v>270672.24746666697</v>
      </c>
      <c r="AA100" s="458">
        <v>180306.806858667</v>
      </c>
      <c r="AB100" s="458">
        <f>Z100-AA100</f>
        <v>90365.440607999903</v>
      </c>
      <c r="AC100" s="458" t="s">
        <v>373</v>
      </c>
      <c r="AD100" s="458"/>
      <c r="AE100" s="458"/>
    </row>
    <row r="101" spans="1:31" ht="18">
      <c r="A101" s="443">
        <v>86</v>
      </c>
      <c r="B101" s="10" t="s">
        <v>375</v>
      </c>
      <c r="C101" s="446">
        <v>942373.16666666698</v>
      </c>
      <c r="D101" s="445">
        <v>12</v>
      </c>
      <c r="E101" s="446">
        <f t="shared" ref="E101:E106" si="101">C101*D101</f>
        <v>11308478</v>
      </c>
      <c r="F101" s="446">
        <f>'[5]JANUARY 2024'!$V$106*12</f>
        <v>12795.950999999999</v>
      </c>
      <c r="G101" s="447">
        <v>731878.24</v>
      </c>
      <c r="H101" s="449"/>
      <c r="I101" s="446">
        <f t="shared" si="88"/>
        <v>10563803.809</v>
      </c>
      <c r="J101" s="446">
        <v>200000</v>
      </c>
      <c r="K101" s="446">
        <v>0.2</v>
      </c>
      <c r="L101" s="446">
        <f t="shared" si="89"/>
        <v>2112760.7618</v>
      </c>
      <c r="M101" s="446">
        <f t="shared" si="90"/>
        <v>2312760.7618</v>
      </c>
      <c r="N101" s="446">
        <f t="shared" si="91"/>
        <v>3057434.9528000001</v>
      </c>
      <c r="O101" s="446">
        <f t="shared" si="92"/>
        <v>8251043.0471999999</v>
      </c>
      <c r="P101" s="446">
        <f t="shared" si="93"/>
        <v>21000</v>
      </c>
      <c r="Q101" s="446">
        <f t="shared" si="94"/>
        <v>33000</v>
      </c>
      <c r="R101" s="446">
        <f t="shared" si="95"/>
        <v>75000</v>
      </c>
      <c r="S101" s="446">
        <f t="shared" si="96"/>
        <v>95000</v>
      </c>
      <c r="T101" s="446">
        <f t="shared" si="97"/>
        <v>336000</v>
      </c>
      <c r="U101" s="446">
        <f>24%*(O101-3200000)</f>
        <v>1212250.3313279999</v>
      </c>
      <c r="V101" s="446">
        <f t="shared" si="98"/>
        <v>1772250.3313279999</v>
      </c>
      <c r="W101" s="453">
        <v>12</v>
      </c>
      <c r="X101" s="446">
        <f t="shared" si="99"/>
        <v>147687.52761066699</v>
      </c>
      <c r="Y101" s="449"/>
      <c r="Z101" s="457">
        <f t="shared" si="100"/>
        <v>147687.52761066699</v>
      </c>
      <c r="AA101" s="458">
        <v>99703.216202666707</v>
      </c>
      <c r="AB101" s="458">
        <f t="shared" ref="AB101:AB106" si="102">Z101-AA101</f>
        <v>47984.311408000001</v>
      </c>
      <c r="AC101" s="458" t="s">
        <v>375</v>
      </c>
      <c r="AD101" s="458"/>
      <c r="AE101" s="458"/>
    </row>
    <row r="102" spans="1:31" ht="18">
      <c r="A102" s="443">
        <v>87</v>
      </c>
      <c r="B102" s="10" t="s">
        <v>377</v>
      </c>
      <c r="C102" s="446">
        <v>603237.85519166698</v>
      </c>
      <c r="D102" s="445">
        <v>12</v>
      </c>
      <c r="E102" s="446">
        <f t="shared" si="101"/>
        <v>7238854.2622999996</v>
      </c>
      <c r="F102" s="446">
        <f>'[5]JANUARY 2024'!$V$107*12</f>
        <v>7901.79</v>
      </c>
      <c r="G102" s="447">
        <v>424132.72</v>
      </c>
      <c r="H102" s="449"/>
      <c r="I102" s="446">
        <f t="shared" si="88"/>
        <v>6806819.7522999998</v>
      </c>
      <c r="J102" s="446">
        <v>200000</v>
      </c>
      <c r="K102" s="446">
        <v>0.2</v>
      </c>
      <c r="L102" s="446">
        <f t="shared" si="89"/>
        <v>1361363.95046</v>
      </c>
      <c r="M102" s="446">
        <f t="shared" si="90"/>
        <v>1561363.95046</v>
      </c>
      <c r="N102" s="446">
        <f t="shared" si="91"/>
        <v>1993398.46046</v>
      </c>
      <c r="O102" s="446">
        <f t="shared" si="92"/>
        <v>5245455.8018399999</v>
      </c>
      <c r="P102" s="446">
        <f t="shared" si="93"/>
        <v>21000</v>
      </c>
      <c r="Q102" s="446">
        <f t="shared" si="94"/>
        <v>33000</v>
      </c>
      <c r="R102" s="446">
        <f t="shared" si="95"/>
        <v>75000</v>
      </c>
      <c r="S102" s="446">
        <f t="shared" si="96"/>
        <v>95000</v>
      </c>
      <c r="T102" s="446">
        <f t="shared" si="97"/>
        <v>336000</v>
      </c>
      <c r="U102" s="446">
        <f>24%*(O102-3200000)</f>
        <v>490909.39244159998</v>
      </c>
      <c r="V102" s="446">
        <f t="shared" si="98"/>
        <v>1050909.3924416001</v>
      </c>
      <c r="W102" s="453">
        <v>12</v>
      </c>
      <c r="X102" s="446">
        <f t="shared" si="99"/>
        <v>87575.782703466699</v>
      </c>
      <c r="Y102" s="449"/>
      <c r="Z102" s="457">
        <f t="shared" si="100"/>
        <v>87575.782703466699</v>
      </c>
      <c r="AA102" s="458">
        <v>180180.378218667</v>
      </c>
      <c r="AB102" s="458">
        <f t="shared" si="102"/>
        <v>-92604.595515200301</v>
      </c>
      <c r="AC102" s="458" t="s">
        <v>377</v>
      </c>
      <c r="AD102" s="458"/>
      <c r="AE102" s="458"/>
    </row>
    <row r="103" spans="1:31" ht="18">
      <c r="A103" s="443">
        <v>88</v>
      </c>
      <c r="B103" s="10" t="s">
        <v>379</v>
      </c>
      <c r="C103" s="446">
        <v>601625.033321667</v>
      </c>
      <c r="D103" s="445">
        <v>12</v>
      </c>
      <c r="E103" s="446">
        <f t="shared" si="101"/>
        <v>7219500.3998600002</v>
      </c>
      <c r="F103" s="446"/>
      <c r="G103" s="447">
        <v>424132.72</v>
      </c>
      <c r="H103" s="449"/>
      <c r="I103" s="446">
        <f t="shared" si="88"/>
        <v>6795367.6798599996</v>
      </c>
      <c r="J103" s="446">
        <v>200000</v>
      </c>
      <c r="K103" s="446">
        <v>0.2</v>
      </c>
      <c r="L103" s="446">
        <f t="shared" si="89"/>
        <v>1359073.5359720001</v>
      </c>
      <c r="M103" s="446">
        <f t="shared" si="90"/>
        <v>1559073.5359720001</v>
      </c>
      <c r="N103" s="446">
        <f t="shared" si="91"/>
        <v>1983206.2559720001</v>
      </c>
      <c r="O103" s="446">
        <f t="shared" si="92"/>
        <v>5236294.1438880004</v>
      </c>
      <c r="P103" s="446">
        <f t="shared" si="93"/>
        <v>21000</v>
      </c>
      <c r="Q103" s="446">
        <f t="shared" si="94"/>
        <v>33000</v>
      </c>
      <c r="R103" s="446">
        <f t="shared" si="95"/>
        <v>75000</v>
      </c>
      <c r="S103" s="446">
        <f t="shared" si="96"/>
        <v>95000</v>
      </c>
      <c r="T103" s="446">
        <f t="shared" si="97"/>
        <v>336000</v>
      </c>
      <c r="U103" s="446">
        <f>0.24*(O103-3200000)</f>
        <v>488710.59453311999</v>
      </c>
      <c r="V103" s="446">
        <f t="shared" si="98"/>
        <v>1048710.59453312</v>
      </c>
      <c r="W103" s="453">
        <v>12</v>
      </c>
      <c r="X103" s="446">
        <f t="shared" si="99"/>
        <v>87392.5495444267</v>
      </c>
      <c r="Y103" s="449"/>
      <c r="Z103" s="457">
        <f t="shared" si="100"/>
        <v>87392.5495444267</v>
      </c>
      <c r="AA103" s="458">
        <v>99907.951418666693</v>
      </c>
      <c r="AB103" s="458">
        <f t="shared" si="102"/>
        <v>-12515.40187424</v>
      </c>
      <c r="AC103" s="458" t="s">
        <v>379</v>
      </c>
      <c r="AD103" s="458"/>
      <c r="AE103" s="458"/>
    </row>
    <row r="104" spans="1:31" ht="18">
      <c r="A104" s="443">
        <v>89</v>
      </c>
      <c r="B104" s="10" t="s">
        <v>380</v>
      </c>
      <c r="C104" s="446">
        <v>374481.86414666701</v>
      </c>
      <c r="D104" s="445">
        <v>12</v>
      </c>
      <c r="E104" s="446">
        <f t="shared" si="101"/>
        <v>4493782.3697600001</v>
      </c>
      <c r="F104" s="446"/>
      <c r="G104" s="447">
        <v>239182.48</v>
      </c>
      <c r="H104" s="449"/>
      <c r="I104" s="446">
        <f t="shared" si="88"/>
        <v>4254599.8897599997</v>
      </c>
      <c r="J104" s="446">
        <v>200000</v>
      </c>
      <c r="K104" s="446">
        <v>0.2</v>
      </c>
      <c r="L104" s="446">
        <f t="shared" si="89"/>
        <v>850919.97795199999</v>
      </c>
      <c r="M104" s="446">
        <f t="shared" si="90"/>
        <v>1050919.977952</v>
      </c>
      <c r="N104" s="446">
        <f t="shared" si="91"/>
        <v>1290102.457952</v>
      </c>
      <c r="O104" s="446">
        <f t="shared" si="92"/>
        <v>3203679.9118079999</v>
      </c>
      <c r="P104" s="446">
        <f t="shared" si="93"/>
        <v>21000</v>
      </c>
      <c r="Q104" s="446">
        <f t="shared" si="94"/>
        <v>33000</v>
      </c>
      <c r="R104" s="446">
        <f t="shared" si="95"/>
        <v>75000</v>
      </c>
      <c r="S104" s="446">
        <f t="shared" si="96"/>
        <v>95000</v>
      </c>
      <c r="T104" s="446">
        <f t="shared" si="97"/>
        <v>336000</v>
      </c>
      <c r="U104" s="446">
        <f>0.24*(O104-3200000)</f>
        <v>883.17883391987505</v>
      </c>
      <c r="V104" s="446">
        <f t="shared" si="98"/>
        <v>560883.17883392004</v>
      </c>
      <c r="W104" s="453">
        <v>12</v>
      </c>
      <c r="X104" s="446">
        <f t="shared" si="99"/>
        <v>46740.264902826697</v>
      </c>
      <c r="Y104" s="449"/>
      <c r="Z104" s="457">
        <f t="shared" si="100"/>
        <v>46740.264902826697</v>
      </c>
      <c r="AA104" s="458">
        <v>58941.101743466701</v>
      </c>
      <c r="AB104" s="458">
        <f t="shared" si="102"/>
        <v>-12200.83684064</v>
      </c>
      <c r="AC104" s="458" t="s">
        <v>380</v>
      </c>
      <c r="AD104" s="458"/>
      <c r="AE104" s="458"/>
    </row>
    <row r="105" spans="1:31" ht="36">
      <c r="A105" s="443"/>
      <c r="B105" s="17" t="s">
        <v>383</v>
      </c>
      <c r="C105" s="446">
        <v>367926.02100000001</v>
      </c>
      <c r="D105" s="445">
        <v>12</v>
      </c>
      <c r="E105" s="446">
        <f t="shared" si="101"/>
        <v>4415112.2520000003</v>
      </c>
      <c r="F105" s="446"/>
      <c r="G105" s="447">
        <v>233257.2</v>
      </c>
      <c r="H105" s="449"/>
      <c r="I105" s="446">
        <f t="shared" si="88"/>
        <v>4181855.0520000001</v>
      </c>
      <c r="J105" s="446">
        <v>200000</v>
      </c>
      <c r="K105" s="446">
        <v>0.2</v>
      </c>
      <c r="L105" s="446">
        <f t="shared" si="89"/>
        <v>836371.01040000003</v>
      </c>
      <c r="M105" s="446">
        <f t="shared" si="90"/>
        <v>1036371.0104</v>
      </c>
      <c r="N105" s="446">
        <f t="shared" si="91"/>
        <v>1269628.2104</v>
      </c>
      <c r="O105" s="446">
        <f t="shared" si="92"/>
        <v>3145484.0416000001</v>
      </c>
      <c r="P105" s="446">
        <f t="shared" si="93"/>
        <v>21000</v>
      </c>
      <c r="Q105" s="446">
        <f t="shared" si="94"/>
        <v>33000</v>
      </c>
      <c r="R105" s="446">
        <f t="shared" si="95"/>
        <v>75000</v>
      </c>
      <c r="S105" s="446">
        <f t="shared" si="96"/>
        <v>95000</v>
      </c>
      <c r="T105" s="446">
        <f t="shared" si="97"/>
        <v>324551.648736</v>
      </c>
      <c r="U105" s="446"/>
      <c r="V105" s="446">
        <f t="shared" si="98"/>
        <v>548551.64873599994</v>
      </c>
      <c r="W105" s="453">
        <v>12</v>
      </c>
      <c r="X105" s="446">
        <f t="shared" si="99"/>
        <v>45712.637394666701</v>
      </c>
      <c r="Y105" s="449"/>
      <c r="Z105" s="457">
        <f t="shared" si="100"/>
        <v>45712.637394666701</v>
      </c>
      <c r="AA105" s="458">
        <v>58631.439944426696</v>
      </c>
      <c r="AB105" s="458">
        <f t="shared" si="102"/>
        <v>-12918.802549759999</v>
      </c>
      <c r="AC105" s="458" t="s">
        <v>383</v>
      </c>
      <c r="AD105" s="458"/>
      <c r="AE105" s="458"/>
    </row>
    <row r="106" spans="1:31" ht="18">
      <c r="A106" s="443"/>
      <c r="B106" s="17" t="s">
        <v>385</v>
      </c>
      <c r="C106" s="446">
        <v>355198.112111667</v>
      </c>
      <c r="D106" s="445">
        <v>12</v>
      </c>
      <c r="E106" s="446">
        <f t="shared" si="101"/>
        <v>4262377.3453400005</v>
      </c>
      <c r="G106" s="447">
        <v>221406.64</v>
      </c>
      <c r="H106" s="449"/>
      <c r="I106" s="446">
        <f>E106-F107-G106-H106</f>
        <v>4040970.7053399999</v>
      </c>
      <c r="J106" s="446">
        <v>200000</v>
      </c>
      <c r="K106" s="446">
        <v>0.2</v>
      </c>
      <c r="L106" s="446">
        <f t="shared" si="89"/>
        <v>808194.141068</v>
      </c>
      <c r="M106" s="446">
        <f t="shared" si="90"/>
        <v>1008194.141068</v>
      </c>
      <c r="N106" s="446">
        <f>F107+G106+H106+M106</f>
        <v>1229600.781068</v>
      </c>
      <c r="O106" s="446">
        <f t="shared" si="92"/>
        <v>3032776.564272</v>
      </c>
      <c r="P106" s="446">
        <f t="shared" si="93"/>
        <v>21000</v>
      </c>
      <c r="Q106" s="446">
        <f t="shared" si="94"/>
        <v>33000</v>
      </c>
      <c r="R106" s="446">
        <f t="shared" si="95"/>
        <v>75000</v>
      </c>
      <c r="S106" s="446">
        <f t="shared" si="96"/>
        <v>95000</v>
      </c>
      <c r="T106" s="446">
        <f t="shared" si="97"/>
        <v>300883.07849712</v>
      </c>
      <c r="U106" s="446"/>
      <c r="V106" s="446">
        <f t="shared" si="98"/>
        <v>524883.07849711995</v>
      </c>
      <c r="W106" s="453">
        <v>12</v>
      </c>
      <c r="X106" s="446">
        <f t="shared" si="99"/>
        <v>43740.256541426701</v>
      </c>
      <c r="Y106" s="449"/>
      <c r="Z106" s="457">
        <f t="shared" si="100"/>
        <v>43740.256541426701</v>
      </c>
      <c r="AA106" s="458">
        <v>31871.335203306699</v>
      </c>
      <c r="AB106" s="458">
        <f t="shared" si="102"/>
        <v>11868.921338120001</v>
      </c>
      <c r="AC106" s="458" t="s">
        <v>385</v>
      </c>
      <c r="AD106" s="458"/>
      <c r="AE106" s="458"/>
    </row>
    <row r="107" spans="1:31" ht="17.5">
      <c r="A107" s="443"/>
      <c r="B107" s="19" t="s">
        <v>34</v>
      </c>
      <c r="C107" s="446"/>
      <c r="D107" s="445"/>
      <c r="E107" s="446"/>
      <c r="F107" s="446"/>
      <c r="G107" s="447"/>
      <c r="H107" s="449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53"/>
      <c r="X107" s="446"/>
      <c r="Y107" s="449"/>
      <c r="Z107" s="457"/>
      <c r="AA107" s="458"/>
      <c r="AB107" s="458"/>
      <c r="AC107" s="458"/>
      <c r="AD107" s="458"/>
      <c r="AE107" s="458"/>
    </row>
    <row r="108" spans="1:31" ht="17.5">
      <c r="A108" s="443">
        <v>90</v>
      </c>
      <c r="B108" s="19"/>
      <c r="C108" s="446"/>
      <c r="G108" s="447"/>
      <c r="U108" s="446"/>
      <c r="Z108" s="460"/>
      <c r="AC108" s="458"/>
      <c r="AD108" s="458"/>
      <c r="AE108" s="458"/>
    </row>
    <row r="109" spans="1:31" ht="35">
      <c r="A109" s="443">
        <v>91</v>
      </c>
      <c r="B109" s="19" t="s">
        <v>61</v>
      </c>
      <c r="C109" s="446"/>
      <c r="G109" s="447"/>
      <c r="U109" s="446"/>
      <c r="Z109" s="460"/>
      <c r="AC109" s="458"/>
      <c r="AD109" s="458"/>
      <c r="AE109" s="458"/>
    </row>
    <row r="110" spans="1:31" ht="36">
      <c r="A110" s="443">
        <v>92</v>
      </c>
      <c r="B110" s="13" t="s">
        <v>386</v>
      </c>
      <c r="C110" s="446">
        <v>761396.83333333302</v>
      </c>
      <c r="D110" s="445">
        <v>12</v>
      </c>
      <c r="E110" s="446">
        <f>C110*D110</f>
        <v>9136762</v>
      </c>
      <c r="F110" s="446">
        <f>'[5]JANUARY 2024'!$V$115*12</f>
        <v>9678.9599999999991</v>
      </c>
      <c r="G110" s="447">
        <v>577340.96</v>
      </c>
      <c r="H110" s="449"/>
      <c r="I110" s="446">
        <f>E110-F110-G110-H110</f>
        <v>8549742.0800000001</v>
      </c>
      <c r="J110" s="446">
        <v>200000</v>
      </c>
      <c r="K110" s="446">
        <v>0.2</v>
      </c>
      <c r="L110" s="446">
        <f>I110*K110</f>
        <v>1709948.416</v>
      </c>
      <c r="M110" s="446">
        <f>J110+L110</f>
        <v>1909948.416</v>
      </c>
      <c r="N110" s="446">
        <f>F110+G110+H110+M110</f>
        <v>2496968.3360000001</v>
      </c>
      <c r="O110" s="446">
        <f>E110-N110</f>
        <v>6639793.6639999999</v>
      </c>
      <c r="P110" s="446">
        <f>IF(O110&lt;300000,0.07*O110,21000)</f>
        <v>21000</v>
      </c>
      <c r="Q110" s="446">
        <f>IF((O110-300000)&lt;0,0,IF((O110-300000)&lt;300000,0.11*(O110-300000),33000))</f>
        <v>33000</v>
      </c>
      <c r="R110" s="446">
        <f>IF((O110-600000)&lt;0,0,IF((O110-600000)&lt;500000,0.15*(O110-600000),75000))</f>
        <v>75000</v>
      </c>
      <c r="S110" s="446">
        <f>IF((O110-1100000)&lt;0,0,IF((O110-1100000)&lt;500000,0.19*(O110-1100000),95000))</f>
        <v>95000</v>
      </c>
      <c r="T110" s="446">
        <f>IF((O110-1600000)&lt;0,0,IF((O110-1600000)&lt;1600000,0.21*(O110-1600000),336000))</f>
        <v>336000</v>
      </c>
      <c r="U110" s="446">
        <f t="shared" ref="U110:U141" si="103">0.24*(O110-3200000)</f>
        <v>825550.47936</v>
      </c>
      <c r="V110" s="446">
        <f>P110+Q110+R110+S110+T110+U110</f>
        <v>1385550.47936</v>
      </c>
      <c r="W110" s="453">
        <v>12</v>
      </c>
      <c r="X110" s="446">
        <f>V110/W110</f>
        <v>115462.53994666701</v>
      </c>
      <c r="Y110" s="449"/>
      <c r="Z110" s="457">
        <f>X110</f>
        <v>115462.53994666701</v>
      </c>
      <c r="AA110" s="458">
        <v>77610.116906666706</v>
      </c>
      <c r="AB110" s="458">
        <f>Z110-AA110</f>
        <v>37852.423040000001</v>
      </c>
      <c r="AC110" s="458"/>
      <c r="AD110" s="458"/>
      <c r="AE110" s="458"/>
    </row>
    <row r="111" spans="1:31" ht="18">
      <c r="A111" s="443">
        <v>93</v>
      </c>
      <c r="B111" s="10" t="s">
        <v>387</v>
      </c>
      <c r="C111" s="446">
        <v>487895.16666666698</v>
      </c>
      <c r="D111" s="445">
        <v>12</v>
      </c>
      <c r="E111" s="446">
        <f t="shared" ref="E111:E112" si="104">C111*D111</f>
        <v>5854742</v>
      </c>
      <c r="F111" s="446"/>
      <c r="G111" s="447">
        <v>362779.36</v>
      </c>
      <c r="H111" s="449"/>
      <c r="I111" s="446">
        <f>E111-F111-G111-H111</f>
        <v>5491962.6399999997</v>
      </c>
      <c r="J111" s="446">
        <v>200000</v>
      </c>
      <c r="K111" s="446">
        <v>0.2</v>
      </c>
      <c r="L111" s="446">
        <f>I111*K111</f>
        <v>1098392.5279999999</v>
      </c>
      <c r="M111" s="446">
        <f>J111+L111</f>
        <v>1298392.5279999999</v>
      </c>
      <c r="N111" s="446">
        <f>F111+G111+H111+M111</f>
        <v>1661171.888</v>
      </c>
      <c r="O111" s="446">
        <f>E111-N111</f>
        <v>4193570.1120000002</v>
      </c>
      <c r="P111" s="446">
        <f>IF(O111&lt;300000,0.07*O111,21000)</f>
        <v>21000</v>
      </c>
      <c r="Q111" s="446">
        <f>IF((O111-300000)&lt;0,0,IF((O111-300000)&lt;300000,0.11*(O111-300000),33000))</f>
        <v>33000</v>
      </c>
      <c r="R111" s="446">
        <f>IF((O111-600000)&lt;0,0,IF((O111-600000)&lt;500000,0.15*(O111-600000),75000))</f>
        <v>75000</v>
      </c>
      <c r="S111" s="446">
        <f>IF((O111-1100000)&lt;0,0,IF((O111-1100000)&lt;500000,0.19*(O111-1100000),95000))</f>
        <v>95000</v>
      </c>
      <c r="T111" s="446">
        <f>IF((O111-1600000)&lt;0,0,IF((O111-1600000)&lt;1600000,0.21*(O111-1600000),336000))</f>
        <v>336000</v>
      </c>
      <c r="U111" s="446">
        <f t="shared" si="103"/>
        <v>238456.82688000001</v>
      </c>
      <c r="V111" s="446">
        <f>P111+Q111+R111+S111+T111+U111</f>
        <v>798456.82687999995</v>
      </c>
      <c r="W111" s="453">
        <v>12</v>
      </c>
      <c r="X111" s="446">
        <f>V111/W111</f>
        <v>66538.068906666696</v>
      </c>
      <c r="Y111" s="449"/>
      <c r="Z111" s="457">
        <f>X111</f>
        <v>66538.068906666696</v>
      </c>
      <c r="AA111" s="458">
        <v>43368.882414666703</v>
      </c>
      <c r="AB111" s="458">
        <f t="shared" ref="AB111:AB112" si="105">Z111-AA111</f>
        <v>23169.186492000001</v>
      </c>
      <c r="AC111" s="458"/>
      <c r="AD111" s="458"/>
      <c r="AE111" s="458"/>
    </row>
    <row r="112" spans="1:31" ht="18">
      <c r="A112" s="443">
        <v>94</v>
      </c>
      <c r="B112" s="10" t="s">
        <v>389</v>
      </c>
      <c r="C112" s="452">
        <v>450086.5</v>
      </c>
      <c r="D112" s="445">
        <v>12</v>
      </c>
      <c r="E112" s="446">
        <f t="shared" si="104"/>
        <v>5401038</v>
      </c>
      <c r="F112" s="446">
        <f>'[5]JANUARY 2024'!$V$117*12</f>
        <v>6919.4549999999999</v>
      </c>
      <c r="G112" s="447">
        <v>374483.04</v>
      </c>
      <c r="H112" s="449"/>
      <c r="I112" s="446">
        <f>E112-F112-G112-H112</f>
        <v>5019635.5049999999</v>
      </c>
      <c r="J112" s="446">
        <v>200000</v>
      </c>
      <c r="K112" s="446">
        <v>0.2</v>
      </c>
      <c r="L112" s="446">
        <f>I112*K112</f>
        <v>1003927.101</v>
      </c>
      <c r="M112" s="446">
        <f>J112+L112</f>
        <v>1203927.101</v>
      </c>
      <c r="N112" s="446">
        <f>F112+G112+H112+M112</f>
        <v>1585329.5959999999</v>
      </c>
      <c r="O112" s="446">
        <f>E112-N112</f>
        <v>3815708.4040000001</v>
      </c>
      <c r="P112" s="446">
        <f>IF(O112&lt;300000,0.07*O112,21000)</f>
        <v>21000</v>
      </c>
      <c r="Q112" s="446">
        <f>IF((O112-300000)&lt;0,0,IF((O112-300000)&lt;300000,0.11*(O112-300000),33000))</f>
        <v>33000</v>
      </c>
      <c r="R112" s="446">
        <f>IF((O112-600000)&lt;0,0,IF((O112-600000)&lt;500000,0.15*(O112-600000),75000))</f>
        <v>75000</v>
      </c>
      <c r="S112" s="446">
        <f>IF((O112-1100000)&lt;0,0,IF((O112-1100000)&lt;500000,0.19*(O112-1100000),95000))</f>
        <v>95000</v>
      </c>
      <c r="T112" s="446">
        <f>IF((O112-1600000)&lt;0,0,IF((O112-1600000)&lt;1600000,0.21*(O112-1600000),336000))</f>
        <v>336000</v>
      </c>
      <c r="U112" s="446">
        <f t="shared" si="103"/>
        <v>147770.01696000001</v>
      </c>
      <c r="V112" s="446">
        <f>P112+Q112+R112+S112+T112+U112</f>
        <v>707770.01696000004</v>
      </c>
      <c r="W112" s="453">
        <v>12</v>
      </c>
      <c r="X112" s="446">
        <f>V112/W112</f>
        <v>58980.834746666696</v>
      </c>
      <c r="Y112" s="449"/>
      <c r="Z112" s="457">
        <f>X112</f>
        <v>58980.834746666696</v>
      </c>
      <c r="AA112" s="458">
        <v>35221.954086666701</v>
      </c>
      <c r="AB112" s="458">
        <f t="shared" si="105"/>
        <v>23758.880659999999</v>
      </c>
      <c r="AC112" s="458"/>
      <c r="AD112" s="458"/>
      <c r="AE112" s="458"/>
    </row>
    <row r="113" spans="1:31" ht="17.5">
      <c r="A113" s="443">
        <v>95</v>
      </c>
      <c r="B113" s="19"/>
      <c r="C113" s="446"/>
      <c r="D113" s="445"/>
      <c r="E113" s="446"/>
      <c r="F113" s="446"/>
      <c r="G113" s="449"/>
      <c r="H113" s="449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53"/>
      <c r="X113" s="446"/>
      <c r="Y113" s="449"/>
      <c r="Z113" s="457"/>
      <c r="AA113" s="458"/>
      <c r="AB113" s="458"/>
      <c r="AC113" s="458"/>
      <c r="AD113" s="458"/>
      <c r="AE113" s="458"/>
    </row>
    <row r="114" spans="1:31" ht="17.5">
      <c r="A114" s="443">
        <v>96</v>
      </c>
      <c r="B114" s="21"/>
      <c r="C114" s="446"/>
      <c r="U114" s="459"/>
      <c r="Z114" s="460"/>
      <c r="AC114" s="458"/>
      <c r="AD114" s="458"/>
      <c r="AE114" s="458"/>
    </row>
    <row r="115" spans="1:31" ht="17.5">
      <c r="A115" s="443">
        <v>97</v>
      </c>
      <c r="B115" s="19" t="s">
        <v>67</v>
      </c>
      <c r="C115" s="446"/>
      <c r="U115" s="459"/>
      <c r="Z115" s="460"/>
      <c r="AC115" s="458"/>
      <c r="AD115" s="458"/>
      <c r="AE115" s="458"/>
    </row>
    <row r="116" spans="1:31" ht="18">
      <c r="A116" s="443">
        <v>98</v>
      </c>
      <c r="B116" s="10" t="s">
        <v>392</v>
      </c>
      <c r="C116" s="446">
        <v>1635720</v>
      </c>
      <c r="D116" s="445">
        <v>12</v>
      </c>
      <c r="E116" s="446">
        <f>C116*D116</f>
        <v>19628640</v>
      </c>
      <c r="F116" s="446">
        <f>2043.5005*12</f>
        <v>24522.006000000001</v>
      </c>
      <c r="G116" s="447">
        <v>1378291.2</v>
      </c>
      <c r="H116" s="449"/>
      <c r="I116" s="446">
        <f t="shared" ref="I116:I125" si="106">E116-F116-G116-H116</f>
        <v>18225826.794</v>
      </c>
      <c r="J116" s="446">
        <v>200000</v>
      </c>
      <c r="K116" s="446">
        <v>0.2</v>
      </c>
      <c r="L116" s="446">
        <f>I116*K116</f>
        <v>3645165.3588</v>
      </c>
      <c r="M116" s="446">
        <f>J116+L116</f>
        <v>3845165.3588</v>
      </c>
      <c r="N116" s="446">
        <f t="shared" ref="N116:N125" si="107">F116+G116+H116+M116</f>
        <v>5247978.5647999998</v>
      </c>
      <c r="O116" s="446">
        <f t="shared" ref="O116:O125" si="108">E116-N116</f>
        <v>14380661.4352</v>
      </c>
      <c r="P116" s="446">
        <f>IF(O116&lt;300000,0.07*O116,21000)</f>
        <v>21000</v>
      </c>
      <c r="Q116" s="446">
        <f>IF((O116-300000)&lt;0,0,IF((O116-300000)&lt;300000,0.11*(O116-300000),33000))</f>
        <v>33000</v>
      </c>
      <c r="R116" s="446">
        <f>IF((O116-600000)&lt;0,0,IF((O116-600000)&lt;500000,0.15*(O116-600000),75000))</f>
        <v>75000</v>
      </c>
      <c r="S116" s="446">
        <f>IF((O116-1100000)&lt;0,0,IF((O116-1100000)&lt;500000,0.19*(O116-1100000),95000))</f>
        <v>95000</v>
      </c>
      <c r="T116" s="446">
        <f>IF((O116-1600000)&lt;0,0,IF((O116-1600000)&lt;1600000,0.21*(O116-1600000),336000))</f>
        <v>336000</v>
      </c>
      <c r="U116" s="446">
        <f t="shared" si="103"/>
        <v>2683358.7444480001</v>
      </c>
      <c r="V116" s="446">
        <f>P116+Q116+R116+S116+T116+U116</f>
        <v>3243358.7444480001</v>
      </c>
      <c r="W116" s="453">
        <v>12</v>
      </c>
      <c r="X116" s="446">
        <f>V116/W116</f>
        <v>270279.89537066699</v>
      </c>
      <c r="Y116" s="449"/>
      <c r="Z116" s="457">
        <f>X116</f>
        <v>270279.89537066699</v>
      </c>
      <c r="AA116" s="458">
        <v>179914.45476266701</v>
      </c>
      <c r="AB116" s="458">
        <f>Z116-AA116</f>
        <v>90365.440608000004</v>
      </c>
      <c r="AC116" s="458"/>
      <c r="AD116" s="458"/>
      <c r="AE116" s="458"/>
    </row>
    <row r="117" spans="1:31" ht="18">
      <c r="A117" s="443">
        <v>99</v>
      </c>
      <c r="B117" s="10" t="s">
        <v>130</v>
      </c>
      <c r="C117" s="446">
        <v>929203.58333333302</v>
      </c>
      <c r="D117" s="445">
        <v>12</v>
      </c>
      <c r="E117" s="446">
        <f t="shared" ref="E117:E125" si="109">C117*D117</f>
        <v>11150443</v>
      </c>
      <c r="F117" s="446">
        <f>1028.94225*12</f>
        <v>12347.307000000001</v>
      </c>
      <c r="G117" s="447">
        <v>709635.44</v>
      </c>
      <c r="H117" s="449"/>
      <c r="I117" s="446">
        <f t="shared" si="106"/>
        <v>10428460.253</v>
      </c>
      <c r="J117" s="446">
        <v>200000</v>
      </c>
      <c r="K117" s="446">
        <v>0.2</v>
      </c>
      <c r="L117" s="446">
        <f>I117*K117</f>
        <v>2085692.0506</v>
      </c>
      <c r="M117" s="446">
        <f>J117+L117</f>
        <v>2285692.0506000002</v>
      </c>
      <c r="N117" s="446">
        <f t="shared" si="107"/>
        <v>3007674.7976000002</v>
      </c>
      <c r="O117" s="446">
        <f t="shared" si="108"/>
        <v>8142768.2023999998</v>
      </c>
      <c r="P117" s="446">
        <f>IF(O117&lt;300000,0.07*O117,21000)</f>
        <v>21000</v>
      </c>
      <c r="Q117" s="446">
        <f>IF((O117-300000)&lt;0,0,IF((O117-300000)&lt;300000,0.11*(O117-300000),33000))</f>
        <v>33000</v>
      </c>
      <c r="R117" s="446">
        <f>IF((O117-600000)&lt;0,0,IF((O117-600000)&lt;500000,0.15*(O117-600000),75000))</f>
        <v>75000</v>
      </c>
      <c r="S117" s="446">
        <f>IF((O117-1100000)&lt;0,0,IF((O117-1100000)&lt;500000,0.19*(O117-1100000),95000))</f>
        <v>95000</v>
      </c>
      <c r="T117" s="446">
        <f>IF((O117-1600000)&lt;0,0,IF((O117-1600000)&lt;1600000,0.21*(O117-1600000),336000))</f>
        <v>336000</v>
      </c>
      <c r="U117" s="446">
        <f t="shared" si="103"/>
        <v>1186264.368576</v>
      </c>
      <c r="V117" s="446">
        <f>P117+Q117+R117+S117+T117+U117</f>
        <v>1746264.368576</v>
      </c>
      <c r="W117" s="453">
        <v>12</v>
      </c>
      <c r="X117" s="446">
        <f>V117/W117</f>
        <v>145522.03071466699</v>
      </c>
      <c r="Y117" s="449"/>
      <c r="Z117" s="457">
        <f>X117</f>
        <v>145522.03071466699</v>
      </c>
      <c r="AA117" s="458">
        <v>98995.956938666699</v>
      </c>
      <c r="AB117" s="458">
        <f t="shared" ref="AB117:AB125" si="110">Z117-AA117</f>
        <v>46526.073775999997</v>
      </c>
      <c r="AC117" s="458"/>
      <c r="AD117" s="458"/>
      <c r="AE117" s="458"/>
    </row>
    <row r="118" spans="1:31" ht="18">
      <c r="A118" s="443"/>
      <c r="B118" s="13" t="s">
        <v>395</v>
      </c>
      <c r="C118" s="446">
        <v>830675.58333333302</v>
      </c>
      <c r="D118" s="445">
        <v>12</v>
      </c>
      <c r="E118" s="446">
        <f t="shared" si="109"/>
        <v>9968107</v>
      </c>
      <c r="F118" s="446">
        <f>837.6875*12</f>
        <v>10052.25</v>
      </c>
      <c r="G118" s="447">
        <v>595848.56000000006</v>
      </c>
      <c r="H118" s="449"/>
      <c r="I118" s="446">
        <f t="shared" si="106"/>
        <v>9362206.1899999995</v>
      </c>
      <c r="J118" s="446">
        <v>200000</v>
      </c>
      <c r="K118" s="446">
        <v>0.2</v>
      </c>
      <c r="L118" s="446">
        <f>I118*K118</f>
        <v>1872441.2379999999</v>
      </c>
      <c r="M118" s="446">
        <f>J118+L118</f>
        <v>2072441.2379999999</v>
      </c>
      <c r="N118" s="446">
        <f t="shared" si="107"/>
        <v>2678342.048</v>
      </c>
      <c r="O118" s="446">
        <f t="shared" si="108"/>
        <v>7289764.9519999996</v>
      </c>
      <c r="P118" s="446">
        <f>IF(O118&lt;300000,0.07*O118,21000)</f>
        <v>21000</v>
      </c>
      <c r="Q118" s="446">
        <f>IF((O118-300000)&lt;0,0,IF((O118-300000)&lt;300000,0.11*(O118-300000),33000))</f>
        <v>33000</v>
      </c>
      <c r="R118" s="446">
        <f>IF((O118-600000)&lt;0,0,IF((O118-600000)&lt;500000,0.15*(O118-600000),75000))</f>
        <v>75000</v>
      </c>
      <c r="S118" s="446">
        <f>IF((O118-1100000)&lt;0,0,IF((O118-1100000)&lt;500000,0.19*(O118-1100000),95000))</f>
        <v>95000</v>
      </c>
      <c r="T118" s="446">
        <f>IF((O118-1600000)&lt;0,0,IF((O118-1600000)&lt;1600000,0.21*(O118-1600000),336000))</f>
        <v>336000</v>
      </c>
      <c r="U118" s="446">
        <f t="shared" si="103"/>
        <v>981543.58848000003</v>
      </c>
      <c r="V118" s="446">
        <f>P118+Q118+R118+S118+T118+U118</f>
        <v>1541543.5884799999</v>
      </c>
      <c r="W118" s="453">
        <v>12</v>
      </c>
      <c r="X118" s="446">
        <f>V118/W118</f>
        <v>128461.965706667</v>
      </c>
      <c r="Y118" s="449"/>
      <c r="Z118" s="457">
        <f>X118</f>
        <v>128461.965706667</v>
      </c>
      <c r="AA118" s="458">
        <v>89396.103146666603</v>
      </c>
      <c r="AB118" s="458">
        <f t="shared" si="110"/>
        <v>39065.862560000001</v>
      </c>
      <c r="AC118" s="458"/>
      <c r="AD118" s="458"/>
      <c r="AE118" s="458"/>
    </row>
    <row r="119" spans="1:31" ht="18">
      <c r="A119" s="443"/>
      <c r="B119" s="13" t="s">
        <v>226</v>
      </c>
      <c r="C119" s="446">
        <v>662118.08333333302</v>
      </c>
      <c r="D119" s="445">
        <v>12</v>
      </c>
      <c r="E119" s="446">
        <f t="shared" si="109"/>
        <v>7945417</v>
      </c>
      <c r="F119" s="446"/>
      <c r="G119" s="447">
        <v>0</v>
      </c>
      <c r="H119" s="449"/>
      <c r="I119" s="446">
        <f t="shared" si="106"/>
        <v>7945417</v>
      </c>
      <c r="J119" s="446">
        <v>200000</v>
      </c>
      <c r="K119" s="446">
        <v>0.2</v>
      </c>
      <c r="L119" s="446">
        <f>I119*K119</f>
        <v>1589083.4</v>
      </c>
      <c r="M119" s="446">
        <f>J119+L119</f>
        <v>1789083.4</v>
      </c>
      <c r="N119" s="446">
        <f t="shared" si="107"/>
        <v>1789083.4</v>
      </c>
      <c r="O119" s="446">
        <f t="shared" si="108"/>
        <v>6156333.5999999996</v>
      </c>
      <c r="P119" s="446">
        <f>IF(O119&lt;300000,0.07*O119,21000)</f>
        <v>21000</v>
      </c>
      <c r="Q119" s="446">
        <f>IF((O119-300000)&lt;0,0,IF((O119-300000)&lt;300000,0.11*(O119-300000),33000))</f>
        <v>33000</v>
      </c>
      <c r="R119" s="446">
        <f>IF((O119-600000)&lt;0,0,IF((O119-600000)&lt;500000,0.15*(O119-600000),75000))</f>
        <v>75000</v>
      </c>
      <c r="S119" s="446">
        <f>IF((O119-1100000)&lt;0,0,IF((O119-1100000)&lt;500000,0.19*(O119-1100000),95000))</f>
        <v>95000</v>
      </c>
      <c r="T119" s="446">
        <f>IF((O119-1600000)&lt;0,0,IF((O119-1600000)&lt;1600000,0.21*(O119-1600000),336000))</f>
        <v>336000</v>
      </c>
      <c r="U119" s="446">
        <f t="shared" si="103"/>
        <v>709520.06400000001</v>
      </c>
      <c r="V119" s="446">
        <f>P119+Q119+R119+S119+T119+U119</f>
        <v>1269520.064</v>
      </c>
      <c r="W119" s="453">
        <v>12</v>
      </c>
      <c r="X119" s="446">
        <f>V119/W119</f>
        <v>105793.338666667</v>
      </c>
      <c r="Y119" s="449"/>
      <c r="Z119" s="457">
        <f>X119</f>
        <v>105793.338666667</v>
      </c>
      <c r="AA119" s="458">
        <v>60214.677290666703</v>
      </c>
      <c r="AB119" s="458">
        <f t="shared" si="110"/>
        <v>45578.661375999996</v>
      </c>
      <c r="AC119" s="458"/>
      <c r="AD119" s="458"/>
      <c r="AE119" s="458"/>
    </row>
    <row r="120" spans="1:31" ht="18">
      <c r="A120" s="443">
        <v>101</v>
      </c>
      <c r="B120" s="10" t="s">
        <v>396</v>
      </c>
      <c r="C120" s="446">
        <v>540498</v>
      </c>
      <c r="D120" s="445">
        <v>12</v>
      </c>
      <c r="E120" s="446">
        <f t="shared" si="109"/>
        <v>6485976</v>
      </c>
      <c r="F120" s="446"/>
      <c r="G120" s="447">
        <v>451678.08</v>
      </c>
      <c r="H120" s="449"/>
      <c r="I120" s="446">
        <f t="shared" si="106"/>
        <v>6034297.9199999999</v>
      </c>
      <c r="J120" s="446">
        <v>200000</v>
      </c>
      <c r="K120" s="446">
        <v>0.2</v>
      </c>
      <c r="L120" s="446">
        <f t="shared" ref="L120:L125" si="111">I120*K120</f>
        <v>1206859.584</v>
      </c>
      <c r="M120" s="446">
        <f t="shared" ref="M120:M125" si="112">J120+L120</f>
        <v>1406859.584</v>
      </c>
      <c r="N120" s="446">
        <f t="shared" si="107"/>
        <v>1858537.6640000001</v>
      </c>
      <c r="O120" s="446">
        <f t="shared" si="108"/>
        <v>4627438.3360000001</v>
      </c>
      <c r="P120" s="446">
        <f t="shared" ref="P120:P125" si="113">IF(O120&lt;300000,0.07*O120,21000)</f>
        <v>21000</v>
      </c>
      <c r="Q120" s="446">
        <f t="shared" ref="Q120:Q125" si="114">IF((O120-300000)&lt;0,0,IF((O120-300000)&lt;300000,0.11*(O120-300000),33000))</f>
        <v>33000</v>
      </c>
      <c r="R120" s="446">
        <f t="shared" ref="R120:R125" si="115">IF((O120-600000)&lt;0,0,IF((O120-600000)&lt;500000,0.15*(O120-600000),75000))</f>
        <v>75000</v>
      </c>
      <c r="S120" s="446">
        <f t="shared" ref="S120:S125" si="116">IF((O120-1100000)&lt;0,0,IF((O120-1100000)&lt;500000,0.19*(O120-1100000),95000))</f>
        <v>95000</v>
      </c>
      <c r="T120" s="446">
        <f t="shared" ref="T120:T125" si="117">IF((O120-1600000)&lt;0,0,IF((O120-1600000)&lt;1600000,0.21*(O120-1600000),336000))</f>
        <v>336000</v>
      </c>
      <c r="U120" s="446">
        <f t="shared" si="103"/>
        <v>342585.20064</v>
      </c>
      <c r="V120" s="446">
        <f t="shared" ref="V120:V125" si="118">P120+Q120+R120+S120+T120+U120</f>
        <v>902585.20064000005</v>
      </c>
      <c r="W120" s="453">
        <v>12</v>
      </c>
      <c r="X120" s="446">
        <f t="shared" ref="X120:X125" si="119">V120/W120</f>
        <v>75215.4333866667</v>
      </c>
      <c r="Y120" s="449"/>
      <c r="Z120" s="457">
        <f t="shared" ref="Z120:Z125" si="120">X120</f>
        <v>75215.4333866667</v>
      </c>
      <c r="AA120" s="458">
        <v>44846.6165886667</v>
      </c>
      <c r="AB120" s="458">
        <f t="shared" si="110"/>
        <v>30368.816798</v>
      </c>
      <c r="AC120" s="458"/>
      <c r="AD120" s="458"/>
      <c r="AE120" s="458"/>
    </row>
    <row r="121" spans="1:31" ht="18">
      <c r="A121" s="443">
        <v>103</v>
      </c>
      <c r="B121" s="10" t="s">
        <v>398</v>
      </c>
      <c r="C121" s="446">
        <v>512746.5</v>
      </c>
      <c r="D121" s="445">
        <v>12</v>
      </c>
      <c r="E121" s="446">
        <f t="shared" si="109"/>
        <v>6152958</v>
      </c>
      <c r="F121" s="452">
        <f>646.3525*12</f>
        <v>7756.23</v>
      </c>
      <c r="G121" s="447">
        <v>425036.64</v>
      </c>
      <c r="H121" s="449"/>
      <c r="I121" s="446">
        <f t="shared" si="106"/>
        <v>5720165.1299999999</v>
      </c>
      <c r="J121" s="446">
        <v>200000</v>
      </c>
      <c r="K121" s="446">
        <v>0.2</v>
      </c>
      <c r="L121" s="446">
        <f t="shared" si="111"/>
        <v>1144033.0260000001</v>
      </c>
      <c r="M121" s="446">
        <f t="shared" si="112"/>
        <v>1344033.0260000001</v>
      </c>
      <c r="N121" s="446">
        <f t="shared" si="107"/>
        <v>1776825.8959999999</v>
      </c>
      <c r="O121" s="446">
        <f t="shared" si="108"/>
        <v>4376132.1040000003</v>
      </c>
      <c r="P121" s="446">
        <f t="shared" si="113"/>
        <v>21000</v>
      </c>
      <c r="Q121" s="446">
        <f t="shared" si="114"/>
        <v>33000</v>
      </c>
      <c r="R121" s="446">
        <f t="shared" si="115"/>
        <v>75000</v>
      </c>
      <c r="S121" s="446">
        <f t="shared" si="116"/>
        <v>95000</v>
      </c>
      <c r="T121" s="446">
        <f t="shared" si="117"/>
        <v>336000</v>
      </c>
      <c r="U121" s="446">
        <f t="shared" si="103"/>
        <v>282271.70496</v>
      </c>
      <c r="V121" s="446">
        <f t="shared" si="118"/>
        <v>842271.70496</v>
      </c>
      <c r="W121" s="453">
        <v>12</v>
      </c>
      <c r="X121" s="446">
        <f t="shared" si="119"/>
        <v>70189.308746666706</v>
      </c>
      <c r="Y121" s="449"/>
      <c r="Z121" s="457">
        <f t="shared" si="120"/>
        <v>70189.308746666706</v>
      </c>
      <c r="AA121" s="458">
        <v>42029.589186666701</v>
      </c>
      <c r="AB121" s="458">
        <f t="shared" si="110"/>
        <v>28159.719560000001</v>
      </c>
      <c r="AC121" s="458"/>
      <c r="AD121" s="458"/>
      <c r="AE121" s="458"/>
    </row>
    <row r="122" spans="1:31" ht="18">
      <c r="A122" s="443">
        <v>105</v>
      </c>
      <c r="B122" s="10" t="s">
        <v>400</v>
      </c>
      <c r="C122" s="446">
        <v>526622.25</v>
      </c>
      <c r="D122" s="445">
        <v>12</v>
      </c>
      <c r="E122" s="446">
        <f t="shared" si="109"/>
        <v>6319467</v>
      </c>
      <c r="F122" s="452">
        <f>668.31625*12</f>
        <v>8019.7950000000001</v>
      </c>
      <c r="G122" s="447">
        <v>438357.36</v>
      </c>
      <c r="H122" s="449"/>
      <c r="I122" s="446">
        <f t="shared" si="106"/>
        <v>5873089.8449999997</v>
      </c>
      <c r="J122" s="446">
        <v>200000</v>
      </c>
      <c r="K122" s="446">
        <v>0.2</v>
      </c>
      <c r="L122" s="446">
        <f t="shared" si="111"/>
        <v>1174617.969</v>
      </c>
      <c r="M122" s="446">
        <f t="shared" si="112"/>
        <v>1374617.969</v>
      </c>
      <c r="N122" s="446">
        <f t="shared" si="107"/>
        <v>1820995.1240000001</v>
      </c>
      <c r="O122" s="446">
        <f t="shared" si="108"/>
        <v>4498471.8760000002</v>
      </c>
      <c r="P122" s="446">
        <f t="shared" si="113"/>
        <v>21000</v>
      </c>
      <c r="Q122" s="446">
        <f t="shared" si="114"/>
        <v>33000</v>
      </c>
      <c r="R122" s="446">
        <f t="shared" si="115"/>
        <v>75000</v>
      </c>
      <c r="S122" s="446">
        <f t="shared" si="116"/>
        <v>95000</v>
      </c>
      <c r="T122" s="446">
        <f t="shared" si="117"/>
        <v>336000</v>
      </c>
      <c r="U122" s="446">
        <f t="shared" si="103"/>
        <v>311633.25024000002</v>
      </c>
      <c r="V122" s="446">
        <f t="shared" si="118"/>
        <v>871633.25023999996</v>
      </c>
      <c r="W122" s="453">
        <v>12</v>
      </c>
      <c r="X122" s="446">
        <f t="shared" si="119"/>
        <v>72636.104186666693</v>
      </c>
      <c r="Y122" s="449"/>
      <c r="Z122" s="457">
        <f t="shared" si="120"/>
        <v>72636.104186666693</v>
      </c>
      <c r="AA122" s="458">
        <v>43380.096246666697</v>
      </c>
      <c r="AB122" s="458">
        <f t="shared" si="110"/>
        <v>29256.00794</v>
      </c>
      <c r="AC122" s="458"/>
      <c r="AD122" s="458"/>
      <c r="AE122" s="458"/>
    </row>
    <row r="123" spans="1:31" ht="18">
      <c r="A123" s="443">
        <v>106</v>
      </c>
      <c r="B123" s="10" t="s">
        <v>401</v>
      </c>
      <c r="C123" s="446">
        <v>330481.66666666698</v>
      </c>
      <c r="D123" s="445">
        <v>12</v>
      </c>
      <c r="E123" s="446">
        <f t="shared" si="109"/>
        <v>3965780</v>
      </c>
      <c r="F123" s="446"/>
      <c r="G123" s="447">
        <v>259662.4</v>
      </c>
      <c r="H123" s="449"/>
      <c r="I123" s="446">
        <f t="shared" si="106"/>
        <v>3706117.6</v>
      </c>
      <c r="J123" s="446">
        <v>200000</v>
      </c>
      <c r="K123" s="446">
        <v>0.2</v>
      </c>
      <c r="L123" s="446">
        <f t="shared" si="111"/>
        <v>741223.52</v>
      </c>
      <c r="M123" s="446">
        <f t="shared" si="112"/>
        <v>941223.52</v>
      </c>
      <c r="N123" s="446">
        <f t="shared" si="107"/>
        <v>1200885.92</v>
      </c>
      <c r="O123" s="446">
        <f t="shared" si="108"/>
        <v>2764894.08</v>
      </c>
      <c r="P123" s="446">
        <f t="shared" si="113"/>
        <v>21000</v>
      </c>
      <c r="Q123" s="446">
        <f t="shared" si="114"/>
        <v>33000</v>
      </c>
      <c r="R123" s="446">
        <f t="shared" si="115"/>
        <v>75000</v>
      </c>
      <c r="S123" s="446">
        <f t="shared" si="116"/>
        <v>95000</v>
      </c>
      <c r="T123" s="446">
        <f t="shared" si="117"/>
        <v>244627.7568</v>
      </c>
      <c r="U123" s="446"/>
      <c r="V123" s="446">
        <f t="shared" si="118"/>
        <v>468627.75679999997</v>
      </c>
      <c r="W123" s="453">
        <v>12</v>
      </c>
      <c r="X123" s="446">
        <f t="shared" si="119"/>
        <v>39052.313066666698</v>
      </c>
      <c r="Y123" s="449"/>
      <c r="Z123" s="457">
        <f t="shared" si="120"/>
        <v>39052.313066666698</v>
      </c>
      <c r="AA123" s="458">
        <v>23036.012346666699</v>
      </c>
      <c r="AB123" s="458">
        <f t="shared" si="110"/>
        <v>16016.300719999999</v>
      </c>
      <c r="AC123" s="458"/>
      <c r="AD123" s="458"/>
      <c r="AE123" s="458"/>
    </row>
    <row r="124" spans="1:31" ht="18">
      <c r="A124" s="443">
        <v>107</v>
      </c>
      <c r="B124" s="17" t="s">
        <v>403</v>
      </c>
      <c r="C124" s="446">
        <v>274459.75</v>
      </c>
      <c r="D124" s="445">
        <v>12</v>
      </c>
      <c r="E124" s="446">
        <f t="shared" si="109"/>
        <v>3293517</v>
      </c>
      <c r="F124" s="446"/>
      <c r="G124" s="447">
        <v>215481.36</v>
      </c>
      <c r="H124" s="449"/>
      <c r="I124" s="446">
        <f t="shared" si="106"/>
        <v>3078035.64</v>
      </c>
      <c r="J124" s="446">
        <v>200000</v>
      </c>
      <c r="K124" s="446">
        <v>0.2</v>
      </c>
      <c r="L124" s="446">
        <f t="shared" si="111"/>
        <v>615607.12800000003</v>
      </c>
      <c r="M124" s="446">
        <f t="shared" si="112"/>
        <v>815607.12800000003</v>
      </c>
      <c r="N124" s="446">
        <f t="shared" si="107"/>
        <v>1031088.488</v>
      </c>
      <c r="O124" s="446">
        <f t="shared" si="108"/>
        <v>2262428.5120000001</v>
      </c>
      <c r="P124" s="446">
        <f t="shared" si="113"/>
        <v>21000</v>
      </c>
      <c r="Q124" s="446">
        <f t="shared" si="114"/>
        <v>33000</v>
      </c>
      <c r="R124" s="446">
        <f t="shared" si="115"/>
        <v>75000</v>
      </c>
      <c r="S124" s="446">
        <f t="shared" si="116"/>
        <v>95000</v>
      </c>
      <c r="T124" s="446">
        <f t="shared" si="117"/>
        <v>139109.98752</v>
      </c>
      <c r="U124" s="446"/>
      <c r="V124" s="446">
        <f t="shared" si="118"/>
        <v>363109.98752000002</v>
      </c>
      <c r="W124" s="453">
        <v>12</v>
      </c>
      <c r="X124" s="446">
        <f t="shared" si="119"/>
        <v>30259.165626666701</v>
      </c>
      <c r="Y124" s="449"/>
      <c r="Z124" s="457">
        <f t="shared" si="120"/>
        <v>30259.165626666701</v>
      </c>
      <c r="AA124" s="458">
        <v>17042.713866666702</v>
      </c>
      <c r="AB124" s="458">
        <f t="shared" si="110"/>
        <v>13216.45176</v>
      </c>
      <c r="AC124" s="458"/>
      <c r="AD124" s="458"/>
      <c r="AE124" s="458"/>
    </row>
    <row r="125" spans="1:31" ht="18">
      <c r="A125" s="443">
        <v>108</v>
      </c>
      <c r="B125" s="17" t="s">
        <v>405</v>
      </c>
      <c r="C125" s="446">
        <v>274459.75</v>
      </c>
      <c r="D125" s="445">
        <v>12</v>
      </c>
      <c r="E125" s="446">
        <f t="shared" si="109"/>
        <v>3293517</v>
      </c>
      <c r="F125" s="446"/>
      <c r="G125" s="447">
        <v>215481.36</v>
      </c>
      <c r="H125" s="449"/>
      <c r="I125" s="446">
        <f t="shared" si="106"/>
        <v>3078035.64</v>
      </c>
      <c r="J125" s="446">
        <v>200000</v>
      </c>
      <c r="K125" s="446">
        <v>0.2</v>
      </c>
      <c r="L125" s="446">
        <f t="shared" si="111"/>
        <v>615607.12800000003</v>
      </c>
      <c r="M125" s="446">
        <f t="shared" si="112"/>
        <v>815607.12800000003</v>
      </c>
      <c r="N125" s="446">
        <f t="shared" si="107"/>
        <v>1031088.488</v>
      </c>
      <c r="O125" s="446">
        <f t="shared" si="108"/>
        <v>2262428.5120000001</v>
      </c>
      <c r="P125" s="446">
        <f t="shared" si="113"/>
        <v>21000</v>
      </c>
      <c r="Q125" s="446">
        <f t="shared" si="114"/>
        <v>33000</v>
      </c>
      <c r="R125" s="446">
        <f t="shared" si="115"/>
        <v>75000</v>
      </c>
      <c r="S125" s="446">
        <f t="shared" si="116"/>
        <v>95000</v>
      </c>
      <c r="T125" s="446">
        <f t="shared" si="117"/>
        <v>139109.98752</v>
      </c>
      <c r="U125" s="446"/>
      <c r="V125" s="446">
        <f t="shared" si="118"/>
        <v>363109.98752000002</v>
      </c>
      <c r="W125" s="453">
        <v>12</v>
      </c>
      <c r="X125" s="446">
        <f t="shared" si="119"/>
        <v>30259.165626666701</v>
      </c>
      <c r="Y125" s="449"/>
      <c r="Z125" s="457">
        <f t="shared" si="120"/>
        <v>30259.165626666701</v>
      </c>
      <c r="AA125" s="458">
        <v>17042.713866666702</v>
      </c>
      <c r="AB125" s="458">
        <f t="shared" si="110"/>
        <v>13216.45176</v>
      </c>
      <c r="AC125" s="458"/>
      <c r="AD125" s="458"/>
      <c r="AE125" s="458"/>
    </row>
    <row r="126" spans="1:31" ht="17.5">
      <c r="A126" s="443">
        <v>109</v>
      </c>
      <c r="B126" s="19" t="s">
        <v>34</v>
      </c>
      <c r="C126" s="446"/>
      <c r="D126" s="445"/>
      <c r="E126" s="446"/>
      <c r="F126" s="446"/>
      <c r="G126" s="449"/>
      <c r="H126" s="449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53"/>
      <c r="X126" s="446"/>
      <c r="Y126" s="449"/>
      <c r="Z126" s="457"/>
      <c r="AA126" s="458"/>
      <c r="AB126" s="458"/>
      <c r="AC126" s="458"/>
      <c r="AD126" s="458"/>
      <c r="AE126" s="458"/>
    </row>
    <row r="127" spans="1:31" ht="17.5">
      <c r="A127" s="443">
        <v>110</v>
      </c>
      <c r="B127" s="21"/>
      <c r="C127" s="446"/>
      <c r="U127" s="459"/>
      <c r="Z127" s="460"/>
      <c r="AC127" s="458"/>
      <c r="AD127" s="458"/>
      <c r="AE127" s="458"/>
    </row>
    <row r="128" spans="1:31" ht="17.5">
      <c r="A128" s="443">
        <v>111</v>
      </c>
      <c r="B128" s="19" t="s">
        <v>71</v>
      </c>
      <c r="C128" s="446"/>
      <c r="U128" s="459"/>
      <c r="Z128" s="460"/>
      <c r="AC128" s="458"/>
      <c r="AD128" s="458"/>
      <c r="AE128" s="458"/>
    </row>
    <row r="129" spans="1:31" ht="18">
      <c r="A129" s="443">
        <v>112</v>
      </c>
      <c r="B129" s="10" t="s">
        <v>407</v>
      </c>
      <c r="C129" s="446">
        <v>1535720</v>
      </c>
      <c r="D129" s="445">
        <v>12</v>
      </c>
      <c r="E129" s="446">
        <f>C129*D129</f>
        <v>18428640</v>
      </c>
      <c r="F129" s="446"/>
      <c r="G129" s="447">
        <v>1378291.2</v>
      </c>
      <c r="H129" s="449"/>
      <c r="I129" s="446">
        <f t="shared" ref="I129:I187" si="121">E129-F129-G129-H129</f>
        <v>17050348.800000001</v>
      </c>
      <c r="J129" s="446">
        <v>200000</v>
      </c>
      <c r="K129" s="446">
        <v>0.2</v>
      </c>
      <c r="L129" s="446">
        <f t="shared" ref="L129:L187" si="122">I129*K129</f>
        <v>3410069.76</v>
      </c>
      <c r="M129" s="446">
        <f t="shared" ref="M129:M187" si="123">J129+L129</f>
        <v>3610069.76</v>
      </c>
      <c r="N129" s="446">
        <f t="shared" ref="N129:N187" si="124">F129+G129+H129+M129</f>
        <v>4988360.96</v>
      </c>
      <c r="O129" s="446">
        <f t="shared" ref="O129:O187" si="125">E129-N129</f>
        <v>13440279.039999999</v>
      </c>
      <c r="P129" s="446">
        <f t="shared" ref="P129:P187" si="126">IF(O129&lt;300000,0.07*O129,21000)</f>
        <v>21000</v>
      </c>
      <c r="Q129" s="446">
        <f t="shared" ref="Q129:Q187" si="127">IF((O129-300000)&lt;0,0,IF((O129-300000)&lt;300000,0.11*(O129-300000),33000))</f>
        <v>33000</v>
      </c>
      <c r="R129" s="446">
        <f t="shared" ref="R129:R187" si="128">IF((O129-600000)&lt;0,0,IF((O129-600000)&lt;500000,0.15*(O129-600000),75000))</f>
        <v>75000</v>
      </c>
      <c r="S129" s="446">
        <f t="shared" ref="S129:S187" si="129">IF((O129-1100000)&lt;0,0,IF((O129-1100000)&lt;500000,0.19*(O129-1100000),95000))</f>
        <v>95000</v>
      </c>
      <c r="T129" s="446">
        <f t="shared" ref="T129:T187" si="130">IF((O129-1600000)&lt;0,0,IF((O129-1600000)&lt;1600000,0.21*(O129-1600000),336000))</f>
        <v>336000</v>
      </c>
      <c r="U129" s="446">
        <f t="shared" si="103"/>
        <v>2457666.9696</v>
      </c>
      <c r="V129" s="446">
        <f>P129+Q129+R129+S129+T129+U129</f>
        <v>3017666.9696</v>
      </c>
      <c r="W129" s="453">
        <v>12</v>
      </c>
      <c r="X129" s="446">
        <f t="shared" ref="X129:X187" si="131">V129/W129</f>
        <v>251472.247466667</v>
      </c>
      <c r="Y129" s="449"/>
      <c r="Z129" s="457">
        <f t="shared" ref="Z129:Z187" si="132">X129</f>
        <v>251472.247466667</v>
      </c>
      <c r="AA129" s="458">
        <v>161106.806858667</v>
      </c>
      <c r="AB129" s="458">
        <f>Z129-AA129</f>
        <v>90365.440607999903</v>
      </c>
      <c r="AC129" s="458"/>
      <c r="AD129" s="458"/>
      <c r="AE129" s="458"/>
    </row>
    <row r="130" spans="1:31" ht="18">
      <c r="A130" s="443">
        <v>113</v>
      </c>
      <c r="B130" s="10" t="s">
        <v>229</v>
      </c>
      <c r="C130" s="446">
        <v>852373.16666666698</v>
      </c>
      <c r="D130" s="445">
        <v>12</v>
      </c>
      <c r="E130" s="446">
        <f t="shared" ref="E130:E187" si="133">C130*D130</f>
        <v>10228478</v>
      </c>
      <c r="F130" s="446"/>
      <c r="G130" s="447">
        <v>0</v>
      </c>
      <c r="H130" s="449"/>
      <c r="I130" s="446">
        <f t="shared" si="121"/>
        <v>10228478</v>
      </c>
      <c r="J130" s="446">
        <v>200000</v>
      </c>
      <c r="K130" s="446">
        <v>0.2</v>
      </c>
      <c r="L130" s="446">
        <f t="shared" si="122"/>
        <v>2045695.6</v>
      </c>
      <c r="M130" s="446">
        <f t="shared" si="123"/>
        <v>2245695.6</v>
      </c>
      <c r="N130" s="446">
        <f t="shared" si="124"/>
        <v>2245695.6</v>
      </c>
      <c r="O130" s="446">
        <f t="shared" si="125"/>
        <v>7982782.4000000004</v>
      </c>
      <c r="P130" s="446">
        <f t="shared" si="126"/>
        <v>21000</v>
      </c>
      <c r="Q130" s="446">
        <f t="shared" si="127"/>
        <v>33000</v>
      </c>
      <c r="R130" s="446">
        <f t="shared" si="128"/>
        <v>75000</v>
      </c>
      <c r="S130" s="446">
        <f t="shared" si="129"/>
        <v>95000</v>
      </c>
      <c r="T130" s="446">
        <f t="shared" si="130"/>
        <v>336000</v>
      </c>
      <c r="U130" s="446">
        <f t="shared" si="103"/>
        <v>1147867.7760000001</v>
      </c>
      <c r="V130" s="446">
        <f>P130+Q130+R130+S130+T130+U130</f>
        <v>1707867.7760000001</v>
      </c>
      <c r="W130" s="453">
        <v>12</v>
      </c>
      <c r="X130" s="446">
        <f t="shared" si="131"/>
        <v>142322.31466666699</v>
      </c>
      <c r="Y130" s="449"/>
      <c r="Z130" s="457">
        <f t="shared" si="132"/>
        <v>142322.31466666699</v>
      </c>
      <c r="AA130" s="458">
        <v>82627.951418666693</v>
      </c>
      <c r="AB130" s="458">
        <f t="shared" ref="AB130:AB187" si="134">Z130-AA130</f>
        <v>59694.363248000001</v>
      </c>
      <c r="AC130" s="458"/>
      <c r="AD130" s="458"/>
      <c r="AE130" s="458"/>
    </row>
    <row r="131" spans="1:31" ht="18">
      <c r="A131" s="443">
        <v>114</v>
      </c>
      <c r="B131" s="13" t="s">
        <v>409</v>
      </c>
      <c r="C131" s="446">
        <v>902373.16666666698</v>
      </c>
      <c r="D131" s="445">
        <v>12</v>
      </c>
      <c r="E131" s="446">
        <f t="shared" si="133"/>
        <v>10828478</v>
      </c>
      <c r="F131" s="446">
        <f>1066.32925*12</f>
        <v>12795.950999999999</v>
      </c>
      <c r="G131" s="447">
        <v>731878.24</v>
      </c>
      <c r="H131" s="449"/>
      <c r="I131" s="446">
        <f t="shared" si="121"/>
        <v>10083803.809</v>
      </c>
      <c r="J131" s="446">
        <v>200000</v>
      </c>
      <c r="K131" s="446">
        <v>0.2</v>
      </c>
      <c r="L131" s="446">
        <f t="shared" si="122"/>
        <v>2016760.7618</v>
      </c>
      <c r="M131" s="446">
        <f t="shared" si="123"/>
        <v>2216760.7618</v>
      </c>
      <c r="N131" s="446">
        <f t="shared" si="124"/>
        <v>2961434.9528000001</v>
      </c>
      <c r="O131" s="446">
        <f t="shared" si="125"/>
        <v>7867043.0471999999</v>
      </c>
      <c r="P131" s="446">
        <f t="shared" si="126"/>
        <v>21000</v>
      </c>
      <c r="Q131" s="446">
        <f t="shared" si="127"/>
        <v>33000</v>
      </c>
      <c r="R131" s="446">
        <f t="shared" si="128"/>
        <v>75000</v>
      </c>
      <c r="S131" s="446">
        <f t="shared" si="129"/>
        <v>95000</v>
      </c>
      <c r="T131" s="446">
        <f t="shared" si="130"/>
        <v>336000</v>
      </c>
      <c r="U131" s="446">
        <f t="shared" si="103"/>
        <v>1120090.3313279999</v>
      </c>
      <c r="V131" s="446">
        <f>P131+Q131+R131+S131+T131+U131</f>
        <v>1680090.3313279999</v>
      </c>
      <c r="W131" s="453">
        <v>12</v>
      </c>
      <c r="X131" s="446">
        <f t="shared" si="131"/>
        <v>140007.52761066699</v>
      </c>
      <c r="Y131" s="449"/>
      <c r="Z131" s="457">
        <f t="shared" si="132"/>
        <v>140007.52761066699</v>
      </c>
      <c r="AA131" s="458">
        <v>92023.216202666707</v>
      </c>
      <c r="AB131" s="458">
        <f t="shared" si="134"/>
        <v>47984.311408000001</v>
      </c>
      <c r="AC131" s="458"/>
      <c r="AD131" s="458"/>
      <c r="AE131" s="458"/>
    </row>
    <row r="132" spans="1:31" ht="18">
      <c r="A132" s="443">
        <v>115</v>
      </c>
      <c r="B132" s="10" t="s">
        <v>411</v>
      </c>
      <c r="C132" s="446">
        <v>554373.75</v>
      </c>
      <c r="D132" s="445">
        <v>12</v>
      </c>
      <c r="E132" s="446">
        <f t="shared" si="133"/>
        <v>6652485</v>
      </c>
      <c r="F132" s="446">
        <f>712.24525*12</f>
        <v>8546.9429999999993</v>
      </c>
      <c r="G132" s="447">
        <v>464998.8</v>
      </c>
      <c r="H132" s="449"/>
      <c r="I132" s="446">
        <f t="shared" si="121"/>
        <v>6178939.2570000002</v>
      </c>
      <c r="J132" s="446">
        <v>200000</v>
      </c>
      <c r="K132" s="446">
        <v>0.2</v>
      </c>
      <c r="L132" s="446">
        <f t="shared" si="122"/>
        <v>1235787.8514</v>
      </c>
      <c r="M132" s="446">
        <f t="shared" si="123"/>
        <v>1435787.8514</v>
      </c>
      <c r="N132" s="446">
        <f t="shared" si="124"/>
        <v>1909333.5944000001</v>
      </c>
      <c r="O132" s="446">
        <f t="shared" si="125"/>
        <v>4743151.4056000002</v>
      </c>
      <c r="P132" s="446">
        <f t="shared" si="126"/>
        <v>21000</v>
      </c>
      <c r="Q132" s="446">
        <f t="shared" si="127"/>
        <v>33000</v>
      </c>
      <c r="R132" s="446">
        <f t="shared" si="128"/>
        <v>75000</v>
      </c>
      <c r="S132" s="446">
        <f t="shared" si="129"/>
        <v>95000</v>
      </c>
      <c r="T132" s="446">
        <f t="shared" si="130"/>
        <v>336000</v>
      </c>
      <c r="U132" s="446">
        <f t="shared" si="103"/>
        <v>370356.337344</v>
      </c>
      <c r="V132" s="446">
        <f t="shared" ref="V132:V187" si="135">P132+Q132+R132+S132+T132+U132</f>
        <v>930356.337344</v>
      </c>
      <c r="W132" s="453">
        <v>12</v>
      </c>
      <c r="X132" s="446">
        <f t="shared" si="131"/>
        <v>77529.694778666701</v>
      </c>
      <c r="Y132" s="449"/>
      <c r="Z132" s="457">
        <f t="shared" si="132"/>
        <v>77529.694778666701</v>
      </c>
      <c r="AA132" s="458">
        <v>46081.202598666699</v>
      </c>
      <c r="AB132" s="458">
        <f t="shared" si="134"/>
        <v>31448.492180000001</v>
      </c>
      <c r="AC132" s="458"/>
      <c r="AD132" s="458"/>
      <c r="AE132" s="458"/>
    </row>
    <row r="133" spans="1:31" ht="18">
      <c r="A133" s="443">
        <v>116</v>
      </c>
      <c r="B133" s="10" t="s">
        <v>413</v>
      </c>
      <c r="C133" s="446">
        <v>554373.75</v>
      </c>
      <c r="D133" s="445">
        <v>12</v>
      </c>
      <c r="E133" s="446">
        <f t="shared" si="133"/>
        <v>6652485</v>
      </c>
      <c r="F133" s="446">
        <f>712.24525*12</f>
        <v>8546.9429999999993</v>
      </c>
      <c r="G133" s="447">
        <v>464998.8</v>
      </c>
      <c r="H133" s="449"/>
      <c r="I133" s="446">
        <f t="shared" si="121"/>
        <v>6178939.2570000002</v>
      </c>
      <c r="J133" s="446">
        <v>200000</v>
      </c>
      <c r="K133" s="446">
        <v>0.2</v>
      </c>
      <c r="L133" s="446">
        <f t="shared" si="122"/>
        <v>1235787.8514</v>
      </c>
      <c r="M133" s="446">
        <f t="shared" si="123"/>
        <v>1435787.8514</v>
      </c>
      <c r="N133" s="446">
        <f t="shared" si="124"/>
        <v>1909333.5944000001</v>
      </c>
      <c r="O133" s="446">
        <f t="shared" si="125"/>
        <v>4743151.4056000002</v>
      </c>
      <c r="P133" s="446">
        <f t="shared" si="126"/>
        <v>21000</v>
      </c>
      <c r="Q133" s="446">
        <f t="shared" si="127"/>
        <v>33000</v>
      </c>
      <c r="R133" s="446">
        <f t="shared" si="128"/>
        <v>75000</v>
      </c>
      <c r="S133" s="446">
        <f t="shared" si="129"/>
        <v>95000</v>
      </c>
      <c r="T133" s="446">
        <f t="shared" si="130"/>
        <v>336000</v>
      </c>
      <c r="U133" s="446">
        <f t="shared" si="103"/>
        <v>370356.337344</v>
      </c>
      <c r="V133" s="446">
        <f t="shared" si="135"/>
        <v>930356.337344</v>
      </c>
      <c r="W133" s="453">
        <v>12</v>
      </c>
      <c r="X133" s="446">
        <f t="shared" si="131"/>
        <v>77529.694778666701</v>
      </c>
      <c r="Y133" s="449"/>
      <c r="Z133" s="457">
        <f t="shared" si="132"/>
        <v>77529.694778666701</v>
      </c>
      <c r="AA133" s="458">
        <v>46081.202598666699</v>
      </c>
      <c r="AB133" s="458">
        <f t="shared" si="134"/>
        <v>31448.492180000001</v>
      </c>
      <c r="AC133" s="458"/>
      <c r="AD133" s="458"/>
      <c r="AE133" s="458"/>
    </row>
    <row r="134" spans="1:31" ht="18">
      <c r="A134" s="443">
        <v>117</v>
      </c>
      <c r="B134" s="10" t="s">
        <v>415</v>
      </c>
      <c r="C134" s="446">
        <v>554373.75</v>
      </c>
      <c r="D134" s="445">
        <v>12</v>
      </c>
      <c r="E134" s="446">
        <f t="shared" si="133"/>
        <v>6652485</v>
      </c>
      <c r="F134" s="446">
        <f>712.24525*12</f>
        <v>8546.9429999999993</v>
      </c>
      <c r="G134" s="447">
        <v>464998.8</v>
      </c>
      <c r="H134" s="449"/>
      <c r="I134" s="446">
        <f t="shared" si="121"/>
        <v>6178939.2570000002</v>
      </c>
      <c r="J134" s="446">
        <v>200000</v>
      </c>
      <c r="K134" s="446">
        <v>0.2</v>
      </c>
      <c r="L134" s="446">
        <f t="shared" si="122"/>
        <v>1235787.8514</v>
      </c>
      <c r="M134" s="446">
        <f t="shared" si="123"/>
        <v>1435787.8514</v>
      </c>
      <c r="N134" s="446">
        <f t="shared" si="124"/>
        <v>1909333.5944000001</v>
      </c>
      <c r="O134" s="446">
        <f t="shared" si="125"/>
        <v>4743151.4056000002</v>
      </c>
      <c r="P134" s="446">
        <f t="shared" si="126"/>
        <v>21000</v>
      </c>
      <c r="Q134" s="446">
        <f t="shared" si="127"/>
        <v>33000</v>
      </c>
      <c r="R134" s="446">
        <f t="shared" si="128"/>
        <v>75000</v>
      </c>
      <c r="S134" s="446">
        <f t="shared" si="129"/>
        <v>95000</v>
      </c>
      <c r="T134" s="446">
        <f t="shared" si="130"/>
        <v>336000</v>
      </c>
      <c r="U134" s="446">
        <f t="shared" si="103"/>
        <v>370356.337344</v>
      </c>
      <c r="V134" s="446">
        <f t="shared" si="135"/>
        <v>930356.337344</v>
      </c>
      <c r="W134" s="453">
        <v>12</v>
      </c>
      <c r="X134" s="446">
        <f t="shared" si="131"/>
        <v>77529.694778666701</v>
      </c>
      <c r="Y134" s="449"/>
      <c r="Z134" s="457">
        <f t="shared" si="132"/>
        <v>77529.694778666701</v>
      </c>
      <c r="AA134" s="458">
        <v>46081.202598666699</v>
      </c>
      <c r="AB134" s="458">
        <f t="shared" si="134"/>
        <v>31448.492180000001</v>
      </c>
      <c r="AC134" s="458"/>
      <c r="AD134" s="458"/>
      <c r="AE134" s="458"/>
    </row>
    <row r="135" spans="1:31" ht="18">
      <c r="A135" s="443">
        <v>118</v>
      </c>
      <c r="B135" s="10" t="s">
        <v>416</v>
      </c>
      <c r="C135" s="446">
        <v>450086.5</v>
      </c>
      <c r="D135" s="445">
        <v>12</v>
      </c>
      <c r="E135" s="446">
        <f t="shared" si="133"/>
        <v>5401038</v>
      </c>
      <c r="F135" s="446">
        <f>576.62125*12</f>
        <v>6919.4549999999999</v>
      </c>
      <c r="G135" s="447">
        <v>374483.04</v>
      </c>
      <c r="H135" s="449"/>
      <c r="I135" s="446">
        <f t="shared" si="121"/>
        <v>5019635.5049999999</v>
      </c>
      <c r="J135" s="446">
        <v>200000</v>
      </c>
      <c r="K135" s="446">
        <v>0.2</v>
      </c>
      <c r="L135" s="446">
        <f t="shared" si="122"/>
        <v>1003927.101</v>
      </c>
      <c r="M135" s="446">
        <f t="shared" si="123"/>
        <v>1203927.101</v>
      </c>
      <c r="N135" s="446">
        <f t="shared" si="124"/>
        <v>1585329.5959999999</v>
      </c>
      <c r="O135" s="446">
        <f t="shared" si="125"/>
        <v>3815708.4040000001</v>
      </c>
      <c r="P135" s="446">
        <f t="shared" si="126"/>
        <v>21000</v>
      </c>
      <c r="Q135" s="446">
        <f t="shared" si="127"/>
        <v>33000</v>
      </c>
      <c r="R135" s="446">
        <f t="shared" si="128"/>
        <v>75000</v>
      </c>
      <c r="S135" s="446">
        <f t="shared" si="129"/>
        <v>95000</v>
      </c>
      <c r="T135" s="446">
        <f t="shared" si="130"/>
        <v>336000</v>
      </c>
      <c r="U135" s="446">
        <f t="shared" si="103"/>
        <v>147770.01696000001</v>
      </c>
      <c r="V135" s="446">
        <f t="shared" si="135"/>
        <v>707770.01696000004</v>
      </c>
      <c r="W135" s="453">
        <v>12</v>
      </c>
      <c r="X135" s="446">
        <f t="shared" si="131"/>
        <v>58980.834746666696</v>
      </c>
      <c r="Y135" s="449"/>
      <c r="Z135" s="457">
        <f t="shared" si="132"/>
        <v>58980.834746666696</v>
      </c>
      <c r="AA135" s="458">
        <v>35221.954086666701</v>
      </c>
      <c r="AB135" s="458">
        <f t="shared" si="134"/>
        <v>23758.880659999999</v>
      </c>
      <c r="AC135" s="458"/>
      <c r="AD135" s="458"/>
      <c r="AE135" s="458"/>
    </row>
    <row r="136" spans="1:31" ht="18">
      <c r="A136" s="443">
        <v>119</v>
      </c>
      <c r="B136" s="10" t="s">
        <v>418</v>
      </c>
      <c r="C136" s="446">
        <v>450086.5</v>
      </c>
      <c r="D136" s="445">
        <v>12</v>
      </c>
      <c r="E136" s="446">
        <f t="shared" si="133"/>
        <v>5401038</v>
      </c>
      <c r="F136" s="446"/>
      <c r="G136" s="447">
        <v>374483.04</v>
      </c>
      <c r="H136" s="449"/>
      <c r="I136" s="446">
        <f t="shared" si="121"/>
        <v>5026554.96</v>
      </c>
      <c r="J136" s="446">
        <v>200000</v>
      </c>
      <c r="K136" s="446">
        <v>0.2</v>
      </c>
      <c r="L136" s="446">
        <f t="shared" si="122"/>
        <v>1005310.992</v>
      </c>
      <c r="M136" s="446">
        <f t="shared" si="123"/>
        <v>1205310.9920000001</v>
      </c>
      <c r="N136" s="446">
        <f t="shared" si="124"/>
        <v>1579794.0319999999</v>
      </c>
      <c r="O136" s="446">
        <f t="shared" si="125"/>
        <v>3821243.9679999999</v>
      </c>
      <c r="P136" s="446">
        <f t="shared" si="126"/>
        <v>21000</v>
      </c>
      <c r="Q136" s="446">
        <f t="shared" si="127"/>
        <v>33000</v>
      </c>
      <c r="R136" s="446">
        <f t="shared" si="128"/>
        <v>75000</v>
      </c>
      <c r="S136" s="446">
        <f t="shared" si="129"/>
        <v>95000</v>
      </c>
      <c r="T136" s="446">
        <f t="shared" si="130"/>
        <v>336000</v>
      </c>
      <c r="U136" s="446">
        <f t="shared" si="103"/>
        <v>149098.55231999999</v>
      </c>
      <c r="V136" s="446">
        <f t="shared" si="135"/>
        <v>709098.55232000002</v>
      </c>
      <c r="W136" s="453">
        <v>12</v>
      </c>
      <c r="X136" s="446">
        <f t="shared" si="131"/>
        <v>59091.5460266667</v>
      </c>
      <c r="Y136" s="449"/>
      <c r="Z136" s="457">
        <f t="shared" si="132"/>
        <v>59091.5460266667</v>
      </c>
      <c r="AA136" s="458">
        <v>35318.826456666699</v>
      </c>
      <c r="AB136" s="458">
        <f t="shared" si="134"/>
        <v>23772.719570000001</v>
      </c>
      <c r="AC136" s="458"/>
      <c r="AD136" s="458"/>
      <c r="AE136" s="458"/>
    </row>
    <row r="137" spans="1:31" ht="18">
      <c r="A137" s="443">
        <v>120</v>
      </c>
      <c r="B137" s="10" t="s">
        <v>419</v>
      </c>
      <c r="C137" s="446">
        <v>450086.5</v>
      </c>
      <c r="D137" s="445">
        <v>12</v>
      </c>
      <c r="E137" s="446">
        <f t="shared" si="133"/>
        <v>5401038</v>
      </c>
      <c r="F137" s="446"/>
      <c r="G137" s="447">
        <v>374483.04</v>
      </c>
      <c r="H137" s="449"/>
      <c r="I137" s="446">
        <f t="shared" si="121"/>
        <v>5026554.96</v>
      </c>
      <c r="J137" s="446">
        <v>200000</v>
      </c>
      <c r="K137" s="446">
        <v>0.2</v>
      </c>
      <c r="L137" s="446">
        <f t="shared" si="122"/>
        <v>1005310.992</v>
      </c>
      <c r="M137" s="446">
        <f t="shared" si="123"/>
        <v>1205310.9920000001</v>
      </c>
      <c r="N137" s="446">
        <f t="shared" si="124"/>
        <v>1579794.0319999999</v>
      </c>
      <c r="O137" s="446">
        <f t="shared" si="125"/>
        <v>3821243.9679999999</v>
      </c>
      <c r="P137" s="446">
        <f t="shared" si="126"/>
        <v>21000</v>
      </c>
      <c r="Q137" s="446">
        <f t="shared" si="127"/>
        <v>33000</v>
      </c>
      <c r="R137" s="446">
        <f t="shared" si="128"/>
        <v>75000</v>
      </c>
      <c r="S137" s="446">
        <f t="shared" si="129"/>
        <v>95000</v>
      </c>
      <c r="T137" s="446">
        <f t="shared" si="130"/>
        <v>336000</v>
      </c>
      <c r="U137" s="446">
        <f t="shared" si="103"/>
        <v>149098.55231999999</v>
      </c>
      <c r="V137" s="446">
        <f t="shared" si="135"/>
        <v>709098.55232000002</v>
      </c>
      <c r="W137" s="453">
        <v>12</v>
      </c>
      <c r="X137" s="446">
        <f t="shared" si="131"/>
        <v>59091.5460266667</v>
      </c>
      <c r="Y137" s="449"/>
      <c r="Z137" s="457">
        <f t="shared" si="132"/>
        <v>59091.5460266667</v>
      </c>
      <c r="AA137" s="458">
        <v>35318.826456666699</v>
      </c>
      <c r="AB137" s="458">
        <f t="shared" si="134"/>
        <v>23772.719570000001</v>
      </c>
      <c r="AC137" s="458"/>
      <c r="AD137" s="458"/>
      <c r="AE137" s="458"/>
    </row>
    <row r="138" spans="1:31" ht="36">
      <c r="A138" s="443">
        <v>121</v>
      </c>
      <c r="B138" s="10" t="s">
        <v>421</v>
      </c>
      <c r="C138" s="446">
        <v>437895.16666666698</v>
      </c>
      <c r="D138" s="445">
        <v>12</v>
      </c>
      <c r="E138" s="446">
        <f t="shared" si="133"/>
        <v>5254742</v>
      </c>
      <c r="F138" s="446"/>
      <c r="G138" s="447">
        <v>362779.36</v>
      </c>
      <c r="H138" s="449"/>
      <c r="I138" s="446">
        <f t="shared" si="121"/>
        <v>4891962.6399999997</v>
      </c>
      <c r="J138" s="446">
        <v>200000</v>
      </c>
      <c r="K138" s="446">
        <v>0.2</v>
      </c>
      <c r="L138" s="446">
        <f t="shared" si="122"/>
        <v>978392.52800000005</v>
      </c>
      <c r="M138" s="446">
        <f t="shared" si="123"/>
        <v>1178392.5279999999</v>
      </c>
      <c r="N138" s="446">
        <f t="shared" si="124"/>
        <v>1541171.888</v>
      </c>
      <c r="O138" s="446">
        <f t="shared" si="125"/>
        <v>3713570.1120000002</v>
      </c>
      <c r="P138" s="446">
        <f t="shared" si="126"/>
        <v>21000</v>
      </c>
      <c r="Q138" s="446">
        <f t="shared" si="127"/>
        <v>33000</v>
      </c>
      <c r="R138" s="446">
        <f t="shared" si="128"/>
        <v>75000</v>
      </c>
      <c r="S138" s="446">
        <f t="shared" si="129"/>
        <v>95000</v>
      </c>
      <c r="T138" s="446">
        <f t="shared" si="130"/>
        <v>336000</v>
      </c>
      <c r="U138" s="446">
        <f t="shared" si="103"/>
        <v>123256.82687999999</v>
      </c>
      <c r="V138" s="446">
        <f t="shared" si="135"/>
        <v>683256.82687999995</v>
      </c>
      <c r="W138" s="453">
        <v>12</v>
      </c>
      <c r="X138" s="446">
        <f t="shared" si="131"/>
        <v>56938.068906666696</v>
      </c>
      <c r="Y138" s="449"/>
      <c r="Z138" s="457">
        <f t="shared" si="132"/>
        <v>56938.068906666696</v>
      </c>
      <c r="AA138" s="458">
        <v>34968.882414666703</v>
      </c>
      <c r="AB138" s="458">
        <f t="shared" si="134"/>
        <v>21969.186492000001</v>
      </c>
      <c r="AC138" s="458"/>
      <c r="AD138" s="458"/>
      <c r="AE138" s="458"/>
    </row>
    <row r="139" spans="1:31" ht="18">
      <c r="A139" s="443">
        <v>122</v>
      </c>
      <c r="B139" s="10" t="s">
        <v>423</v>
      </c>
      <c r="C139" s="446">
        <v>425703.83333333302</v>
      </c>
      <c r="D139" s="445">
        <v>12</v>
      </c>
      <c r="E139" s="446">
        <f t="shared" si="133"/>
        <v>5108446</v>
      </c>
      <c r="F139" s="446">
        <f>538.022*12</f>
        <v>6456.2640000000001</v>
      </c>
      <c r="G139" s="447">
        <v>351075.68</v>
      </c>
      <c r="H139" s="449"/>
      <c r="I139" s="446">
        <f t="shared" si="121"/>
        <v>4750914.0559999999</v>
      </c>
      <c r="J139" s="446">
        <v>200000</v>
      </c>
      <c r="K139" s="446">
        <v>0.2</v>
      </c>
      <c r="L139" s="446">
        <f t="shared" si="122"/>
        <v>950182.8112</v>
      </c>
      <c r="M139" s="446">
        <f t="shared" si="123"/>
        <v>1150182.8112000001</v>
      </c>
      <c r="N139" s="446">
        <f t="shared" si="124"/>
        <v>1507714.7552</v>
      </c>
      <c r="O139" s="446">
        <f t="shared" si="125"/>
        <v>3600731.2448</v>
      </c>
      <c r="P139" s="446">
        <f t="shared" si="126"/>
        <v>21000</v>
      </c>
      <c r="Q139" s="446">
        <f t="shared" si="127"/>
        <v>33000</v>
      </c>
      <c r="R139" s="446">
        <f t="shared" si="128"/>
        <v>75000</v>
      </c>
      <c r="S139" s="446">
        <f t="shared" si="129"/>
        <v>95000</v>
      </c>
      <c r="T139" s="446">
        <f t="shared" si="130"/>
        <v>336000</v>
      </c>
      <c r="U139" s="446">
        <f t="shared" si="103"/>
        <v>96175.498752</v>
      </c>
      <c r="V139" s="446">
        <f t="shared" si="135"/>
        <v>656175.49875200004</v>
      </c>
      <c r="W139" s="453">
        <v>12</v>
      </c>
      <c r="X139" s="446">
        <f t="shared" si="131"/>
        <v>54681.291562666702</v>
      </c>
      <c r="Y139" s="449"/>
      <c r="Z139" s="457">
        <f t="shared" si="132"/>
        <v>54681.291562666702</v>
      </c>
      <c r="AA139" s="458">
        <v>32848.563402666703</v>
      </c>
      <c r="AB139" s="458">
        <f t="shared" si="134"/>
        <v>21832.728159999999</v>
      </c>
      <c r="AC139" s="458"/>
      <c r="AD139" s="458"/>
      <c r="AE139" s="458"/>
    </row>
    <row r="140" spans="1:31" ht="18">
      <c r="A140" s="443">
        <v>123</v>
      </c>
      <c r="B140" s="10" t="s">
        <v>425</v>
      </c>
      <c r="C140" s="446">
        <v>450086.5</v>
      </c>
      <c r="D140" s="445">
        <v>12</v>
      </c>
      <c r="E140" s="446">
        <f t="shared" si="133"/>
        <v>5401038</v>
      </c>
      <c r="F140" s="446">
        <f>576.62125*12</f>
        <v>6919.4549999999999</v>
      </c>
      <c r="G140" s="447">
        <v>374483.04</v>
      </c>
      <c r="H140" s="449"/>
      <c r="I140" s="446">
        <f t="shared" si="121"/>
        <v>5019635.5049999999</v>
      </c>
      <c r="J140" s="446">
        <v>200000</v>
      </c>
      <c r="K140" s="446">
        <v>0.2</v>
      </c>
      <c r="L140" s="446">
        <f t="shared" si="122"/>
        <v>1003927.101</v>
      </c>
      <c r="M140" s="446">
        <f t="shared" si="123"/>
        <v>1203927.101</v>
      </c>
      <c r="N140" s="446">
        <f t="shared" si="124"/>
        <v>1585329.5959999999</v>
      </c>
      <c r="O140" s="446">
        <f t="shared" si="125"/>
        <v>3815708.4040000001</v>
      </c>
      <c r="P140" s="446">
        <f t="shared" si="126"/>
        <v>21000</v>
      </c>
      <c r="Q140" s="446">
        <f t="shared" si="127"/>
        <v>33000</v>
      </c>
      <c r="R140" s="446">
        <f t="shared" si="128"/>
        <v>75000</v>
      </c>
      <c r="S140" s="446">
        <f t="shared" si="129"/>
        <v>95000</v>
      </c>
      <c r="T140" s="446">
        <f t="shared" si="130"/>
        <v>336000</v>
      </c>
      <c r="U140" s="446">
        <f t="shared" si="103"/>
        <v>147770.01696000001</v>
      </c>
      <c r="V140" s="446">
        <f t="shared" si="135"/>
        <v>707770.01696000004</v>
      </c>
      <c r="W140" s="453">
        <v>12</v>
      </c>
      <c r="X140" s="446">
        <f t="shared" si="131"/>
        <v>58980.834746666696</v>
      </c>
      <c r="Y140" s="449"/>
      <c r="Z140" s="457">
        <f t="shared" si="132"/>
        <v>58980.834746666696</v>
      </c>
      <c r="AA140" s="458">
        <v>35221.954086666701</v>
      </c>
      <c r="AB140" s="458">
        <f t="shared" si="134"/>
        <v>23758.880659999999</v>
      </c>
      <c r="AC140" s="458"/>
      <c r="AD140" s="458"/>
      <c r="AE140" s="458"/>
    </row>
    <row r="141" spans="1:31" ht="18">
      <c r="A141" s="443">
        <v>124</v>
      </c>
      <c r="B141" s="17" t="s">
        <v>427</v>
      </c>
      <c r="C141" s="446">
        <v>413512.5</v>
      </c>
      <c r="D141" s="445">
        <v>12</v>
      </c>
      <c r="E141" s="446">
        <f t="shared" si="133"/>
        <v>4962150</v>
      </c>
      <c r="F141" s="446">
        <v>0</v>
      </c>
      <c r="G141" s="447">
        <v>339372</v>
      </c>
      <c r="H141" s="449"/>
      <c r="I141" s="446">
        <f t="shared" si="121"/>
        <v>4622778</v>
      </c>
      <c r="J141" s="446">
        <v>200000</v>
      </c>
      <c r="K141" s="446">
        <v>0.2</v>
      </c>
      <c r="L141" s="446">
        <f t="shared" si="122"/>
        <v>924555.6</v>
      </c>
      <c r="M141" s="446">
        <f t="shared" si="123"/>
        <v>1124555.6000000001</v>
      </c>
      <c r="N141" s="446">
        <f t="shared" si="124"/>
        <v>1463927.6</v>
      </c>
      <c r="O141" s="446">
        <f t="shared" si="125"/>
        <v>3498222.4</v>
      </c>
      <c r="P141" s="446">
        <f t="shared" si="126"/>
        <v>21000</v>
      </c>
      <c r="Q141" s="446">
        <f t="shared" si="127"/>
        <v>33000</v>
      </c>
      <c r="R141" s="446">
        <f t="shared" si="128"/>
        <v>75000</v>
      </c>
      <c r="S141" s="446">
        <f t="shared" si="129"/>
        <v>95000</v>
      </c>
      <c r="T141" s="446">
        <f t="shared" si="130"/>
        <v>336000</v>
      </c>
      <c r="U141" s="446">
        <f t="shared" si="103"/>
        <v>71573.376000000004</v>
      </c>
      <c r="V141" s="446">
        <f t="shared" si="135"/>
        <v>631573.37600000005</v>
      </c>
      <c r="W141" s="453">
        <v>12</v>
      </c>
      <c r="X141" s="446">
        <f t="shared" si="131"/>
        <v>52631.114666666697</v>
      </c>
      <c r="Y141" s="449"/>
      <c r="Z141" s="457">
        <f t="shared" si="132"/>
        <v>52631.114666666697</v>
      </c>
      <c r="AA141" s="458">
        <v>31749.175266666702</v>
      </c>
      <c r="AB141" s="458">
        <f t="shared" si="134"/>
        <v>20881.939399999999</v>
      </c>
      <c r="AC141" s="458"/>
      <c r="AD141" s="458"/>
      <c r="AE141" s="458"/>
    </row>
    <row r="142" spans="1:31" ht="18">
      <c r="A142" s="443">
        <v>125</v>
      </c>
      <c r="B142" s="10" t="s">
        <v>429</v>
      </c>
      <c r="C142" s="446">
        <v>368901.5</v>
      </c>
      <c r="D142" s="445">
        <v>12</v>
      </c>
      <c r="E142" s="446">
        <f t="shared" si="133"/>
        <v>4426818</v>
      </c>
      <c r="F142" s="446"/>
      <c r="G142" s="447">
        <v>296545.44</v>
      </c>
      <c r="H142" s="449"/>
      <c r="I142" s="446">
        <f t="shared" si="121"/>
        <v>4130272.56</v>
      </c>
      <c r="J142" s="446">
        <v>200000</v>
      </c>
      <c r="K142" s="446">
        <v>0.2</v>
      </c>
      <c r="L142" s="446">
        <f t="shared" si="122"/>
        <v>826054.51199999999</v>
      </c>
      <c r="M142" s="446">
        <f t="shared" si="123"/>
        <v>1026054.512</v>
      </c>
      <c r="N142" s="446">
        <f t="shared" si="124"/>
        <v>1322599.952</v>
      </c>
      <c r="O142" s="446">
        <f t="shared" si="125"/>
        <v>3104218.048</v>
      </c>
      <c r="P142" s="446">
        <f t="shared" si="126"/>
        <v>21000</v>
      </c>
      <c r="Q142" s="446">
        <f t="shared" si="127"/>
        <v>33000</v>
      </c>
      <c r="R142" s="446">
        <f t="shared" si="128"/>
        <v>75000</v>
      </c>
      <c r="S142" s="446">
        <f t="shared" si="129"/>
        <v>95000</v>
      </c>
      <c r="T142" s="446">
        <f t="shared" si="130"/>
        <v>315885.79008000001</v>
      </c>
      <c r="U142" s="446"/>
      <c r="V142" s="446">
        <f t="shared" si="135"/>
        <v>539885.79007999995</v>
      </c>
      <c r="W142" s="453">
        <v>12</v>
      </c>
      <c r="X142" s="446">
        <f t="shared" si="131"/>
        <v>44990.482506666704</v>
      </c>
      <c r="Y142" s="449"/>
      <c r="Z142" s="457">
        <f t="shared" si="132"/>
        <v>44990.482506666704</v>
      </c>
      <c r="AA142" s="458">
        <v>27105.986562666702</v>
      </c>
      <c r="AB142" s="458">
        <f t="shared" si="134"/>
        <v>17884.495943999998</v>
      </c>
      <c r="AC142" s="458"/>
      <c r="AD142" s="458"/>
      <c r="AE142" s="458"/>
    </row>
    <row r="143" spans="1:31" ht="18">
      <c r="A143" s="443">
        <v>126</v>
      </c>
      <c r="B143" s="10" t="s">
        <v>431</v>
      </c>
      <c r="C143" s="446">
        <v>376837.41666666698</v>
      </c>
      <c r="D143" s="445">
        <v>12</v>
      </c>
      <c r="E143" s="446">
        <f t="shared" si="133"/>
        <v>4522049</v>
      </c>
      <c r="F143" s="446">
        <f>469.4825*12</f>
        <v>5633.79</v>
      </c>
      <c r="G143" s="447">
        <v>304163.92</v>
      </c>
      <c r="H143" s="449"/>
      <c r="I143" s="446">
        <f t="shared" si="121"/>
        <v>4212251.29</v>
      </c>
      <c r="J143" s="446">
        <v>200000</v>
      </c>
      <c r="K143" s="446">
        <v>0.2</v>
      </c>
      <c r="L143" s="446">
        <f t="shared" si="122"/>
        <v>842450.25800000003</v>
      </c>
      <c r="M143" s="446">
        <f t="shared" si="123"/>
        <v>1042450.258</v>
      </c>
      <c r="N143" s="446">
        <f t="shared" si="124"/>
        <v>1352247.9680000001</v>
      </c>
      <c r="O143" s="446">
        <f t="shared" si="125"/>
        <v>3169801.0320000001</v>
      </c>
      <c r="P143" s="446">
        <f t="shared" si="126"/>
        <v>21000</v>
      </c>
      <c r="Q143" s="446">
        <f t="shared" si="127"/>
        <v>33000</v>
      </c>
      <c r="R143" s="446">
        <f t="shared" si="128"/>
        <v>75000</v>
      </c>
      <c r="S143" s="446">
        <f t="shared" si="129"/>
        <v>95000</v>
      </c>
      <c r="T143" s="446">
        <f t="shared" si="130"/>
        <v>329658.21672000003</v>
      </c>
      <c r="U143" s="446"/>
      <c r="V143" s="446">
        <f t="shared" si="135"/>
        <v>553658.21672000003</v>
      </c>
      <c r="W143" s="453">
        <v>12</v>
      </c>
      <c r="X143" s="446">
        <f t="shared" si="131"/>
        <v>46138.184726666703</v>
      </c>
      <c r="Y143" s="449"/>
      <c r="Z143" s="457">
        <f t="shared" si="132"/>
        <v>46138.184726666703</v>
      </c>
      <c r="AA143" s="458">
        <v>27794.206626666699</v>
      </c>
      <c r="AB143" s="458">
        <f t="shared" si="134"/>
        <v>18343.9781</v>
      </c>
      <c r="AC143" s="458"/>
      <c r="AD143" s="458"/>
      <c r="AE143" s="458"/>
    </row>
    <row r="144" spans="1:31" ht="18">
      <c r="A144" s="443">
        <v>127</v>
      </c>
      <c r="B144" s="10" t="s">
        <v>433</v>
      </c>
      <c r="C144" s="446">
        <v>376837.41666666698</v>
      </c>
      <c r="D144" s="445">
        <v>12</v>
      </c>
      <c r="E144" s="446">
        <f t="shared" si="133"/>
        <v>4522049</v>
      </c>
      <c r="F144" s="446"/>
      <c r="G144" s="447">
        <v>304163.92</v>
      </c>
      <c r="H144" s="449"/>
      <c r="I144" s="446">
        <f t="shared" si="121"/>
        <v>4217885.08</v>
      </c>
      <c r="J144" s="446">
        <v>200000</v>
      </c>
      <c r="K144" s="446">
        <v>0.2</v>
      </c>
      <c r="L144" s="446">
        <f t="shared" si="122"/>
        <v>843577.01599999995</v>
      </c>
      <c r="M144" s="446">
        <f t="shared" si="123"/>
        <v>1043577.0159999999</v>
      </c>
      <c r="N144" s="446">
        <f t="shared" si="124"/>
        <v>1347740.936</v>
      </c>
      <c r="O144" s="446">
        <f t="shared" si="125"/>
        <v>3174308.0639999998</v>
      </c>
      <c r="P144" s="446">
        <f t="shared" si="126"/>
        <v>21000</v>
      </c>
      <c r="Q144" s="446">
        <f t="shared" si="127"/>
        <v>33000</v>
      </c>
      <c r="R144" s="446">
        <f t="shared" si="128"/>
        <v>75000</v>
      </c>
      <c r="S144" s="446">
        <f t="shared" si="129"/>
        <v>95000</v>
      </c>
      <c r="T144" s="446">
        <f t="shared" si="130"/>
        <v>330604.69344</v>
      </c>
      <c r="U144" s="446"/>
      <c r="V144" s="446">
        <f t="shared" si="135"/>
        <v>554604.69343999994</v>
      </c>
      <c r="W144" s="453">
        <v>12</v>
      </c>
      <c r="X144" s="446">
        <f t="shared" si="131"/>
        <v>46217.057786666701</v>
      </c>
      <c r="Y144" s="449"/>
      <c r="Z144" s="457">
        <f t="shared" si="132"/>
        <v>46217.057786666701</v>
      </c>
      <c r="AA144" s="458">
        <v>27873.079686666701</v>
      </c>
      <c r="AB144" s="458">
        <f t="shared" si="134"/>
        <v>18343.9781</v>
      </c>
      <c r="AC144" s="458"/>
      <c r="AD144" s="458"/>
      <c r="AE144" s="458"/>
    </row>
    <row r="145" spans="1:31" ht="18">
      <c r="A145" s="443">
        <v>128</v>
      </c>
      <c r="B145" s="10" t="s">
        <v>434</v>
      </c>
      <c r="C145" s="446">
        <v>360965.58333333302</v>
      </c>
      <c r="D145" s="445">
        <v>12</v>
      </c>
      <c r="E145" s="446">
        <f t="shared" si="133"/>
        <v>4331587</v>
      </c>
      <c r="F145" s="446"/>
      <c r="G145" s="447">
        <v>288926.96000000002</v>
      </c>
      <c r="H145" s="449"/>
      <c r="I145" s="446">
        <f t="shared" si="121"/>
        <v>4042660.04</v>
      </c>
      <c r="J145" s="446">
        <v>200000</v>
      </c>
      <c r="K145" s="446">
        <v>0.2</v>
      </c>
      <c r="L145" s="446">
        <f t="shared" si="122"/>
        <v>808532.00800000003</v>
      </c>
      <c r="M145" s="446">
        <f t="shared" si="123"/>
        <v>1008532.008</v>
      </c>
      <c r="N145" s="446">
        <f t="shared" si="124"/>
        <v>1297458.9680000001</v>
      </c>
      <c r="O145" s="446">
        <f t="shared" si="125"/>
        <v>3034128.0320000001</v>
      </c>
      <c r="P145" s="446">
        <f t="shared" si="126"/>
        <v>21000</v>
      </c>
      <c r="Q145" s="446">
        <f t="shared" si="127"/>
        <v>33000</v>
      </c>
      <c r="R145" s="446">
        <f t="shared" si="128"/>
        <v>75000</v>
      </c>
      <c r="S145" s="446">
        <f t="shared" si="129"/>
        <v>95000</v>
      </c>
      <c r="T145" s="446">
        <f t="shared" si="130"/>
        <v>301166.88672000001</v>
      </c>
      <c r="U145" s="446"/>
      <c r="V145" s="446">
        <f t="shared" si="135"/>
        <v>525166.88671999995</v>
      </c>
      <c r="W145" s="453">
        <v>12</v>
      </c>
      <c r="X145" s="446">
        <f t="shared" si="131"/>
        <v>43763.907226666699</v>
      </c>
      <c r="Y145" s="449"/>
      <c r="Z145" s="457">
        <f t="shared" si="132"/>
        <v>43763.907226666699</v>
      </c>
      <c r="AA145" s="458">
        <v>27105.986562666702</v>
      </c>
      <c r="AB145" s="458">
        <f t="shared" si="134"/>
        <v>16657.920664000001</v>
      </c>
      <c r="AC145" s="458"/>
      <c r="AD145" s="458"/>
      <c r="AE145" s="458"/>
    </row>
    <row r="146" spans="1:31" ht="36">
      <c r="A146" s="443">
        <v>129</v>
      </c>
      <c r="B146" s="10" t="s">
        <v>436</v>
      </c>
      <c r="C146" s="446">
        <v>323165.33333333302</v>
      </c>
      <c r="D146" s="445">
        <v>12</v>
      </c>
      <c r="E146" s="446">
        <f t="shared" si="133"/>
        <v>3877984</v>
      </c>
      <c r="F146" s="446"/>
      <c r="G146" s="447">
        <v>252638.72</v>
      </c>
      <c r="H146" s="449"/>
      <c r="I146" s="446">
        <f t="shared" si="121"/>
        <v>3625345.28</v>
      </c>
      <c r="J146" s="446">
        <v>200000</v>
      </c>
      <c r="K146" s="446">
        <v>0.2</v>
      </c>
      <c r="L146" s="446">
        <f t="shared" si="122"/>
        <v>725069.05599999998</v>
      </c>
      <c r="M146" s="446">
        <f t="shared" si="123"/>
        <v>925069.05599999998</v>
      </c>
      <c r="N146" s="446">
        <f t="shared" si="124"/>
        <v>1177707.7760000001</v>
      </c>
      <c r="O146" s="446">
        <f t="shared" si="125"/>
        <v>2700276.2239999999</v>
      </c>
      <c r="P146" s="446">
        <f t="shared" si="126"/>
        <v>21000</v>
      </c>
      <c r="Q146" s="446">
        <f t="shared" si="127"/>
        <v>33000</v>
      </c>
      <c r="R146" s="446">
        <f t="shared" si="128"/>
        <v>75000</v>
      </c>
      <c r="S146" s="446">
        <f t="shared" si="129"/>
        <v>95000</v>
      </c>
      <c r="T146" s="446">
        <f t="shared" si="130"/>
        <v>231058.00704</v>
      </c>
      <c r="U146" s="446"/>
      <c r="V146" s="446">
        <f t="shared" si="135"/>
        <v>455058.00704</v>
      </c>
      <c r="W146" s="453">
        <v>12</v>
      </c>
      <c r="X146" s="446">
        <f t="shared" si="131"/>
        <v>37921.500586666698</v>
      </c>
      <c r="Y146" s="449"/>
      <c r="Z146" s="457">
        <f t="shared" si="132"/>
        <v>37921.500586666698</v>
      </c>
      <c r="AA146" s="458">
        <v>22338.4826046667</v>
      </c>
      <c r="AB146" s="458">
        <f t="shared" si="134"/>
        <v>15583.017981999999</v>
      </c>
      <c r="AC146" s="458"/>
      <c r="AD146" s="458"/>
      <c r="AE146" s="458"/>
    </row>
    <row r="147" spans="1:31" ht="18">
      <c r="A147" s="443">
        <v>130</v>
      </c>
      <c r="B147" s="10" t="s">
        <v>438</v>
      </c>
      <c r="C147" s="446">
        <v>368901.5</v>
      </c>
      <c r="D147" s="445">
        <v>12</v>
      </c>
      <c r="E147" s="446">
        <f t="shared" si="133"/>
        <v>4426818</v>
      </c>
      <c r="F147" s="446"/>
      <c r="G147" s="447">
        <v>296545.44</v>
      </c>
      <c r="H147" s="449"/>
      <c r="I147" s="446">
        <f t="shared" si="121"/>
        <v>4130272.56</v>
      </c>
      <c r="J147" s="446">
        <v>200000</v>
      </c>
      <c r="K147" s="446">
        <v>0.2</v>
      </c>
      <c r="L147" s="446">
        <f t="shared" si="122"/>
        <v>826054.51199999999</v>
      </c>
      <c r="M147" s="446">
        <f t="shared" si="123"/>
        <v>1026054.512</v>
      </c>
      <c r="N147" s="446">
        <f t="shared" si="124"/>
        <v>1322599.952</v>
      </c>
      <c r="O147" s="446">
        <f t="shared" si="125"/>
        <v>3104218.048</v>
      </c>
      <c r="P147" s="446">
        <f t="shared" si="126"/>
        <v>21000</v>
      </c>
      <c r="Q147" s="446">
        <f t="shared" si="127"/>
        <v>33000</v>
      </c>
      <c r="R147" s="446">
        <f t="shared" si="128"/>
        <v>75000</v>
      </c>
      <c r="S147" s="446">
        <f t="shared" si="129"/>
        <v>95000</v>
      </c>
      <c r="T147" s="446">
        <f t="shared" si="130"/>
        <v>315885.79008000001</v>
      </c>
      <c r="U147" s="446"/>
      <c r="V147" s="446">
        <f t="shared" si="135"/>
        <v>539885.79007999995</v>
      </c>
      <c r="W147" s="453">
        <v>12</v>
      </c>
      <c r="X147" s="446">
        <f t="shared" si="131"/>
        <v>44990.482506666704</v>
      </c>
      <c r="Y147" s="449"/>
      <c r="Z147" s="457">
        <f t="shared" si="132"/>
        <v>44990.482506666704</v>
      </c>
      <c r="AA147" s="458">
        <v>27105.986562666702</v>
      </c>
      <c r="AB147" s="458">
        <f t="shared" si="134"/>
        <v>17884.495943999998</v>
      </c>
      <c r="AC147" s="458"/>
      <c r="AD147" s="458"/>
      <c r="AE147" s="458"/>
    </row>
    <row r="148" spans="1:31" ht="18">
      <c r="A148" s="443">
        <v>131</v>
      </c>
      <c r="B148" s="10" t="s">
        <v>440</v>
      </c>
      <c r="C148" s="446">
        <v>330481.66666666698</v>
      </c>
      <c r="D148" s="445">
        <v>12</v>
      </c>
      <c r="E148" s="446">
        <f t="shared" si="133"/>
        <v>3965780</v>
      </c>
      <c r="F148" s="446"/>
      <c r="G148" s="447">
        <v>259662.4</v>
      </c>
      <c r="H148" s="449"/>
      <c r="I148" s="446">
        <f t="shared" si="121"/>
        <v>3706117.6</v>
      </c>
      <c r="J148" s="446">
        <v>200000</v>
      </c>
      <c r="K148" s="446">
        <v>0.2</v>
      </c>
      <c r="L148" s="446">
        <f t="shared" si="122"/>
        <v>741223.52</v>
      </c>
      <c r="M148" s="446">
        <f t="shared" si="123"/>
        <v>941223.52</v>
      </c>
      <c r="N148" s="446">
        <f t="shared" si="124"/>
        <v>1200885.92</v>
      </c>
      <c r="O148" s="446">
        <f t="shared" si="125"/>
        <v>2764894.08</v>
      </c>
      <c r="P148" s="446">
        <f t="shared" si="126"/>
        <v>21000</v>
      </c>
      <c r="Q148" s="446">
        <f t="shared" si="127"/>
        <v>33000</v>
      </c>
      <c r="R148" s="446">
        <f t="shared" si="128"/>
        <v>75000</v>
      </c>
      <c r="S148" s="446">
        <f t="shared" si="129"/>
        <v>95000</v>
      </c>
      <c r="T148" s="446">
        <f t="shared" si="130"/>
        <v>244627.7568</v>
      </c>
      <c r="U148" s="446"/>
      <c r="V148" s="446">
        <f t="shared" si="135"/>
        <v>468627.75679999997</v>
      </c>
      <c r="W148" s="453">
        <v>12</v>
      </c>
      <c r="X148" s="446">
        <f t="shared" si="131"/>
        <v>39052.313066666698</v>
      </c>
      <c r="Y148" s="449"/>
      <c r="Z148" s="457">
        <f t="shared" si="132"/>
        <v>39052.313066666698</v>
      </c>
      <c r="AA148" s="458">
        <v>23036.012346666699</v>
      </c>
      <c r="AB148" s="458">
        <f t="shared" si="134"/>
        <v>16016.300719999999</v>
      </c>
      <c r="AC148" s="458"/>
      <c r="AD148" s="458"/>
      <c r="AE148" s="458"/>
    </row>
    <row r="149" spans="1:31" ht="18">
      <c r="A149" s="443">
        <v>132</v>
      </c>
      <c r="B149" s="10" t="s">
        <v>442</v>
      </c>
      <c r="C149" s="446">
        <v>368901.5</v>
      </c>
      <c r="D149" s="445">
        <v>12</v>
      </c>
      <c r="E149" s="446">
        <f t="shared" si="133"/>
        <v>4426818</v>
      </c>
      <c r="F149" s="446">
        <f>457.041*12</f>
        <v>5484.4920000000002</v>
      </c>
      <c r="G149" s="447">
        <v>296545.44</v>
      </c>
      <c r="H149" s="449"/>
      <c r="I149" s="446">
        <f t="shared" si="121"/>
        <v>4124788.068</v>
      </c>
      <c r="J149" s="446">
        <v>200000</v>
      </c>
      <c r="K149" s="446">
        <v>0.2</v>
      </c>
      <c r="L149" s="446">
        <f t="shared" si="122"/>
        <v>824957.61360000004</v>
      </c>
      <c r="M149" s="446">
        <f t="shared" si="123"/>
        <v>1024957.6136</v>
      </c>
      <c r="N149" s="446">
        <f t="shared" si="124"/>
        <v>1326987.5456000001</v>
      </c>
      <c r="O149" s="446">
        <f t="shared" si="125"/>
        <v>3099830.4544000002</v>
      </c>
      <c r="P149" s="446">
        <f t="shared" si="126"/>
        <v>21000</v>
      </c>
      <c r="Q149" s="446">
        <f t="shared" si="127"/>
        <v>33000</v>
      </c>
      <c r="R149" s="446">
        <f t="shared" si="128"/>
        <v>75000</v>
      </c>
      <c r="S149" s="446">
        <f t="shared" si="129"/>
        <v>95000</v>
      </c>
      <c r="T149" s="446">
        <f t="shared" si="130"/>
        <v>314964.39542399999</v>
      </c>
      <c r="U149" s="446"/>
      <c r="V149" s="446">
        <f t="shared" si="135"/>
        <v>538964.39542399999</v>
      </c>
      <c r="W149" s="453">
        <v>12</v>
      </c>
      <c r="X149" s="446">
        <f t="shared" si="131"/>
        <v>44913.699618666702</v>
      </c>
      <c r="Y149" s="449"/>
      <c r="Z149" s="457">
        <f t="shared" si="132"/>
        <v>44913.699618666702</v>
      </c>
      <c r="AA149" s="458">
        <v>27029.2036746667</v>
      </c>
      <c r="AB149" s="458">
        <f t="shared" si="134"/>
        <v>17884.495943999998</v>
      </c>
      <c r="AC149" s="458"/>
      <c r="AD149" s="458"/>
      <c r="AE149" s="458"/>
    </row>
    <row r="150" spans="1:31" ht="18">
      <c r="A150" s="443">
        <v>133</v>
      </c>
      <c r="B150" s="10" t="s">
        <v>444</v>
      </c>
      <c r="C150" s="446">
        <v>330481.66666666698</v>
      </c>
      <c r="D150" s="445">
        <v>12</v>
      </c>
      <c r="E150" s="446">
        <f t="shared" si="133"/>
        <v>3965780</v>
      </c>
      <c r="F150" s="446"/>
      <c r="G150" s="447">
        <v>259662.4</v>
      </c>
      <c r="H150" s="449"/>
      <c r="I150" s="446">
        <f t="shared" si="121"/>
        <v>3706117.6</v>
      </c>
      <c r="J150" s="446">
        <v>200000</v>
      </c>
      <c r="K150" s="446">
        <v>0.2</v>
      </c>
      <c r="L150" s="446">
        <f t="shared" si="122"/>
        <v>741223.52</v>
      </c>
      <c r="M150" s="446">
        <f t="shared" si="123"/>
        <v>941223.52</v>
      </c>
      <c r="N150" s="446">
        <f t="shared" si="124"/>
        <v>1200885.92</v>
      </c>
      <c r="O150" s="446">
        <f t="shared" si="125"/>
        <v>2764894.08</v>
      </c>
      <c r="P150" s="446">
        <f t="shared" si="126"/>
        <v>21000</v>
      </c>
      <c r="Q150" s="446">
        <f t="shared" si="127"/>
        <v>33000</v>
      </c>
      <c r="R150" s="446">
        <f t="shared" si="128"/>
        <v>75000</v>
      </c>
      <c r="S150" s="446">
        <f t="shared" si="129"/>
        <v>95000</v>
      </c>
      <c r="T150" s="446">
        <f t="shared" si="130"/>
        <v>244627.7568</v>
      </c>
      <c r="U150" s="446"/>
      <c r="V150" s="446">
        <f t="shared" si="135"/>
        <v>468627.75679999997</v>
      </c>
      <c r="W150" s="453">
        <v>12</v>
      </c>
      <c r="X150" s="446">
        <f t="shared" si="131"/>
        <v>39052.313066666698</v>
      </c>
      <c r="Y150" s="449"/>
      <c r="Z150" s="457">
        <f t="shared" si="132"/>
        <v>39052.313066666698</v>
      </c>
      <c r="AA150" s="458">
        <v>22338.4826046667</v>
      </c>
      <c r="AB150" s="458">
        <f t="shared" si="134"/>
        <v>16713.830462000002</v>
      </c>
      <c r="AC150" s="458"/>
      <c r="AD150" s="458"/>
      <c r="AE150" s="458"/>
    </row>
    <row r="151" spans="1:31" ht="18">
      <c r="A151" s="443">
        <v>134</v>
      </c>
      <c r="B151" s="17" t="s">
        <v>446</v>
      </c>
      <c r="C151" s="446">
        <v>315849</v>
      </c>
      <c r="D151" s="445">
        <v>12</v>
      </c>
      <c r="E151" s="446">
        <f t="shared" si="133"/>
        <v>3790188</v>
      </c>
      <c r="F151" s="446"/>
      <c r="G151" s="447">
        <v>245615.04</v>
      </c>
      <c r="H151" s="449"/>
      <c r="I151" s="446">
        <f t="shared" si="121"/>
        <v>3544572.96</v>
      </c>
      <c r="J151" s="446">
        <v>200000</v>
      </c>
      <c r="K151" s="446">
        <v>0.2</v>
      </c>
      <c r="L151" s="446">
        <f t="shared" si="122"/>
        <v>708914.59199999995</v>
      </c>
      <c r="M151" s="446">
        <f t="shared" si="123"/>
        <v>908914.59199999995</v>
      </c>
      <c r="N151" s="446">
        <f t="shared" si="124"/>
        <v>1154529.632</v>
      </c>
      <c r="O151" s="446">
        <f t="shared" si="125"/>
        <v>2635658.3679999998</v>
      </c>
      <c r="P151" s="446">
        <f t="shared" si="126"/>
        <v>21000</v>
      </c>
      <c r="Q151" s="446">
        <f t="shared" si="127"/>
        <v>33000</v>
      </c>
      <c r="R151" s="446">
        <f t="shared" si="128"/>
        <v>75000</v>
      </c>
      <c r="S151" s="446">
        <f t="shared" si="129"/>
        <v>95000</v>
      </c>
      <c r="T151" s="446">
        <f t="shared" si="130"/>
        <v>217488.25727999999</v>
      </c>
      <c r="U151" s="446"/>
      <c r="V151" s="446">
        <f t="shared" si="135"/>
        <v>441488.25728000002</v>
      </c>
      <c r="W151" s="453">
        <v>12</v>
      </c>
      <c r="X151" s="446">
        <f t="shared" si="131"/>
        <v>36790.688106666697</v>
      </c>
      <c r="Y151" s="449"/>
      <c r="Z151" s="457">
        <f t="shared" si="132"/>
        <v>36790.688106666697</v>
      </c>
      <c r="AA151" s="458">
        <v>21640.952862666702</v>
      </c>
      <c r="AB151" s="458">
        <f t="shared" si="134"/>
        <v>15149.735244</v>
      </c>
      <c r="AC151" s="458"/>
      <c r="AD151" s="458"/>
      <c r="AE151" s="458"/>
    </row>
    <row r="152" spans="1:31" ht="18">
      <c r="A152" s="443">
        <v>135</v>
      </c>
      <c r="B152" s="17" t="s">
        <v>448</v>
      </c>
      <c r="C152" s="446">
        <v>274459.75</v>
      </c>
      <c r="D152" s="445">
        <v>12</v>
      </c>
      <c r="E152" s="446">
        <f t="shared" si="133"/>
        <v>3293517</v>
      </c>
      <c r="F152" s="446">
        <v>0</v>
      </c>
      <c r="G152" s="447">
        <v>215481.36</v>
      </c>
      <c r="H152" s="449"/>
      <c r="I152" s="446">
        <f t="shared" si="121"/>
        <v>3078035.64</v>
      </c>
      <c r="J152" s="446">
        <v>200000</v>
      </c>
      <c r="K152" s="446">
        <v>0.2</v>
      </c>
      <c r="L152" s="446">
        <f t="shared" si="122"/>
        <v>615607.12800000003</v>
      </c>
      <c r="M152" s="446">
        <f t="shared" si="123"/>
        <v>815607.12800000003</v>
      </c>
      <c r="N152" s="446">
        <f t="shared" si="124"/>
        <v>1031088.488</v>
      </c>
      <c r="O152" s="446">
        <f t="shared" si="125"/>
        <v>2262428.5120000001</v>
      </c>
      <c r="P152" s="446">
        <f t="shared" si="126"/>
        <v>21000</v>
      </c>
      <c r="Q152" s="446">
        <f t="shared" si="127"/>
        <v>33000</v>
      </c>
      <c r="R152" s="446">
        <f t="shared" si="128"/>
        <v>75000</v>
      </c>
      <c r="S152" s="446">
        <f t="shared" si="129"/>
        <v>95000</v>
      </c>
      <c r="T152" s="446">
        <f t="shared" si="130"/>
        <v>139109.98752</v>
      </c>
      <c r="U152" s="446"/>
      <c r="V152" s="446">
        <f t="shared" si="135"/>
        <v>363109.98752000002</v>
      </c>
      <c r="W152" s="453">
        <v>12</v>
      </c>
      <c r="X152" s="446">
        <f t="shared" si="131"/>
        <v>30259.165626666701</v>
      </c>
      <c r="Y152" s="449"/>
      <c r="Z152" s="457">
        <f t="shared" si="132"/>
        <v>30259.165626666701</v>
      </c>
      <c r="AA152" s="458">
        <v>17042.713866666702</v>
      </c>
      <c r="AB152" s="458">
        <f t="shared" si="134"/>
        <v>13216.45176</v>
      </c>
      <c r="AC152" s="458"/>
      <c r="AD152" s="458"/>
      <c r="AE152" s="458"/>
    </row>
    <row r="153" spans="1:31" ht="18">
      <c r="A153" s="443">
        <v>136</v>
      </c>
      <c r="B153" s="17" t="s">
        <v>450</v>
      </c>
      <c r="C153" s="446">
        <v>274459.75</v>
      </c>
      <c r="D153" s="445">
        <v>12</v>
      </c>
      <c r="E153" s="446">
        <f t="shared" si="133"/>
        <v>3293517</v>
      </c>
      <c r="F153" s="446">
        <v>0</v>
      </c>
      <c r="G153" s="447">
        <v>215481.36</v>
      </c>
      <c r="H153" s="449"/>
      <c r="I153" s="446">
        <f t="shared" si="121"/>
        <v>3078035.64</v>
      </c>
      <c r="J153" s="446">
        <v>200000</v>
      </c>
      <c r="K153" s="446">
        <v>0.2</v>
      </c>
      <c r="L153" s="446">
        <f t="shared" si="122"/>
        <v>615607.12800000003</v>
      </c>
      <c r="M153" s="446">
        <f t="shared" si="123"/>
        <v>815607.12800000003</v>
      </c>
      <c r="N153" s="446">
        <f t="shared" si="124"/>
        <v>1031088.488</v>
      </c>
      <c r="O153" s="446">
        <f t="shared" si="125"/>
        <v>2262428.5120000001</v>
      </c>
      <c r="P153" s="446">
        <f t="shared" si="126"/>
        <v>21000</v>
      </c>
      <c r="Q153" s="446">
        <f t="shared" si="127"/>
        <v>33000</v>
      </c>
      <c r="R153" s="446">
        <f t="shared" si="128"/>
        <v>75000</v>
      </c>
      <c r="S153" s="446">
        <f t="shared" si="129"/>
        <v>95000</v>
      </c>
      <c r="T153" s="446">
        <f t="shared" si="130"/>
        <v>139109.98752</v>
      </c>
      <c r="U153" s="446"/>
      <c r="V153" s="446">
        <f t="shared" si="135"/>
        <v>363109.98752000002</v>
      </c>
      <c r="W153" s="453">
        <v>12</v>
      </c>
      <c r="X153" s="446">
        <f t="shared" si="131"/>
        <v>30259.165626666701</v>
      </c>
      <c r="Y153" s="449"/>
      <c r="Z153" s="457">
        <f t="shared" si="132"/>
        <v>30259.165626666701</v>
      </c>
      <c r="AA153" s="458">
        <v>17042.713866666702</v>
      </c>
      <c r="AB153" s="458">
        <f t="shared" si="134"/>
        <v>13216.45176</v>
      </c>
      <c r="AC153" s="458"/>
      <c r="AD153" s="458"/>
      <c r="AE153" s="458"/>
    </row>
    <row r="154" spans="1:31" ht="36">
      <c r="A154" s="443">
        <v>137</v>
      </c>
      <c r="B154" s="17" t="s">
        <v>452</v>
      </c>
      <c r="C154" s="446">
        <v>274459.75</v>
      </c>
      <c r="D154" s="445">
        <v>12</v>
      </c>
      <c r="E154" s="446">
        <f t="shared" si="133"/>
        <v>3293517</v>
      </c>
      <c r="F154" s="446">
        <v>0</v>
      </c>
      <c r="G154" s="447">
        <v>215481.36</v>
      </c>
      <c r="H154" s="449"/>
      <c r="I154" s="446">
        <f t="shared" si="121"/>
        <v>3078035.64</v>
      </c>
      <c r="J154" s="446">
        <v>200000</v>
      </c>
      <c r="K154" s="446">
        <v>0.2</v>
      </c>
      <c r="L154" s="446">
        <f t="shared" si="122"/>
        <v>615607.12800000003</v>
      </c>
      <c r="M154" s="446">
        <f t="shared" si="123"/>
        <v>815607.12800000003</v>
      </c>
      <c r="N154" s="446">
        <f t="shared" si="124"/>
        <v>1031088.488</v>
      </c>
      <c r="O154" s="446">
        <f t="shared" si="125"/>
        <v>2262428.5120000001</v>
      </c>
      <c r="P154" s="446">
        <f t="shared" si="126"/>
        <v>21000</v>
      </c>
      <c r="Q154" s="446">
        <f t="shared" si="127"/>
        <v>33000</v>
      </c>
      <c r="R154" s="446">
        <f t="shared" si="128"/>
        <v>75000</v>
      </c>
      <c r="S154" s="446">
        <f t="shared" si="129"/>
        <v>95000</v>
      </c>
      <c r="T154" s="446">
        <f t="shared" si="130"/>
        <v>139109.98752</v>
      </c>
      <c r="U154" s="446"/>
      <c r="V154" s="446">
        <f t="shared" si="135"/>
        <v>363109.98752000002</v>
      </c>
      <c r="W154" s="453">
        <v>12</v>
      </c>
      <c r="X154" s="446">
        <f t="shared" si="131"/>
        <v>30259.165626666701</v>
      </c>
      <c r="Y154" s="449"/>
      <c r="Z154" s="457">
        <f t="shared" si="132"/>
        <v>30259.165626666701</v>
      </c>
      <c r="AA154" s="458">
        <v>17042.713866666702</v>
      </c>
      <c r="AB154" s="458">
        <f t="shared" si="134"/>
        <v>13216.45176</v>
      </c>
      <c r="AC154" s="458"/>
      <c r="AD154" s="458"/>
      <c r="AE154" s="458"/>
    </row>
    <row r="155" spans="1:31" ht="18">
      <c r="A155" s="443">
        <v>138</v>
      </c>
      <c r="B155" s="17" t="s">
        <v>454</v>
      </c>
      <c r="C155" s="446">
        <v>280631.91666666698</v>
      </c>
      <c r="D155" s="445">
        <v>12</v>
      </c>
      <c r="E155" s="446">
        <f t="shared" si="133"/>
        <v>3367583</v>
      </c>
      <c r="F155" s="446">
        <v>0</v>
      </c>
      <c r="G155" s="447">
        <v>221406.64</v>
      </c>
      <c r="H155" s="449"/>
      <c r="I155" s="446">
        <f t="shared" si="121"/>
        <v>3146176.36</v>
      </c>
      <c r="J155" s="446">
        <v>200000</v>
      </c>
      <c r="K155" s="446">
        <v>0.2</v>
      </c>
      <c r="L155" s="446">
        <f t="shared" si="122"/>
        <v>629235.272</v>
      </c>
      <c r="M155" s="446">
        <f t="shared" si="123"/>
        <v>829235.272</v>
      </c>
      <c r="N155" s="446">
        <f t="shared" si="124"/>
        <v>1050641.912</v>
      </c>
      <c r="O155" s="446">
        <f t="shared" si="125"/>
        <v>2316941.088</v>
      </c>
      <c r="P155" s="446">
        <f t="shared" si="126"/>
        <v>21000</v>
      </c>
      <c r="Q155" s="446">
        <f t="shared" si="127"/>
        <v>33000</v>
      </c>
      <c r="R155" s="446">
        <f t="shared" si="128"/>
        <v>75000</v>
      </c>
      <c r="S155" s="446">
        <f t="shared" si="129"/>
        <v>95000</v>
      </c>
      <c r="T155" s="446">
        <f t="shared" si="130"/>
        <v>150557.62848000001</v>
      </c>
      <c r="U155" s="446"/>
      <c r="V155" s="446">
        <f t="shared" si="135"/>
        <v>374557.62848000001</v>
      </c>
      <c r="W155" s="453">
        <v>12</v>
      </c>
      <c r="X155" s="446">
        <f t="shared" si="131"/>
        <v>31213.135706666701</v>
      </c>
      <c r="Y155" s="449"/>
      <c r="Z155" s="457">
        <f t="shared" si="132"/>
        <v>31213.135706666701</v>
      </c>
      <c r="AA155" s="458">
        <v>17572.885002666699</v>
      </c>
      <c r="AB155" s="458">
        <f t="shared" si="134"/>
        <v>13640.250704</v>
      </c>
      <c r="AC155" s="458"/>
      <c r="AD155" s="458"/>
      <c r="AE155" s="458"/>
    </row>
    <row r="156" spans="1:31" ht="18">
      <c r="A156" s="443">
        <v>139</v>
      </c>
      <c r="B156" s="17" t="s">
        <v>456</v>
      </c>
      <c r="C156" s="446">
        <v>274459.75</v>
      </c>
      <c r="D156" s="445">
        <v>12</v>
      </c>
      <c r="E156" s="446">
        <f t="shared" si="133"/>
        <v>3293517</v>
      </c>
      <c r="F156" s="446">
        <v>0</v>
      </c>
      <c r="G156" s="447">
        <v>215481.36</v>
      </c>
      <c r="H156" s="449"/>
      <c r="I156" s="446">
        <f t="shared" si="121"/>
        <v>3078035.64</v>
      </c>
      <c r="J156" s="446">
        <v>200000</v>
      </c>
      <c r="K156" s="446">
        <v>0.2</v>
      </c>
      <c r="L156" s="446">
        <f t="shared" si="122"/>
        <v>615607.12800000003</v>
      </c>
      <c r="M156" s="446">
        <f t="shared" si="123"/>
        <v>815607.12800000003</v>
      </c>
      <c r="N156" s="446">
        <f t="shared" si="124"/>
        <v>1031088.488</v>
      </c>
      <c r="O156" s="446">
        <f t="shared" si="125"/>
        <v>2262428.5120000001</v>
      </c>
      <c r="P156" s="446">
        <f t="shared" si="126"/>
        <v>21000</v>
      </c>
      <c r="Q156" s="446">
        <f t="shared" si="127"/>
        <v>33000</v>
      </c>
      <c r="R156" s="446">
        <f t="shared" si="128"/>
        <v>75000</v>
      </c>
      <c r="S156" s="446">
        <f t="shared" si="129"/>
        <v>95000</v>
      </c>
      <c r="T156" s="446">
        <f t="shared" si="130"/>
        <v>139109.98752</v>
      </c>
      <c r="U156" s="446"/>
      <c r="V156" s="446">
        <f t="shared" si="135"/>
        <v>363109.98752000002</v>
      </c>
      <c r="W156" s="453">
        <v>12</v>
      </c>
      <c r="X156" s="446">
        <f t="shared" si="131"/>
        <v>30259.165626666701</v>
      </c>
      <c r="Y156" s="449"/>
      <c r="Z156" s="457">
        <f t="shared" si="132"/>
        <v>30259.165626666701</v>
      </c>
      <c r="AA156" s="458">
        <v>17042.713866666702</v>
      </c>
      <c r="AB156" s="458">
        <f t="shared" si="134"/>
        <v>13216.45176</v>
      </c>
      <c r="AC156" s="458"/>
      <c r="AD156" s="458"/>
      <c r="AE156" s="458"/>
    </row>
    <row r="157" spans="1:31" ht="18">
      <c r="A157" s="443">
        <v>140</v>
      </c>
      <c r="B157" s="10" t="s">
        <v>457</v>
      </c>
      <c r="C157" s="446">
        <v>202598.16666666701</v>
      </c>
      <c r="D157" s="445">
        <v>12</v>
      </c>
      <c r="E157" s="446">
        <f t="shared" si="133"/>
        <v>2431178</v>
      </c>
      <c r="F157" s="446">
        <f>263.19*12</f>
        <v>3158.28</v>
      </c>
      <c r="G157" s="447">
        <v>161854.24</v>
      </c>
      <c r="H157" s="449"/>
      <c r="I157" s="446">
        <f t="shared" si="121"/>
        <v>2266165.48</v>
      </c>
      <c r="J157" s="446">
        <v>200000</v>
      </c>
      <c r="K157" s="446">
        <v>0.2</v>
      </c>
      <c r="L157" s="446">
        <f t="shared" si="122"/>
        <v>453233.09600000002</v>
      </c>
      <c r="M157" s="446">
        <f t="shared" si="123"/>
        <v>653233.09600000002</v>
      </c>
      <c r="N157" s="446">
        <f t="shared" si="124"/>
        <v>818245.61600000004</v>
      </c>
      <c r="O157" s="446">
        <f t="shared" si="125"/>
        <v>1612932.3840000001</v>
      </c>
      <c r="P157" s="446">
        <f t="shared" si="126"/>
        <v>21000</v>
      </c>
      <c r="Q157" s="446">
        <f t="shared" si="127"/>
        <v>33000</v>
      </c>
      <c r="R157" s="446">
        <f t="shared" si="128"/>
        <v>75000</v>
      </c>
      <c r="S157" s="446">
        <f t="shared" si="129"/>
        <v>95000</v>
      </c>
      <c r="T157" s="446">
        <f t="shared" si="130"/>
        <v>2715.8006399999699</v>
      </c>
      <c r="U157" s="446"/>
      <c r="V157" s="446">
        <f t="shared" si="135"/>
        <v>226715.80064</v>
      </c>
      <c r="W157" s="453">
        <v>12</v>
      </c>
      <c r="X157" s="446">
        <f t="shared" si="131"/>
        <v>18892.9833866667</v>
      </c>
      <c r="Y157" s="449"/>
      <c r="Z157" s="457">
        <f t="shared" si="132"/>
        <v>18892.9833866667</v>
      </c>
      <c r="AA157" s="458">
        <v>10739.3048</v>
      </c>
      <c r="AB157" s="458">
        <f t="shared" si="134"/>
        <v>8153.6785866666696</v>
      </c>
      <c r="AC157" s="458"/>
      <c r="AD157" s="458"/>
      <c r="AE157" s="458"/>
    </row>
    <row r="158" spans="1:31" ht="18">
      <c r="A158" s="443">
        <v>141</v>
      </c>
      <c r="B158" s="10" t="s">
        <v>460</v>
      </c>
      <c r="C158" s="446">
        <v>205598.16666666701</v>
      </c>
      <c r="D158" s="445">
        <v>12</v>
      </c>
      <c r="E158" s="446">
        <f t="shared" si="133"/>
        <v>2467178</v>
      </c>
      <c r="F158" s="446"/>
      <c r="G158" s="447">
        <v>161854.24</v>
      </c>
      <c r="H158" s="449"/>
      <c r="I158" s="446">
        <f t="shared" si="121"/>
        <v>2305323.7599999998</v>
      </c>
      <c r="J158" s="446">
        <v>200000</v>
      </c>
      <c r="K158" s="446">
        <v>0.2</v>
      </c>
      <c r="L158" s="446">
        <f t="shared" si="122"/>
        <v>461064.75199999998</v>
      </c>
      <c r="M158" s="446">
        <f t="shared" si="123"/>
        <v>661064.75199999998</v>
      </c>
      <c r="N158" s="446">
        <f t="shared" si="124"/>
        <v>822918.99199999997</v>
      </c>
      <c r="O158" s="446">
        <f t="shared" si="125"/>
        <v>1644259.0079999999</v>
      </c>
      <c r="P158" s="446">
        <f t="shared" si="126"/>
        <v>21000</v>
      </c>
      <c r="Q158" s="446">
        <f t="shared" si="127"/>
        <v>33000</v>
      </c>
      <c r="R158" s="446">
        <f t="shared" si="128"/>
        <v>75000</v>
      </c>
      <c r="S158" s="446">
        <f t="shared" si="129"/>
        <v>95000</v>
      </c>
      <c r="T158" s="446">
        <f t="shared" si="130"/>
        <v>9294.3916799999806</v>
      </c>
      <c r="U158" s="446"/>
      <c r="V158" s="446">
        <f t="shared" si="135"/>
        <v>233294.39168</v>
      </c>
      <c r="W158" s="453">
        <v>12</v>
      </c>
      <c r="X158" s="446">
        <f t="shared" si="131"/>
        <v>19441.199306666698</v>
      </c>
      <c r="Y158" s="449"/>
      <c r="Z158" s="457">
        <f t="shared" si="132"/>
        <v>19441.199306666698</v>
      </c>
      <c r="AA158" s="458">
        <v>11232.457626666701</v>
      </c>
      <c r="AB158" s="458">
        <f t="shared" si="134"/>
        <v>8208.7416799999992</v>
      </c>
      <c r="AC158" s="458"/>
      <c r="AD158" s="458"/>
      <c r="AE158" s="458"/>
    </row>
    <row r="159" spans="1:31" ht="15.75" customHeight="1">
      <c r="A159" s="443">
        <v>142</v>
      </c>
      <c r="B159" s="10" t="s">
        <v>461</v>
      </c>
      <c r="C159" s="446">
        <v>202598.16666666701</v>
      </c>
      <c r="D159" s="445">
        <v>12</v>
      </c>
      <c r="E159" s="446">
        <f t="shared" si="133"/>
        <v>2431178</v>
      </c>
      <c r="F159" s="446"/>
      <c r="G159" s="447">
        <v>161854.24</v>
      </c>
      <c r="H159" s="449"/>
      <c r="I159" s="446">
        <f t="shared" si="121"/>
        <v>2269323.7599999998</v>
      </c>
      <c r="J159" s="446">
        <v>200000</v>
      </c>
      <c r="K159" s="446">
        <v>0.2</v>
      </c>
      <c r="L159" s="446">
        <f t="shared" si="122"/>
        <v>453864.75199999998</v>
      </c>
      <c r="M159" s="446">
        <f t="shared" si="123"/>
        <v>653864.75199999998</v>
      </c>
      <c r="N159" s="446">
        <f t="shared" si="124"/>
        <v>815718.99199999997</v>
      </c>
      <c r="O159" s="446">
        <f t="shared" si="125"/>
        <v>1615459.0079999999</v>
      </c>
      <c r="P159" s="446">
        <f t="shared" si="126"/>
        <v>21000</v>
      </c>
      <c r="Q159" s="446">
        <f t="shared" si="127"/>
        <v>33000</v>
      </c>
      <c r="R159" s="446">
        <f t="shared" si="128"/>
        <v>75000</v>
      </c>
      <c r="S159" s="446">
        <f t="shared" si="129"/>
        <v>95000</v>
      </c>
      <c r="T159" s="446">
        <f t="shared" si="130"/>
        <v>3246.3916799999802</v>
      </c>
      <c r="U159" s="446"/>
      <c r="V159" s="446">
        <f t="shared" si="135"/>
        <v>227246.39168</v>
      </c>
      <c r="W159" s="453">
        <v>12</v>
      </c>
      <c r="X159" s="446">
        <f t="shared" si="131"/>
        <v>18937.199306666698</v>
      </c>
      <c r="Y159" s="449"/>
      <c r="Z159" s="457">
        <f t="shared" si="132"/>
        <v>18937.199306666698</v>
      </c>
      <c r="AA159" s="458">
        <v>10776.457626666701</v>
      </c>
      <c r="AB159" s="458">
        <f t="shared" si="134"/>
        <v>8160.7416800000001</v>
      </c>
      <c r="AC159" s="458"/>
      <c r="AD159" s="458"/>
      <c r="AE159" s="458"/>
    </row>
    <row r="160" spans="1:31" ht="18">
      <c r="A160" s="443">
        <v>143</v>
      </c>
      <c r="B160" s="10" t="s">
        <v>462</v>
      </c>
      <c r="C160" s="446">
        <v>202598.16666666701</v>
      </c>
      <c r="D160" s="445">
        <v>12</v>
      </c>
      <c r="E160" s="446">
        <f t="shared" si="133"/>
        <v>2431178</v>
      </c>
      <c r="F160" s="446">
        <f>263.19*12</f>
        <v>3158.28</v>
      </c>
      <c r="G160" s="447">
        <v>161854.24</v>
      </c>
      <c r="H160" s="449"/>
      <c r="I160" s="446">
        <f t="shared" si="121"/>
        <v>2266165.48</v>
      </c>
      <c r="J160" s="446">
        <v>200000</v>
      </c>
      <c r="K160" s="446">
        <v>0.2</v>
      </c>
      <c r="L160" s="446">
        <f t="shared" si="122"/>
        <v>453233.09600000002</v>
      </c>
      <c r="M160" s="446">
        <f t="shared" si="123"/>
        <v>653233.09600000002</v>
      </c>
      <c r="N160" s="446">
        <f t="shared" si="124"/>
        <v>818245.61600000004</v>
      </c>
      <c r="O160" s="446">
        <f t="shared" si="125"/>
        <v>1612932.3840000001</v>
      </c>
      <c r="P160" s="446">
        <f t="shared" si="126"/>
        <v>21000</v>
      </c>
      <c r="Q160" s="446">
        <f t="shared" si="127"/>
        <v>33000</v>
      </c>
      <c r="R160" s="446">
        <f t="shared" si="128"/>
        <v>75000</v>
      </c>
      <c r="S160" s="446">
        <f t="shared" si="129"/>
        <v>95000</v>
      </c>
      <c r="T160" s="446">
        <f t="shared" si="130"/>
        <v>2715.8006399999699</v>
      </c>
      <c r="U160" s="446"/>
      <c r="V160" s="446">
        <f t="shared" si="135"/>
        <v>226715.80064</v>
      </c>
      <c r="W160" s="453">
        <v>12</v>
      </c>
      <c r="X160" s="446">
        <f t="shared" si="131"/>
        <v>18892.9833866667</v>
      </c>
      <c r="Y160" s="449"/>
      <c r="Z160" s="457">
        <f t="shared" si="132"/>
        <v>18892.9833866667</v>
      </c>
      <c r="AA160" s="458">
        <v>10739.3048</v>
      </c>
      <c r="AB160" s="458">
        <f t="shared" si="134"/>
        <v>8153.6785866666696</v>
      </c>
      <c r="AC160" s="458"/>
      <c r="AD160" s="458"/>
      <c r="AE160" s="458"/>
    </row>
    <row r="161" spans="1:31" ht="18">
      <c r="A161" s="443">
        <v>144</v>
      </c>
      <c r="B161" s="10" t="s">
        <v>463</v>
      </c>
      <c r="C161" s="446">
        <v>202598.16666666701</v>
      </c>
      <c r="D161" s="445">
        <v>12</v>
      </c>
      <c r="E161" s="446">
        <f t="shared" si="133"/>
        <v>2431178</v>
      </c>
      <c r="F161" s="446"/>
      <c r="G161" s="447">
        <v>161854.24</v>
      </c>
      <c r="H161" s="449"/>
      <c r="I161" s="446">
        <f t="shared" si="121"/>
        <v>2269323.7599999998</v>
      </c>
      <c r="J161" s="446">
        <v>200000</v>
      </c>
      <c r="K161" s="446">
        <v>0.2</v>
      </c>
      <c r="L161" s="446">
        <f t="shared" si="122"/>
        <v>453864.75199999998</v>
      </c>
      <c r="M161" s="446">
        <f t="shared" si="123"/>
        <v>653864.75199999998</v>
      </c>
      <c r="N161" s="446">
        <f t="shared" si="124"/>
        <v>815718.99199999997</v>
      </c>
      <c r="O161" s="446">
        <f t="shared" si="125"/>
        <v>1615459.0079999999</v>
      </c>
      <c r="P161" s="446">
        <f t="shared" si="126"/>
        <v>21000</v>
      </c>
      <c r="Q161" s="446">
        <f t="shared" si="127"/>
        <v>33000</v>
      </c>
      <c r="R161" s="446">
        <f t="shared" si="128"/>
        <v>75000</v>
      </c>
      <c r="S161" s="446">
        <f t="shared" si="129"/>
        <v>95000</v>
      </c>
      <c r="T161" s="446">
        <f t="shared" si="130"/>
        <v>3246.3916799999802</v>
      </c>
      <c r="U161" s="446"/>
      <c r="V161" s="446">
        <f t="shared" si="135"/>
        <v>227246.39168</v>
      </c>
      <c r="W161" s="453">
        <v>12</v>
      </c>
      <c r="X161" s="446">
        <f t="shared" si="131"/>
        <v>18937.199306666698</v>
      </c>
      <c r="Y161" s="449"/>
      <c r="Z161" s="457">
        <f t="shared" si="132"/>
        <v>18937.199306666698</v>
      </c>
      <c r="AA161" s="458">
        <v>10776.457626666701</v>
      </c>
      <c r="AB161" s="458">
        <f t="shared" si="134"/>
        <v>8160.7416800000001</v>
      </c>
      <c r="AC161" s="458"/>
      <c r="AD161" s="458"/>
      <c r="AE161" s="458"/>
    </row>
    <row r="162" spans="1:31" ht="18">
      <c r="A162" s="443">
        <v>145</v>
      </c>
      <c r="B162" s="10" t="s">
        <v>464</v>
      </c>
      <c r="C162" s="446">
        <v>200336.83333333299</v>
      </c>
      <c r="D162" s="445">
        <v>12</v>
      </c>
      <c r="E162" s="446">
        <f t="shared" si="133"/>
        <v>2404042</v>
      </c>
      <c r="F162" s="446"/>
      <c r="G162" s="447">
        <v>156803.35999999999</v>
      </c>
      <c r="H162" s="449"/>
      <c r="I162" s="446">
        <f t="shared" si="121"/>
        <v>2247238.64</v>
      </c>
      <c r="J162" s="446">
        <v>200000</v>
      </c>
      <c r="K162" s="446">
        <v>0.2</v>
      </c>
      <c r="L162" s="446">
        <f t="shared" si="122"/>
        <v>449447.728</v>
      </c>
      <c r="M162" s="446">
        <f t="shared" si="123"/>
        <v>649447.728</v>
      </c>
      <c r="N162" s="446">
        <f t="shared" si="124"/>
        <v>806251.08799999999</v>
      </c>
      <c r="O162" s="446">
        <f t="shared" si="125"/>
        <v>1597790.912</v>
      </c>
      <c r="P162" s="446">
        <f t="shared" si="126"/>
        <v>21000</v>
      </c>
      <c r="Q162" s="446">
        <f t="shared" si="127"/>
        <v>33000</v>
      </c>
      <c r="R162" s="446">
        <f t="shared" si="128"/>
        <v>75000</v>
      </c>
      <c r="S162" s="446">
        <f t="shared" si="129"/>
        <v>94580.273279999994</v>
      </c>
      <c r="T162" s="446">
        <f t="shared" si="130"/>
        <v>0</v>
      </c>
      <c r="U162" s="446"/>
      <c r="V162" s="446">
        <f t="shared" si="135"/>
        <v>223580.27327999999</v>
      </c>
      <c r="W162" s="453">
        <v>12</v>
      </c>
      <c r="X162" s="446">
        <f t="shared" si="131"/>
        <v>18631.689439999998</v>
      </c>
      <c r="Y162" s="449"/>
      <c r="Z162" s="457">
        <f t="shared" si="132"/>
        <v>18631.689439999998</v>
      </c>
      <c r="AA162" s="458">
        <v>11232.457626666701</v>
      </c>
      <c r="AB162" s="458">
        <f t="shared" si="134"/>
        <v>7399.2318133333401</v>
      </c>
      <c r="AC162" s="458"/>
      <c r="AD162" s="458"/>
      <c r="AE162" s="458"/>
    </row>
    <row r="163" spans="1:31" ht="18">
      <c r="A163" s="443">
        <v>146</v>
      </c>
      <c r="B163" s="10" t="s">
        <v>466</v>
      </c>
      <c r="C163" s="446">
        <v>197336.83333333299</v>
      </c>
      <c r="D163" s="445">
        <v>12</v>
      </c>
      <c r="E163" s="446">
        <f t="shared" si="133"/>
        <v>2368042</v>
      </c>
      <c r="F163" s="446"/>
      <c r="G163" s="447">
        <v>156803.35999999999</v>
      </c>
      <c r="H163" s="449"/>
      <c r="I163" s="446">
        <f t="shared" si="121"/>
        <v>2211238.64</v>
      </c>
      <c r="J163" s="446">
        <v>200000</v>
      </c>
      <c r="K163" s="446">
        <v>0.2</v>
      </c>
      <c r="L163" s="446">
        <f t="shared" si="122"/>
        <v>442247.728</v>
      </c>
      <c r="M163" s="446">
        <f t="shared" si="123"/>
        <v>642247.728</v>
      </c>
      <c r="N163" s="446">
        <f t="shared" si="124"/>
        <v>799051.08799999999</v>
      </c>
      <c r="O163" s="446">
        <f t="shared" si="125"/>
        <v>1568990.912</v>
      </c>
      <c r="P163" s="446">
        <f t="shared" si="126"/>
        <v>21000</v>
      </c>
      <c r="Q163" s="446">
        <f t="shared" si="127"/>
        <v>33000</v>
      </c>
      <c r="R163" s="446">
        <f t="shared" si="128"/>
        <v>75000</v>
      </c>
      <c r="S163" s="446">
        <f t="shared" si="129"/>
        <v>89108.273279999994</v>
      </c>
      <c r="T163" s="446">
        <f t="shared" si="130"/>
        <v>0</v>
      </c>
      <c r="U163" s="446"/>
      <c r="V163" s="446">
        <f t="shared" si="135"/>
        <v>218108.27327999999</v>
      </c>
      <c r="W163" s="453">
        <v>12</v>
      </c>
      <c r="X163" s="446">
        <f t="shared" si="131"/>
        <v>18175.689439999998</v>
      </c>
      <c r="Y163" s="449"/>
      <c r="Z163" s="457">
        <f t="shared" si="132"/>
        <v>18175.689439999998</v>
      </c>
      <c r="AA163" s="458">
        <v>10776.457626666701</v>
      </c>
      <c r="AB163" s="458">
        <f t="shared" si="134"/>
        <v>7399.2318133333401</v>
      </c>
      <c r="AC163" s="458"/>
      <c r="AD163" s="458"/>
      <c r="AE163" s="458"/>
    </row>
    <row r="164" spans="1:31" ht="18">
      <c r="A164" s="443">
        <v>147</v>
      </c>
      <c r="B164" s="13" t="s">
        <v>467</v>
      </c>
      <c r="C164" s="446">
        <v>200336.83333333299</v>
      </c>
      <c r="D164" s="445">
        <v>12</v>
      </c>
      <c r="E164" s="446">
        <f t="shared" si="133"/>
        <v>2404042</v>
      </c>
      <c r="F164" s="446"/>
      <c r="G164" s="447">
        <v>156803.35999999999</v>
      </c>
      <c r="H164" s="449"/>
      <c r="I164" s="446">
        <f t="shared" si="121"/>
        <v>2247238.64</v>
      </c>
      <c r="J164" s="446">
        <v>200000</v>
      </c>
      <c r="K164" s="446">
        <v>0.2</v>
      </c>
      <c r="L164" s="446">
        <f t="shared" si="122"/>
        <v>449447.728</v>
      </c>
      <c r="M164" s="446">
        <f t="shared" si="123"/>
        <v>649447.728</v>
      </c>
      <c r="N164" s="446">
        <f t="shared" si="124"/>
        <v>806251.08799999999</v>
      </c>
      <c r="O164" s="446">
        <f t="shared" si="125"/>
        <v>1597790.912</v>
      </c>
      <c r="P164" s="446">
        <f t="shared" si="126"/>
        <v>21000</v>
      </c>
      <c r="Q164" s="446">
        <f t="shared" si="127"/>
        <v>33000</v>
      </c>
      <c r="R164" s="446">
        <f t="shared" si="128"/>
        <v>75000</v>
      </c>
      <c r="S164" s="446">
        <f t="shared" si="129"/>
        <v>94580.273279999994</v>
      </c>
      <c r="T164" s="446">
        <f t="shared" si="130"/>
        <v>0</v>
      </c>
      <c r="U164" s="446"/>
      <c r="V164" s="446">
        <f t="shared" si="135"/>
        <v>223580.27327999999</v>
      </c>
      <c r="W164" s="453">
        <v>12</v>
      </c>
      <c r="X164" s="446">
        <f t="shared" si="131"/>
        <v>18631.689439999998</v>
      </c>
      <c r="Y164" s="449"/>
      <c r="Z164" s="457">
        <f t="shared" si="132"/>
        <v>18631.689439999998</v>
      </c>
      <c r="AA164" s="458">
        <v>11232.457626666701</v>
      </c>
      <c r="AB164" s="458">
        <f t="shared" si="134"/>
        <v>7399.2318133333401</v>
      </c>
      <c r="AC164" s="458"/>
      <c r="AD164" s="458"/>
      <c r="AE164" s="458"/>
    </row>
    <row r="165" spans="1:31" ht="18">
      <c r="A165" s="443">
        <v>148</v>
      </c>
      <c r="B165" s="10" t="s">
        <v>468</v>
      </c>
      <c r="C165" s="446">
        <v>197336.83333333299</v>
      </c>
      <c r="D165" s="445">
        <v>12</v>
      </c>
      <c r="E165" s="446">
        <f t="shared" si="133"/>
        <v>2368042</v>
      </c>
      <c r="F165" s="446"/>
      <c r="G165" s="447">
        <v>156803.35999999999</v>
      </c>
      <c r="H165" s="449"/>
      <c r="I165" s="446">
        <f t="shared" si="121"/>
        <v>2211238.64</v>
      </c>
      <c r="J165" s="446">
        <v>200000</v>
      </c>
      <c r="K165" s="446">
        <v>0.2</v>
      </c>
      <c r="L165" s="446">
        <f t="shared" si="122"/>
        <v>442247.728</v>
      </c>
      <c r="M165" s="446">
        <f t="shared" si="123"/>
        <v>642247.728</v>
      </c>
      <c r="N165" s="446">
        <f t="shared" si="124"/>
        <v>799051.08799999999</v>
      </c>
      <c r="O165" s="446">
        <f t="shared" si="125"/>
        <v>1568990.912</v>
      </c>
      <c r="P165" s="446">
        <f t="shared" si="126"/>
        <v>21000</v>
      </c>
      <c r="Q165" s="446">
        <f t="shared" si="127"/>
        <v>33000</v>
      </c>
      <c r="R165" s="446">
        <f t="shared" si="128"/>
        <v>75000</v>
      </c>
      <c r="S165" s="446">
        <f t="shared" si="129"/>
        <v>89108.273279999994</v>
      </c>
      <c r="T165" s="446">
        <f t="shared" si="130"/>
        <v>0</v>
      </c>
      <c r="U165" s="446"/>
      <c r="V165" s="446">
        <f t="shared" si="135"/>
        <v>218108.27327999999</v>
      </c>
      <c r="W165" s="453">
        <v>12</v>
      </c>
      <c r="X165" s="446">
        <f t="shared" si="131"/>
        <v>18175.689439999998</v>
      </c>
      <c r="Y165" s="449"/>
      <c r="Z165" s="457">
        <f t="shared" si="132"/>
        <v>18175.689439999998</v>
      </c>
      <c r="AA165" s="458">
        <v>10776.457626666701</v>
      </c>
      <c r="AB165" s="458">
        <f t="shared" si="134"/>
        <v>7399.2318133333401</v>
      </c>
      <c r="AC165" s="458"/>
      <c r="AD165" s="458"/>
      <c r="AE165" s="458"/>
    </row>
    <row r="166" spans="1:31" ht="18">
      <c r="A166" s="443">
        <v>149</v>
      </c>
      <c r="B166" s="17" t="s">
        <v>469</v>
      </c>
      <c r="C166" s="446">
        <v>197336.83333333299</v>
      </c>
      <c r="D166" s="445">
        <v>12</v>
      </c>
      <c r="E166" s="446">
        <f t="shared" si="133"/>
        <v>2368042</v>
      </c>
      <c r="F166" s="446"/>
      <c r="G166" s="447">
        <v>156803.35999999999</v>
      </c>
      <c r="H166" s="449"/>
      <c r="I166" s="446">
        <f t="shared" si="121"/>
        <v>2211238.64</v>
      </c>
      <c r="J166" s="446">
        <v>200000</v>
      </c>
      <c r="K166" s="446">
        <v>0.2</v>
      </c>
      <c r="L166" s="446">
        <f t="shared" si="122"/>
        <v>442247.728</v>
      </c>
      <c r="M166" s="446">
        <f t="shared" si="123"/>
        <v>642247.728</v>
      </c>
      <c r="N166" s="446">
        <f t="shared" si="124"/>
        <v>799051.08799999999</v>
      </c>
      <c r="O166" s="446">
        <f t="shared" si="125"/>
        <v>1568990.912</v>
      </c>
      <c r="P166" s="446">
        <f t="shared" si="126"/>
        <v>21000</v>
      </c>
      <c r="Q166" s="446">
        <f t="shared" si="127"/>
        <v>33000</v>
      </c>
      <c r="R166" s="446">
        <f t="shared" si="128"/>
        <v>75000</v>
      </c>
      <c r="S166" s="446">
        <f t="shared" si="129"/>
        <v>89108.273279999994</v>
      </c>
      <c r="T166" s="446">
        <f t="shared" si="130"/>
        <v>0</v>
      </c>
      <c r="U166" s="446"/>
      <c r="V166" s="446">
        <f t="shared" si="135"/>
        <v>218108.27327999999</v>
      </c>
      <c r="W166" s="453">
        <v>12</v>
      </c>
      <c r="X166" s="446">
        <f t="shared" si="131"/>
        <v>18175.689439999998</v>
      </c>
      <c r="Y166" s="449"/>
      <c r="Z166" s="457">
        <f t="shared" si="132"/>
        <v>18175.689439999998</v>
      </c>
      <c r="AA166" s="458">
        <v>10776.457626666701</v>
      </c>
      <c r="AB166" s="458">
        <f t="shared" si="134"/>
        <v>7399.2318133333401</v>
      </c>
      <c r="AC166" s="458"/>
      <c r="AD166" s="458"/>
      <c r="AE166" s="458"/>
    </row>
    <row r="167" spans="1:31" ht="18">
      <c r="A167" s="443">
        <v>150</v>
      </c>
      <c r="B167" s="17" t="s">
        <v>470</v>
      </c>
      <c r="C167" s="446">
        <v>200336.83333333299</v>
      </c>
      <c r="D167" s="445">
        <v>12</v>
      </c>
      <c r="E167" s="446">
        <f t="shared" si="133"/>
        <v>2404042</v>
      </c>
      <c r="F167" s="446"/>
      <c r="G167" s="447">
        <v>156803.35999999999</v>
      </c>
      <c r="H167" s="449"/>
      <c r="I167" s="446">
        <f t="shared" si="121"/>
        <v>2247238.64</v>
      </c>
      <c r="J167" s="446">
        <v>200000</v>
      </c>
      <c r="K167" s="446">
        <v>0.2</v>
      </c>
      <c r="L167" s="446">
        <f t="shared" si="122"/>
        <v>449447.728</v>
      </c>
      <c r="M167" s="446">
        <f t="shared" si="123"/>
        <v>649447.728</v>
      </c>
      <c r="N167" s="446">
        <f t="shared" si="124"/>
        <v>806251.08799999999</v>
      </c>
      <c r="O167" s="446">
        <f t="shared" si="125"/>
        <v>1597790.912</v>
      </c>
      <c r="P167" s="446">
        <f t="shared" si="126"/>
        <v>21000</v>
      </c>
      <c r="Q167" s="446">
        <f t="shared" si="127"/>
        <v>33000</v>
      </c>
      <c r="R167" s="446">
        <f t="shared" si="128"/>
        <v>75000</v>
      </c>
      <c r="S167" s="446">
        <f t="shared" si="129"/>
        <v>94580.273279999994</v>
      </c>
      <c r="T167" s="446">
        <f t="shared" si="130"/>
        <v>0</v>
      </c>
      <c r="U167" s="446"/>
      <c r="V167" s="446">
        <f t="shared" si="135"/>
        <v>223580.27327999999</v>
      </c>
      <c r="W167" s="453">
        <v>12</v>
      </c>
      <c r="X167" s="446">
        <f t="shared" si="131"/>
        <v>18631.689439999998</v>
      </c>
      <c r="Y167" s="449"/>
      <c r="Z167" s="457">
        <f t="shared" si="132"/>
        <v>18631.689439999998</v>
      </c>
      <c r="AA167" s="458">
        <v>11232.457626666701</v>
      </c>
      <c r="AB167" s="458">
        <f t="shared" si="134"/>
        <v>7399.2318133333401</v>
      </c>
      <c r="AC167" s="458"/>
      <c r="AD167" s="458"/>
      <c r="AE167" s="458"/>
    </row>
    <row r="168" spans="1:31" ht="36">
      <c r="A168" s="443">
        <v>151</v>
      </c>
      <c r="B168" s="10" t="s">
        <v>471</v>
      </c>
      <c r="C168" s="446">
        <v>189814.16666666701</v>
      </c>
      <c r="D168" s="445">
        <v>12</v>
      </c>
      <c r="E168" s="446">
        <f t="shared" si="133"/>
        <v>2277770</v>
      </c>
      <c r="F168" s="446"/>
      <c r="G168" s="447">
        <v>146701.6</v>
      </c>
      <c r="H168" s="449"/>
      <c r="I168" s="446">
        <f t="shared" si="121"/>
        <v>2131068.4</v>
      </c>
      <c r="J168" s="446">
        <v>200000</v>
      </c>
      <c r="K168" s="446">
        <v>0.2</v>
      </c>
      <c r="L168" s="446">
        <f t="shared" si="122"/>
        <v>426213.68</v>
      </c>
      <c r="M168" s="446">
        <f t="shared" si="123"/>
        <v>626213.68000000005</v>
      </c>
      <c r="N168" s="446">
        <f t="shared" si="124"/>
        <v>772915.28</v>
      </c>
      <c r="O168" s="446">
        <f t="shared" si="125"/>
        <v>1504854.72</v>
      </c>
      <c r="P168" s="446">
        <f t="shared" si="126"/>
        <v>21000</v>
      </c>
      <c r="Q168" s="446">
        <f t="shared" si="127"/>
        <v>33000</v>
      </c>
      <c r="R168" s="446">
        <f t="shared" si="128"/>
        <v>75000</v>
      </c>
      <c r="S168" s="446">
        <f t="shared" si="129"/>
        <v>76922.396800000002</v>
      </c>
      <c r="T168" s="446">
        <f t="shared" si="130"/>
        <v>0</v>
      </c>
      <c r="U168" s="446"/>
      <c r="V168" s="446">
        <f t="shared" si="135"/>
        <v>205922.39679999999</v>
      </c>
      <c r="W168" s="453">
        <v>12</v>
      </c>
      <c r="X168" s="446">
        <f t="shared" si="131"/>
        <v>17160.199733333298</v>
      </c>
      <c r="Y168" s="449"/>
      <c r="Z168" s="457">
        <f t="shared" si="132"/>
        <v>17160.199733333298</v>
      </c>
      <c r="AA168" s="458">
        <v>9152.5997900000002</v>
      </c>
      <c r="AB168" s="458">
        <f t="shared" si="134"/>
        <v>8007.59994333334</v>
      </c>
      <c r="AC168" s="458"/>
      <c r="AD168" s="458"/>
      <c r="AE168" s="458"/>
    </row>
    <row r="169" spans="1:31" ht="18">
      <c r="A169" s="443">
        <v>152</v>
      </c>
      <c r="B169" s="10" t="s">
        <v>474</v>
      </c>
      <c r="C169" s="446">
        <v>189814.16666666701</v>
      </c>
      <c r="D169" s="445">
        <v>12</v>
      </c>
      <c r="E169" s="446">
        <f t="shared" si="133"/>
        <v>2277770</v>
      </c>
      <c r="F169" s="446"/>
      <c r="G169" s="447">
        <v>146701.6</v>
      </c>
      <c r="H169" s="449"/>
      <c r="I169" s="446">
        <f t="shared" si="121"/>
        <v>2131068.4</v>
      </c>
      <c r="J169" s="446">
        <v>200000</v>
      </c>
      <c r="K169" s="446">
        <v>0.2</v>
      </c>
      <c r="L169" s="446">
        <f t="shared" si="122"/>
        <v>426213.68</v>
      </c>
      <c r="M169" s="446">
        <f t="shared" si="123"/>
        <v>626213.68000000005</v>
      </c>
      <c r="N169" s="446">
        <f t="shared" si="124"/>
        <v>772915.28</v>
      </c>
      <c r="O169" s="446">
        <f t="shared" si="125"/>
        <v>1504854.72</v>
      </c>
      <c r="P169" s="446">
        <f t="shared" si="126"/>
        <v>21000</v>
      </c>
      <c r="Q169" s="446">
        <f t="shared" si="127"/>
        <v>33000</v>
      </c>
      <c r="R169" s="446">
        <f t="shared" si="128"/>
        <v>75000</v>
      </c>
      <c r="S169" s="446">
        <f t="shared" si="129"/>
        <v>76922.396800000002</v>
      </c>
      <c r="T169" s="446">
        <f t="shared" si="130"/>
        <v>0</v>
      </c>
      <c r="U169" s="446"/>
      <c r="V169" s="446">
        <f t="shared" si="135"/>
        <v>205922.39679999999</v>
      </c>
      <c r="W169" s="453">
        <v>12</v>
      </c>
      <c r="X169" s="446">
        <f t="shared" si="131"/>
        <v>17160.199733333298</v>
      </c>
      <c r="Y169" s="449"/>
      <c r="Z169" s="457">
        <f t="shared" si="132"/>
        <v>17160.199733333298</v>
      </c>
      <c r="AA169" s="458">
        <v>9152.5997900000002</v>
      </c>
      <c r="AB169" s="458">
        <f t="shared" si="134"/>
        <v>8007.59994333334</v>
      </c>
      <c r="AC169" s="458"/>
      <c r="AD169" s="458"/>
      <c r="AE169" s="458"/>
    </row>
    <row r="170" spans="1:31" ht="18">
      <c r="A170" s="443">
        <v>153</v>
      </c>
      <c r="B170" s="17" t="s">
        <v>475</v>
      </c>
      <c r="C170" s="446">
        <v>195075.5</v>
      </c>
      <c r="D170" s="445">
        <v>12</v>
      </c>
      <c r="E170" s="446">
        <f t="shared" si="133"/>
        <v>2340906</v>
      </c>
      <c r="F170" s="446"/>
      <c r="G170" s="447">
        <v>151752.48000000001</v>
      </c>
      <c r="H170" s="449"/>
      <c r="I170" s="446">
        <f t="shared" si="121"/>
        <v>2189153.52</v>
      </c>
      <c r="J170" s="446">
        <v>200000</v>
      </c>
      <c r="K170" s="446">
        <v>0.2</v>
      </c>
      <c r="L170" s="446">
        <f t="shared" si="122"/>
        <v>437830.70400000003</v>
      </c>
      <c r="M170" s="446">
        <f t="shared" si="123"/>
        <v>637830.70400000003</v>
      </c>
      <c r="N170" s="446">
        <f t="shared" si="124"/>
        <v>789583.18400000001</v>
      </c>
      <c r="O170" s="446">
        <f t="shared" si="125"/>
        <v>1551322.8160000001</v>
      </c>
      <c r="P170" s="446">
        <f t="shared" si="126"/>
        <v>21000</v>
      </c>
      <c r="Q170" s="446">
        <f t="shared" si="127"/>
        <v>33000</v>
      </c>
      <c r="R170" s="446">
        <f t="shared" si="128"/>
        <v>75000</v>
      </c>
      <c r="S170" s="446">
        <f t="shared" si="129"/>
        <v>85751.335040000005</v>
      </c>
      <c r="T170" s="446">
        <f t="shared" si="130"/>
        <v>0</v>
      </c>
      <c r="U170" s="446"/>
      <c r="V170" s="446">
        <f t="shared" si="135"/>
        <v>214751.33504000001</v>
      </c>
      <c r="W170" s="453">
        <v>12</v>
      </c>
      <c r="X170" s="446">
        <f t="shared" si="131"/>
        <v>17895.944586666701</v>
      </c>
      <c r="Y170" s="449"/>
      <c r="Z170" s="457">
        <f t="shared" si="132"/>
        <v>17895.944586666701</v>
      </c>
      <c r="AA170" s="458">
        <v>9504.2041399999998</v>
      </c>
      <c r="AB170" s="458">
        <f t="shared" si="134"/>
        <v>8391.7404466666703</v>
      </c>
      <c r="AC170" s="458"/>
      <c r="AD170" s="458"/>
      <c r="AE170" s="458"/>
    </row>
    <row r="171" spans="1:31" ht="29.25" customHeight="1">
      <c r="A171" s="443">
        <v>154</v>
      </c>
      <c r="B171" s="10" t="s">
        <v>477</v>
      </c>
      <c r="C171" s="446">
        <v>121145.75</v>
      </c>
      <c r="D171" s="445">
        <v>12</v>
      </c>
      <c r="E171" s="446">
        <f t="shared" si="133"/>
        <v>1453749</v>
      </c>
      <c r="F171" s="446"/>
      <c r="G171" s="447">
        <v>90379.92</v>
      </c>
      <c r="H171" s="449"/>
      <c r="I171" s="446">
        <f t="shared" si="121"/>
        <v>1363369.08</v>
      </c>
      <c r="J171" s="446">
        <v>200000</v>
      </c>
      <c r="K171" s="446">
        <v>0.2</v>
      </c>
      <c r="L171" s="446">
        <f t="shared" si="122"/>
        <v>272673.81599999999</v>
      </c>
      <c r="M171" s="446">
        <f t="shared" si="123"/>
        <v>472673.81599999999</v>
      </c>
      <c r="N171" s="446">
        <f t="shared" si="124"/>
        <v>563053.73600000003</v>
      </c>
      <c r="O171" s="446">
        <f t="shared" si="125"/>
        <v>890695.26399999997</v>
      </c>
      <c r="P171" s="446">
        <f t="shared" si="126"/>
        <v>21000</v>
      </c>
      <c r="Q171" s="446">
        <f t="shared" si="127"/>
        <v>33000</v>
      </c>
      <c r="R171" s="446">
        <f t="shared" si="128"/>
        <v>43604.289599999996</v>
      </c>
      <c r="S171" s="446">
        <f t="shared" si="129"/>
        <v>0</v>
      </c>
      <c r="T171" s="446">
        <f t="shared" si="130"/>
        <v>0</v>
      </c>
      <c r="U171" s="446"/>
      <c r="V171" s="446">
        <f t="shared" si="135"/>
        <v>97604.289600000004</v>
      </c>
      <c r="W171" s="453">
        <v>12</v>
      </c>
      <c r="X171" s="446">
        <f t="shared" si="131"/>
        <v>8133.6908000000003</v>
      </c>
      <c r="Y171" s="449"/>
      <c r="Z171" s="457">
        <f t="shared" si="132"/>
        <v>8133.6908000000003</v>
      </c>
      <c r="AA171" s="458">
        <v>4365.3307546666701</v>
      </c>
      <c r="AB171" s="458">
        <f t="shared" si="134"/>
        <v>3768.3600453333302</v>
      </c>
      <c r="AC171" s="458"/>
      <c r="AD171" s="458"/>
      <c r="AE171" s="458"/>
    </row>
    <row r="172" spans="1:31" ht="18">
      <c r="A172" s="443">
        <v>155</v>
      </c>
      <c r="B172" s="10" t="s">
        <v>480</v>
      </c>
      <c r="C172" s="446">
        <v>118598</v>
      </c>
      <c r="D172" s="445">
        <v>12</v>
      </c>
      <c r="E172" s="446">
        <f t="shared" si="133"/>
        <v>1423176</v>
      </c>
      <c r="F172" s="446"/>
      <c r="G172" s="447">
        <v>87934.080000000002</v>
      </c>
      <c r="H172" s="449"/>
      <c r="I172" s="446">
        <f t="shared" si="121"/>
        <v>1335241.92</v>
      </c>
      <c r="J172" s="446">
        <v>200000</v>
      </c>
      <c r="K172" s="446">
        <v>0.2</v>
      </c>
      <c r="L172" s="446">
        <f t="shared" si="122"/>
        <v>267048.38400000002</v>
      </c>
      <c r="M172" s="446">
        <f t="shared" si="123"/>
        <v>467048.38400000002</v>
      </c>
      <c r="N172" s="446">
        <f t="shared" si="124"/>
        <v>554982.46400000004</v>
      </c>
      <c r="O172" s="446">
        <f t="shared" si="125"/>
        <v>868193.53599999996</v>
      </c>
      <c r="P172" s="446">
        <f t="shared" si="126"/>
        <v>21000</v>
      </c>
      <c r="Q172" s="446">
        <f t="shared" si="127"/>
        <v>33000</v>
      </c>
      <c r="R172" s="446">
        <f t="shared" si="128"/>
        <v>40229.030400000003</v>
      </c>
      <c r="S172" s="446">
        <f t="shared" si="129"/>
        <v>0</v>
      </c>
      <c r="T172" s="446">
        <f t="shared" si="130"/>
        <v>0</v>
      </c>
      <c r="U172" s="446"/>
      <c r="V172" s="446">
        <f t="shared" si="135"/>
        <v>94229.030400000003</v>
      </c>
      <c r="W172" s="453">
        <v>12</v>
      </c>
      <c r="X172" s="446">
        <f t="shared" si="131"/>
        <v>7852.4192000000003</v>
      </c>
      <c r="Y172" s="449"/>
      <c r="Z172" s="457">
        <f t="shared" si="132"/>
        <v>7852.4192000000003</v>
      </c>
      <c r="AA172" s="458">
        <v>4227.5237226666704</v>
      </c>
      <c r="AB172" s="458">
        <f t="shared" si="134"/>
        <v>3624.8954773333298</v>
      </c>
      <c r="AC172" s="458"/>
      <c r="AD172" s="458"/>
      <c r="AE172" s="458"/>
    </row>
    <row r="173" spans="1:31" ht="18">
      <c r="A173" s="443">
        <v>156</v>
      </c>
      <c r="B173" s="10" t="s">
        <v>483</v>
      </c>
      <c r="C173" s="446">
        <v>115598</v>
      </c>
      <c r="D173" s="445">
        <v>12</v>
      </c>
      <c r="E173" s="446">
        <f t="shared" si="133"/>
        <v>1387176</v>
      </c>
      <c r="F173" s="446"/>
      <c r="G173" s="447">
        <v>87934.080000000002</v>
      </c>
      <c r="H173" s="449"/>
      <c r="I173" s="446">
        <f t="shared" si="121"/>
        <v>1299241.92</v>
      </c>
      <c r="J173" s="446">
        <v>200000</v>
      </c>
      <c r="K173" s="446">
        <v>0.2</v>
      </c>
      <c r="L173" s="446">
        <f t="shared" si="122"/>
        <v>259848.38399999999</v>
      </c>
      <c r="M173" s="446">
        <f t="shared" si="123"/>
        <v>459848.38400000002</v>
      </c>
      <c r="N173" s="446">
        <f t="shared" si="124"/>
        <v>547782.46400000004</v>
      </c>
      <c r="O173" s="446">
        <f t="shared" si="125"/>
        <v>839393.53599999996</v>
      </c>
      <c r="P173" s="446">
        <f t="shared" si="126"/>
        <v>21000</v>
      </c>
      <c r="Q173" s="446">
        <f t="shared" si="127"/>
        <v>33000</v>
      </c>
      <c r="R173" s="446">
        <f t="shared" si="128"/>
        <v>35909.030400000003</v>
      </c>
      <c r="S173" s="446">
        <f t="shared" si="129"/>
        <v>0</v>
      </c>
      <c r="T173" s="446">
        <f t="shared" si="130"/>
        <v>0</v>
      </c>
      <c r="U173" s="446"/>
      <c r="V173" s="446">
        <f t="shared" si="135"/>
        <v>89909.030400000003</v>
      </c>
      <c r="W173" s="453">
        <v>12</v>
      </c>
      <c r="X173" s="446">
        <f t="shared" si="131"/>
        <v>7492.4192000000003</v>
      </c>
      <c r="Y173" s="449"/>
      <c r="Z173" s="457">
        <f t="shared" si="132"/>
        <v>7492.4192000000003</v>
      </c>
      <c r="AA173" s="458">
        <v>3963.52372266667</v>
      </c>
      <c r="AB173" s="458">
        <f t="shared" si="134"/>
        <v>3528.8954773333298</v>
      </c>
      <c r="AC173" s="458"/>
      <c r="AD173" s="458"/>
      <c r="AE173" s="458"/>
    </row>
    <row r="174" spans="1:31" ht="18">
      <c r="A174" s="443">
        <v>157</v>
      </c>
      <c r="B174" s="10" t="s">
        <v>484</v>
      </c>
      <c r="C174" s="446">
        <v>118598</v>
      </c>
      <c r="D174" s="445">
        <v>12</v>
      </c>
      <c r="E174" s="446">
        <f t="shared" si="133"/>
        <v>1423176</v>
      </c>
      <c r="F174" s="446"/>
      <c r="G174" s="447">
        <v>87934.080000000002</v>
      </c>
      <c r="H174" s="449"/>
      <c r="I174" s="446">
        <f t="shared" si="121"/>
        <v>1335241.92</v>
      </c>
      <c r="J174" s="446">
        <v>200000</v>
      </c>
      <c r="K174" s="446">
        <v>0.2</v>
      </c>
      <c r="L174" s="446">
        <f t="shared" si="122"/>
        <v>267048.38400000002</v>
      </c>
      <c r="M174" s="446">
        <f t="shared" si="123"/>
        <v>467048.38400000002</v>
      </c>
      <c r="N174" s="446">
        <f t="shared" si="124"/>
        <v>554982.46400000004</v>
      </c>
      <c r="O174" s="446">
        <f t="shared" si="125"/>
        <v>868193.53599999996</v>
      </c>
      <c r="P174" s="446">
        <f t="shared" si="126"/>
        <v>21000</v>
      </c>
      <c r="Q174" s="446">
        <f t="shared" si="127"/>
        <v>33000</v>
      </c>
      <c r="R174" s="446">
        <f t="shared" si="128"/>
        <v>40229.030400000003</v>
      </c>
      <c r="S174" s="446">
        <f t="shared" si="129"/>
        <v>0</v>
      </c>
      <c r="T174" s="446">
        <f t="shared" si="130"/>
        <v>0</v>
      </c>
      <c r="U174" s="446"/>
      <c r="V174" s="446">
        <f t="shared" si="135"/>
        <v>94229.030400000003</v>
      </c>
      <c r="W174" s="453">
        <v>12</v>
      </c>
      <c r="X174" s="446">
        <f t="shared" si="131"/>
        <v>7852.4192000000003</v>
      </c>
      <c r="Y174" s="449"/>
      <c r="Z174" s="457">
        <f t="shared" si="132"/>
        <v>7852.4192000000003</v>
      </c>
      <c r="AA174" s="458">
        <v>4227.5237226666704</v>
      </c>
      <c r="AB174" s="458">
        <f t="shared" si="134"/>
        <v>3624.8954773333298</v>
      </c>
      <c r="AC174" s="458"/>
      <c r="AD174" s="458"/>
      <c r="AE174" s="458"/>
    </row>
    <row r="175" spans="1:31" ht="18">
      <c r="A175" s="454"/>
      <c r="B175" s="10" t="s">
        <v>485</v>
      </c>
      <c r="C175" s="462">
        <v>115598</v>
      </c>
      <c r="D175" s="445">
        <v>12</v>
      </c>
      <c r="E175" s="446">
        <f t="shared" si="133"/>
        <v>1387176</v>
      </c>
      <c r="F175" s="446"/>
      <c r="G175" s="447">
        <v>87934.080000000002</v>
      </c>
      <c r="H175" s="449"/>
      <c r="I175" s="446">
        <f t="shared" si="121"/>
        <v>1299241.92</v>
      </c>
      <c r="J175" s="446">
        <v>200000</v>
      </c>
      <c r="K175" s="446">
        <v>0.2</v>
      </c>
      <c r="L175" s="446">
        <f t="shared" si="122"/>
        <v>259848.38399999999</v>
      </c>
      <c r="M175" s="446">
        <f t="shared" si="123"/>
        <v>459848.38400000002</v>
      </c>
      <c r="N175" s="446">
        <f t="shared" si="124"/>
        <v>547782.46400000004</v>
      </c>
      <c r="O175" s="446">
        <f t="shared" si="125"/>
        <v>839393.53599999996</v>
      </c>
      <c r="P175" s="446">
        <f t="shared" si="126"/>
        <v>21000</v>
      </c>
      <c r="Q175" s="446">
        <f t="shared" si="127"/>
        <v>33000</v>
      </c>
      <c r="R175" s="446">
        <f t="shared" si="128"/>
        <v>35909.030400000003</v>
      </c>
      <c r="S175" s="446">
        <f t="shared" si="129"/>
        <v>0</v>
      </c>
      <c r="T175" s="446">
        <f t="shared" si="130"/>
        <v>0</v>
      </c>
      <c r="U175" s="446"/>
      <c r="V175" s="446">
        <f t="shared" si="135"/>
        <v>89909.030400000003</v>
      </c>
      <c r="W175" s="453">
        <v>12</v>
      </c>
      <c r="X175" s="446">
        <f t="shared" si="131"/>
        <v>7492.4192000000003</v>
      </c>
      <c r="Y175" s="449"/>
      <c r="Z175" s="457">
        <f t="shared" si="132"/>
        <v>7492.4192000000003</v>
      </c>
      <c r="AA175" s="458">
        <v>3963.52372266667</v>
      </c>
      <c r="AB175" s="458">
        <f t="shared" si="134"/>
        <v>3528.8954773333298</v>
      </c>
      <c r="AC175" s="458"/>
      <c r="AD175" s="458"/>
      <c r="AE175" s="458"/>
    </row>
    <row r="176" spans="1:31" ht="18">
      <c r="A176" s="454"/>
      <c r="B176" s="10" t="s">
        <v>486</v>
      </c>
      <c r="C176" s="462">
        <v>118598</v>
      </c>
      <c r="D176" s="445">
        <v>12</v>
      </c>
      <c r="E176" s="446">
        <f t="shared" si="133"/>
        <v>1423176</v>
      </c>
      <c r="F176" s="446"/>
      <c r="G176" s="447">
        <v>87934.080000000002</v>
      </c>
      <c r="H176" s="449"/>
      <c r="I176" s="446">
        <f t="shared" si="121"/>
        <v>1335241.92</v>
      </c>
      <c r="J176" s="446">
        <v>200000</v>
      </c>
      <c r="K176" s="446">
        <v>0.2</v>
      </c>
      <c r="L176" s="446">
        <f t="shared" si="122"/>
        <v>267048.38400000002</v>
      </c>
      <c r="M176" s="446">
        <f t="shared" si="123"/>
        <v>467048.38400000002</v>
      </c>
      <c r="N176" s="446">
        <f t="shared" si="124"/>
        <v>554982.46400000004</v>
      </c>
      <c r="O176" s="446">
        <f t="shared" si="125"/>
        <v>868193.53599999996</v>
      </c>
      <c r="P176" s="446">
        <f t="shared" si="126"/>
        <v>21000</v>
      </c>
      <c r="Q176" s="446">
        <f t="shared" si="127"/>
        <v>33000</v>
      </c>
      <c r="R176" s="446">
        <f t="shared" si="128"/>
        <v>40229.030400000003</v>
      </c>
      <c r="S176" s="446">
        <f t="shared" si="129"/>
        <v>0</v>
      </c>
      <c r="T176" s="446">
        <f t="shared" si="130"/>
        <v>0</v>
      </c>
      <c r="U176" s="446"/>
      <c r="V176" s="446">
        <f t="shared" si="135"/>
        <v>94229.030400000003</v>
      </c>
      <c r="W176" s="453">
        <v>12</v>
      </c>
      <c r="X176" s="446">
        <f t="shared" si="131"/>
        <v>7852.4192000000003</v>
      </c>
      <c r="Y176" s="449"/>
      <c r="Z176" s="457">
        <f t="shared" si="132"/>
        <v>7852.4192000000003</v>
      </c>
      <c r="AA176" s="458">
        <v>4227.5237226666704</v>
      </c>
      <c r="AB176" s="458">
        <f t="shared" si="134"/>
        <v>3624.8954773333298</v>
      </c>
    </row>
    <row r="177" spans="2:28" ht="18">
      <c r="B177" s="17" t="s">
        <v>487</v>
      </c>
      <c r="C177" s="458">
        <v>115598</v>
      </c>
      <c r="D177" s="445">
        <v>12</v>
      </c>
      <c r="E177" s="446">
        <f t="shared" si="133"/>
        <v>1387176</v>
      </c>
      <c r="G177" s="447">
        <v>87934.080000000002</v>
      </c>
      <c r="I177" s="446">
        <f t="shared" si="121"/>
        <v>1299241.92</v>
      </c>
      <c r="J177" s="446">
        <v>200000</v>
      </c>
      <c r="K177" s="446">
        <v>0.2</v>
      </c>
      <c r="L177" s="446">
        <f t="shared" si="122"/>
        <v>259848.38399999999</v>
      </c>
      <c r="M177" s="446">
        <f t="shared" si="123"/>
        <v>459848.38400000002</v>
      </c>
      <c r="N177" s="446">
        <f t="shared" si="124"/>
        <v>547782.46400000004</v>
      </c>
      <c r="O177" s="446">
        <f t="shared" si="125"/>
        <v>839393.53599999996</v>
      </c>
      <c r="P177" s="446">
        <f t="shared" si="126"/>
        <v>21000</v>
      </c>
      <c r="Q177" s="446">
        <f t="shared" si="127"/>
        <v>33000</v>
      </c>
      <c r="R177" s="446">
        <f t="shared" si="128"/>
        <v>35909.030400000003</v>
      </c>
      <c r="S177" s="446">
        <f t="shared" si="129"/>
        <v>0</v>
      </c>
      <c r="T177" s="446">
        <f t="shared" si="130"/>
        <v>0</v>
      </c>
      <c r="U177" s="446"/>
      <c r="V177" s="446">
        <f t="shared" si="135"/>
        <v>89909.030400000003</v>
      </c>
      <c r="W177" s="453">
        <v>12</v>
      </c>
      <c r="X177" s="446">
        <f t="shared" si="131"/>
        <v>7492.4192000000003</v>
      </c>
      <c r="Z177" s="457">
        <f t="shared" si="132"/>
        <v>7492.4192000000003</v>
      </c>
      <c r="AA177" s="458">
        <v>3963.52372266667</v>
      </c>
      <c r="AB177" s="458">
        <f t="shared" si="134"/>
        <v>3528.8954773333298</v>
      </c>
    </row>
    <row r="178" spans="2:28" ht="18">
      <c r="B178" s="17" t="s">
        <v>488</v>
      </c>
      <c r="C178" s="458">
        <v>118598</v>
      </c>
      <c r="D178" s="445">
        <v>12</v>
      </c>
      <c r="E178" s="446">
        <f t="shared" si="133"/>
        <v>1423176</v>
      </c>
      <c r="G178" s="447">
        <v>87934.080000000002</v>
      </c>
      <c r="I178" s="446">
        <f t="shared" si="121"/>
        <v>1335241.92</v>
      </c>
      <c r="J178" s="446">
        <v>200000</v>
      </c>
      <c r="K178" s="446">
        <v>0.2</v>
      </c>
      <c r="L178" s="446">
        <f t="shared" si="122"/>
        <v>267048.38400000002</v>
      </c>
      <c r="M178" s="446">
        <f t="shared" si="123"/>
        <v>467048.38400000002</v>
      </c>
      <c r="N178" s="446">
        <f t="shared" si="124"/>
        <v>554982.46400000004</v>
      </c>
      <c r="O178" s="446">
        <f t="shared" si="125"/>
        <v>868193.53599999996</v>
      </c>
      <c r="P178" s="446">
        <f t="shared" si="126"/>
        <v>21000</v>
      </c>
      <c r="Q178" s="446">
        <f t="shared" si="127"/>
        <v>33000</v>
      </c>
      <c r="R178" s="446">
        <f t="shared" si="128"/>
        <v>40229.030400000003</v>
      </c>
      <c r="S178" s="446">
        <f t="shared" si="129"/>
        <v>0</v>
      </c>
      <c r="T178" s="446">
        <f t="shared" si="130"/>
        <v>0</v>
      </c>
      <c r="U178" s="446"/>
      <c r="V178" s="446">
        <f t="shared" si="135"/>
        <v>94229.030400000003</v>
      </c>
      <c r="W178" s="453">
        <v>12</v>
      </c>
      <c r="X178" s="446">
        <f t="shared" si="131"/>
        <v>7852.4192000000003</v>
      </c>
      <c r="Z178" s="457">
        <f t="shared" si="132"/>
        <v>7852.4192000000003</v>
      </c>
      <c r="AA178" s="458">
        <v>4227.5237226666704</v>
      </c>
      <c r="AB178" s="458">
        <f t="shared" si="134"/>
        <v>3624.8954773333298</v>
      </c>
    </row>
    <row r="179" spans="2:28" ht="18">
      <c r="B179" s="10" t="s">
        <v>489</v>
      </c>
      <c r="C179" s="458">
        <v>118598</v>
      </c>
      <c r="D179" s="445">
        <v>12</v>
      </c>
      <c r="E179" s="446">
        <f t="shared" si="133"/>
        <v>1423176</v>
      </c>
      <c r="G179" s="447">
        <v>87934.080000000002</v>
      </c>
      <c r="I179" s="446">
        <f t="shared" si="121"/>
        <v>1335241.92</v>
      </c>
      <c r="J179" s="446">
        <v>200000</v>
      </c>
      <c r="K179" s="446">
        <v>0.2</v>
      </c>
      <c r="L179" s="446">
        <f t="shared" si="122"/>
        <v>267048.38400000002</v>
      </c>
      <c r="M179" s="446">
        <f t="shared" si="123"/>
        <v>467048.38400000002</v>
      </c>
      <c r="N179" s="446">
        <f t="shared" si="124"/>
        <v>554982.46400000004</v>
      </c>
      <c r="O179" s="446">
        <f t="shared" si="125"/>
        <v>868193.53599999996</v>
      </c>
      <c r="P179" s="446">
        <f t="shared" si="126"/>
        <v>21000</v>
      </c>
      <c r="Q179" s="446">
        <f t="shared" si="127"/>
        <v>33000</v>
      </c>
      <c r="R179" s="446">
        <f t="shared" si="128"/>
        <v>40229.030400000003</v>
      </c>
      <c r="S179" s="446">
        <f t="shared" si="129"/>
        <v>0</v>
      </c>
      <c r="T179" s="446">
        <f t="shared" si="130"/>
        <v>0</v>
      </c>
      <c r="V179" s="446">
        <f t="shared" si="135"/>
        <v>94229.030400000003</v>
      </c>
      <c r="W179" s="453">
        <v>12</v>
      </c>
      <c r="X179" s="446">
        <f t="shared" si="131"/>
        <v>7852.4192000000003</v>
      </c>
      <c r="Z179" s="457">
        <f t="shared" si="132"/>
        <v>7852.4192000000003</v>
      </c>
      <c r="AA179" s="458">
        <v>4089.7166906666698</v>
      </c>
      <c r="AB179" s="458">
        <f t="shared" si="134"/>
        <v>3762.70250933333</v>
      </c>
    </row>
    <row r="180" spans="2:28" ht="18">
      <c r="B180" s="10" t="s">
        <v>490</v>
      </c>
      <c r="C180" s="458">
        <v>118598</v>
      </c>
      <c r="D180" s="445">
        <v>12</v>
      </c>
      <c r="E180" s="446">
        <f t="shared" si="133"/>
        <v>1423176</v>
      </c>
      <c r="G180" s="447">
        <v>87934.080000000002</v>
      </c>
      <c r="I180" s="446">
        <f t="shared" si="121"/>
        <v>1335241.92</v>
      </c>
      <c r="J180" s="446">
        <v>200000</v>
      </c>
      <c r="K180" s="446">
        <v>0.2</v>
      </c>
      <c r="L180" s="446">
        <f t="shared" si="122"/>
        <v>267048.38400000002</v>
      </c>
      <c r="M180" s="446">
        <f t="shared" si="123"/>
        <v>467048.38400000002</v>
      </c>
      <c r="N180" s="446">
        <f t="shared" si="124"/>
        <v>554982.46400000004</v>
      </c>
      <c r="O180" s="446">
        <f t="shared" si="125"/>
        <v>868193.53599999996</v>
      </c>
      <c r="P180" s="446">
        <f t="shared" si="126"/>
        <v>21000</v>
      </c>
      <c r="Q180" s="446">
        <f t="shared" si="127"/>
        <v>33000</v>
      </c>
      <c r="R180" s="446">
        <f t="shared" si="128"/>
        <v>40229.030400000003</v>
      </c>
      <c r="S180" s="446">
        <f t="shared" si="129"/>
        <v>0</v>
      </c>
      <c r="T180" s="446">
        <f t="shared" si="130"/>
        <v>0</v>
      </c>
      <c r="V180" s="446">
        <f t="shared" si="135"/>
        <v>94229.030400000003</v>
      </c>
      <c r="W180" s="453">
        <v>12</v>
      </c>
      <c r="X180" s="446">
        <f t="shared" si="131"/>
        <v>7852.4192000000003</v>
      </c>
      <c r="Z180" s="457">
        <f t="shared" si="132"/>
        <v>7852.4192000000003</v>
      </c>
      <c r="AA180" s="458">
        <v>4227.5237226666704</v>
      </c>
      <c r="AB180" s="458">
        <f t="shared" si="134"/>
        <v>3624.8954773333298</v>
      </c>
    </row>
    <row r="181" spans="2:28" ht="18">
      <c r="B181" s="17" t="s">
        <v>491</v>
      </c>
      <c r="C181" s="458">
        <v>116050.25</v>
      </c>
      <c r="D181" s="445">
        <v>12</v>
      </c>
      <c r="E181" s="446">
        <f t="shared" si="133"/>
        <v>1392603</v>
      </c>
      <c r="G181" s="447">
        <v>85488.24</v>
      </c>
      <c r="I181" s="446">
        <f t="shared" si="121"/>
        <v>1307114.76</v>
      </c>
      <c r="J181" s="446">
        <v>200000</v>
      </c>
      <c r="K181" s="446">
        <v>0.2</v>
      </c>
      <c r="L181" s="446">
        <f t="shared" si="122"/>
        <v>261422.95199999999</v>
      </c>
      <c r="M181" s="446">
        <f t="shared" si="123"/>
        <v>461422.95199999999</v>
      </c>
      <c r="N181" s="446">
        <f t="shared" si="124"/>
        <v>546911.19200000004</v>
      </c>
      <c r="O181" s="446">
        <f t="shared" si="125"/>
        <v>845691.80799999996</v>
      </c>
      <c r="P181" s="446">
        <f t="shared" si="126"/>
        <v>21000</v>
      </c>
      <c r="Q181" s="446">
        <f t="shared" si="127"/>
        <v>33000</v>
      </c>
      <c r="R181" s="446">
        <f t="shared" si="128"/>
        <v>36853.771200000003</v>
      </c>
      <c r="S181" s="446">
        <f t="shared" si="129"/>
        <v>0</v>
      </c>
      <c r="T181" s="446">
        <f t="shared" si="130"/>
        <v>0</v>
      </c>
      <c r="V181" s="446">
        <f t="shared" si="135"/>
        <v>90853.771200000003</v>
      </c>
      <c r="W181" s="453">
        <v>12</v>
      </c>
      <c r="X181" s="446">
        <f t="shared" si="131"/>
        <v>7571.1476000000002</v>
      </c>
      <c r="Z181" s="457">
        <f t="shared" si="132"/>
        <v>7571.1476000000002</v>
      </c>
      <c r="AA181" s="458">
        <v>4089.7166906666698</v>
      </c>
      <c r="AB181" s="458">
        <f t="shared" si="134"/>
        <v>3481.43090933333</v>
      </c>
    </row>
    <row r="182" spans="2:28" ht="18">
      <c r="B182" s="17" t="s">
        <v>493</v>
      </c>
      <c r="C182" s="458">
        <v>102926.91666666701</v>
      </c>
      <c r="D182" s="445">
        <v>12</v>
      </c>
      <c r="E182" s="446">
        <f t="shared" si="133"/>
        <v>1235123</v>
      </c>
      <c r="G182" s="447">
        <v>77689.84</v>
      </c>
      <c r="I182" s="446">
        <f t="shared" si="121"/>
        <v>1157433.1599999999</v>
      </c>
      <c r="J182" s="446">
        <v>200000</v>
      </c>
      <c r="K182" s="446">
        <v>0.2</v>
      </c>
      <c r="L182" s="446">
        <f t="shared" si="122"/>
        <v>231486.63200000001</v>
      </c>
      <c r="M182" s="446">
        <f t="shared" si="123"/>
        <v>431486.63199999998</v>
      </c>
      <c r="N182" s="446">
        <f t="shared" si="124"/>
        <v>509176.47200000001</v>
      </c>
      <c r="O182" s="446">
        <f t="shared" si="125"/>
        <v>725946.52800000005</v>
      </c>
      <c r="P182" s="446">
        <f t="shared" si="126"/>
        <v>21000</v>
      </c>
      <c r="Q182" s="446">
        <f t="shared" si="127"/>
        <v>33000</v>
      </c>
      <c r="R182" s="446">
        <f t="shared" si="128"/>
        <v>18891.979200000002</v>
      </c>
      <c r="S182" s="446">
        <f t="shared" si="129"/>
        <v>0</v>
      </c>
      <c r="T182" s="446">
        <f t="shared" si="130"/>
        <v>0</v>
      </c>
      <c r="V182" s="446">
        <f t="shared" si="135"/>
        <v>72891.979200000002</v>
      </c>
      <c r="W182" s="453">
        <v>12</v>
      </c>
      <c r="X182" s="446">
        <f t="shared" si="131"/>
        <v>6074.3316000000004</v>
      </c>
      <c r="Z182" s="457">
        <f t="shared" si="132"/>
        <v>6074.3316000000004</v>
      </c>
      <c r="AA182" s="458">
        <v>3210.1544048666701</v>
      </c>
      <c r="AB182" s="458">
        <f t="shared" si="134"/>
        <v>2864.1771951333299</v>
      </c>
    </row>
    <row r="183" spans="2:28" ht="18">
      <c r="B183" s="17" t="s">
        <v>495</v>
      </c>
      <c r="C183" s="458">
        <v>95540.75</v>
      </c>
      <c r="D183" s="445">
        <v>12</v>
      </c>
      <c r="E183" s="446">
        <f t="shared" si="133"/>
        <v>1146489</v>
      </c>
      <c r="G183" s="447">
        <f>6123.26*12</f>
        <v>73479.12</v>
      </c>
      <c r="I183" s="446">
        <f t="shared" si="121"/>
        <v>1073009.8799999999</v>
      </c>
      <c r="J183" s="446">
        <v>200000</v>
      </c>
      <c r="K183" s="446">
        <v>0.2</v>
      </c>
      <c r="L183" s="446">
        <f t="shared" si="122"/>
        <v>214601.976</v>
      </c>
      <c r="M183" s="446">
        <f t="shared" si="123"/>
        <v>414601.97600000002</v>
      </c>
      <c r="N183" s="446">
        <f t="shared" si="124"/>
        <v>488081.09600000002</v>
      </c>
      <c r="O183" s="446">
        <f t="shared" si="125"/>
        <v>658407.90399999998</v>
      </c>
      <c r="P183" s="446">
        <f t="shared" si="126"/>
        <v>21000</v>
      </c>
      <c r="Q183" s="446">
        <f t="shared" si="127"/>
        <v>33000</v>
      </c>
      <c r="R183" s="446">
        <f t="shared" si="128"/>
        <v>8761.1856000000007</v>
      </c>
      <c r="S183" s="446">
        <f t="shared" si="129"/>
        <v>0</v>
      </c>
      <c r="T183" s="446">
        <f t="shared" si="130"/>
        <v>0</v>
      </c>
      <c r="V183" s="446">
        <f t="shared" si="135"/>
        <v>62761.185599999997</v>
      </c>
      <c r="W183" s="453">
        <v>12</v>
      </c>
      <c r="X183" s="446">
        <f t="shared" si="131"/>
        <v>5230.0987999999998</v>
      </c>
      <c r="Z183" s="457">
        <f t="shared" si="132"/>
        <v>5230.0987999999998</v>
      </c>
      <c r="AA183" s="458">
        <v>2708.9136406666698</v>
      </c>
      <c r="AB183" s="458">
        <f t="shared" si="134"/>
        <v>2521.1851593333299</v>
      </c>
    </row>
    <row r="184" spans="2:28" ht="18">
      <c r="B184" s="17" t="s">
        <v>498</v>
      </c>
      <c r="C184" s="458">
        <v>95540.75</v>
      </c>
      <c r="D184" s="445">
        <v>12</v>
      </c>
      <c r="E184" s="446">
        <f t="shared" si="133"/>
        <v>1146489</v>
      </c>
      <c r="G184" s="447">
        <f t="shared" ref="G184:G185" si="136">6123.26*12</f>
        <v>73479.12</v>
      </c>
      <c r="I184" s="446">
        <f t="shared" si="121"/>
        <v>1073009.8799999999</v>
      </c>
      <c r="J184" s="446">
        <v>200000</v>
      </c>
      <c r="K184" s="446">
        <v>0.2</v>
      </c>
      <c r="L184" s="446">
        <f t="shared" si="122"/>
        <v>214601.976</v>
      </c>
      <c r="M184" s="446">
        <f t="shared" si="123"/>
        <v>414601.97600000002</v>
      </c>
      <c r="N184" s="446">
        <f t="shared" si="124"/>
        <v>488081.09600000002</v>
      </c>
      <c r="O184" s="446">
        <f t="shared" si="125"/>
        <v>658407.90399999998</v>
      </c>
      <c r="P184" s="446">
        <f t="shared" si="126"/>
        <v>21000</v>
      </c>
      <c r="Q184" s="446">
        <f t="shared" si="127"/>
        <v>33000</v>
      </c>
      <c r="R184" s="446">
        <f t="shared" si="128"/>
        <v>8761.1856000000007</v>
      </c>
      <c r="S184" s="446">
        <f t="shared" si="129"/>
        <v>0</v>
      </c>
      <c r="T184" s="446">
        <f t="shared" si="130"/>
        <v>0</v>
      </c>
      <c r="V184" s="446">
        <f t="shared" si="135"/>
        <v>62761.185599999997</v>
      </c>
      <c r="W184" s="453">
        <v>12</v>
      </c>
      <c r="X184" s="446">
        <f t="shared" si="131"/>
        <v>5230.0987999999998</v>
      </c>
      <c r="Z184" s="457">
        <f t="shared" si="132"/>
        <v>5230.0987999999998</v>
      </c>
      <c r="AA184" s="458">
        <v>2708.9136406666698</v>
      </c>
      <c r="AB184" s="458">
        <f t="shared" si="134"/>
        <v>2521.1851593333299</v>
      </c>
    </row>
    <row r="185" spans="2:28" ht="18">
      <c r="B185" s="17" t="s">
        <v>499</v>
      </c>
      <c r="C185" s="458">
        <v>95540.75</v>
      </c>
      <c r="D185" s="445">
        <v>12</v>
      </c>
      <c r="E185" s="446">
        <f t="shared" si="133"/>
        <v>1146489</v>
      </c>
      <c r="G185" s="447">
        <f t="shared" si="136"/>
        <v>73479.12</v>
      </c>
      <c r="I185" s="446">
        <f t="shared" si="121"/>
        <v>1073009.8799999999</v>
      </c>
      <c r="J185" s="446">
        <v>200000</v>
      </c>
      <c r="K185" s="446">
        <v>0.2</v>
      </c>
      <c r="L185" s="446">
        <f t="shared" si="122"/>
        <v>214601.976</v>
      </c>
      <c r="M185" s="446">
        <f t="shared" si="123"/>
        <v>414601.97600000002</v>
      </c>
      <c r="N185" s="446">
        <f t="shared" si="124"/>
        <v>488081.09600000002</v>
      </c>
      <c r="O185" s="446">
        <f t="shared" si="125"/>
        <v>658407.90399999998</v>
      </c>
      <c r="P185" s="446">
        <f t="shared" si="126"/>
        <v>21000</v>
      </c>
      <c r="Q185" s="446">
        <f t="shared" si="127"/>
        <v>33000</v>
      </c>
      <c r="R185" s="446">
        <f t="shared" si="128"/>
        <v>8761.1856000000007</v>
      </c>
      <c r="S185" s="446">
        <f t="shared" si="129"/>
        <v>0</v>
      </c>
      <c r="T185" s="446">
        <f t="shared" si="130"/>
        <v>0</v>
      </c>
      <c r="V185" s="446">
        <f t="shared" si="135"/>
        <v>62761.185599999997</v>
      </c>
      <c r="W185" s="453">
        <v>12</v>
      </c>
      <c r="X185" s="446">
        <f t="shared" si="131"/>
        <v>5230.0987999999998</v>
      </c>
      <c r="Z185" s="457">
        <f t="shared" si="132"/>
        <v>5230.0987999999998</v>
      </c>
      <c r="AA185" s="458">
        <v>2708.9136406666698</v>
      </c>
      <c r="AB185" s="458">
        <f t="shared" si="134"/>
        <v>2521.1851593333299</v>
      </c>
    </row>
    <row r="186" spans="2:28" ht="18">
      <c r="B186" s="463" t="s">
        <v>500</v>
      </c>
      <c r="C186" s="458">
        <v>108502.5</v>
      </c>
      <c r="D186" s="464">
        <v>12</v>
      </c>
      <c r="E186" s="465">
        <f t="shared" si="133"/>
        <v>1302030</v>
      </c>
      <c r="G186" s="466">
        <f>6920.2*12</f>
        <v>83042.399999999994</v>
      </c>
      <c r="I186" s="465">
        <f t="shared" si="121"/>
        <v>1218987.6000000001</v>
      </c>
      <c r="J186" s="446">
        <v>200000</v>
      </c>
      <c r="K186" s="446">
        <v>0.2</v>
      </c>
      <c r="L186" s="446">
        <f t="shared" si="122"/>
        <v>243797.52</v>
      </c>
      <c r="M186" s="446">
        <f t="shared" si="123"/>
        <v>443797.52</v>
      </c>
      <c r="N186" s="446">
        <f t="shared" si="124"/>
        <v>526839.92000000004</v>
      </c>
      <c r="O186" s="446">
        <f t="shared" si="125"/>
        <v>775190.08</v>
      </c>
      <c r="P186" s="446">
        <f t="shared" si="126"/>
        <v>21000</v>
      </c>
      <c r="Q186" s="446">
        <f t="shared" si="127"/>
        <v>33000</v>
      </c>
      <c r="R186" s="446">
        <f t="shared" si="128"/>
        <v>26278.511999999999</v>
      </c>
      <c r="S186" s="446">
        <f t="shared" si="129"/>
        <v>0</v>
      </c>
      <c r="T186" s="446">
        <f t="shared" si="130"/>
        <v>0</v>
      </c>
      <c r="V186" s="446">
        <f t="shared" si="135"/>
        <v>80278.512000000002</v>
      </c>
      <c r="W186" s="453">
        <v>12</v>
      </c>
      <c r="X186" s="446">
        <f t="shared" si="131"/>
        <v>6689.8760000000002</v>
      </c>
      <c r="Z186" s="457">
        <f t="shared" si="132"/>
        <v>6689.8760000000002</v>
      </c>
      <c r="AA186" s="458">
        <v>3511.7966226666699</v>
      </c>
      <c r="AB186" s="458">
        <f t="shared" si="134"/>
        <v>3178.0793773333298</v>
      </c>
    </row>
    <row r="187" spans="2:28" ht="18">
      <c r="B187" s="463" t="s">
        <v>503</v>
      </c>
      <c r="C187" s="467">
        <v>108502.5</v>
      </c>
      <c r="D187" s="464">
        <v>12</v>
      </c>
      <c r="E187" s="465">
        <f t="shared" si="133"/>
        <v>1302030</v>
      </c>
      <c r="F187" s="468"/>
      <c r="G187" s="466">
        <f>6920.2*12</f>
        <v>83042.399999999994</v>
      </c>
      <c r="H187" s="468"/>
      <c r="I187" s="465">
        <f t="shared" si="121"/>
        <v>1218987.6000000001</v>
      </c>
      <c r="J187" s="465">
        <v>200000</v>
      </c>
      <c r="K187" s="465">
        <v>0.2</v>
      </c>
      <c r="L187" s="465">
        <f t="shared" si="122"/>
        <v>243797.52</v>
      </c>
      <c r="M187" s="465">
        <f t="shared" si="123"/>
        <v>443797.52</v>
      </c>
      <c r="N187" s="465">
        <f t="shared" si="124"/>
        <v>526839.92000000004</v>
      </c>
      <c r="O187" s="465">
        <f t="shared" si="125"/>
        <v>775190.08</v>
      </c>
      <c r="P187" s="465">
        <f t="shared" si="126"/>
        <v>21000</v>
      </c>
      <c r="Q187" s="465">
        <f t="shared" si="127"/>
        <v>33000</v>
      </c>
      <c r="R187" s="465">
        <f t="shared" si="128"/>
        <v>26278.511999999999</v>
      </c>
      <c r="S187" s="465">
        <f t="shared" si="129"/>
        <v>0</v>
      </c>
      <c r="T187" s="465">
        <f t="shared" si="130"/>
        <v>0</v>
      </c>
      <c r="V187" s="465">
        <f t="shared" si="135"/>
        <v>80278.512000000002</v>
      </c>
      <c r="W187" s="479">
        <v>12</v>
      </c>
      <c r="X187" s="465">
        <f t="shared" si="131"/>
        <v>6689.8760000000002</v>
      </c>
      <c r="Z187" s="480">
        <f t="shared" si="132"/>
        <v>6689.8760000000002</v>
      </c>
      <c r="AA187" s="458">
        <v>3511.7966226666699</v>
      </c>
      <c r="AB187" s="458">
        <f t="shared" si="134"/>
        <v>3178.0793773333298</v>
      </c>
    </row>
    <row r="188" spans="2:28" ht="35.25" customHeight="1">
      <c r="B188" s="469" t="s">
        <v>523</v>
      </c>
      <c r="C188" s="470">
        <f>SUM(C6:C187)</f>
        <v>79212127.886105001</v>
      </c>
      <c r="D188" s="471"/>
      <c r="E188" s="472"/>
      <c r="F188" s="473">
        <f>SUM(F6:F187)</f>
        <v>276375.74699999997</v>
      </c>
      <c r="G188" s="473">
        <f>SUM(G6:G187)</f>
        <v>54773768.880000003</v>
      </c>
      <c r="H188" s="474"/>
      <c r="I188" s="474"/>
      <c r="J188" s="474"/>
      <c r="K188" s="474"/>
      <c r="L188" s="474"/>
      <c r="M188" s="474"/>
      <c r="N188" s="474"/>
      <c r="O188" s="474"/>
      <c r="P188" s="474"/>
      <c r="Q188" s="474"/>
      <c r="R188" s="474"/>
      <c r="S188" s="474"/>
      <c r="T188" s="474"/>
      <c r="U188" s="474"/>
      <c r="V188" s="473">
        <f>SUM(V6:V187)</f>
        <v>135631933.582434</v>
      </c>
      <c r="W188" s="473"/>
      <c r="X188" s="473">
        <f t="shared" ref="X188" si="137">SUM(X6:X187)</f>
        <v>11302661.131869501</v>
      </c>
      <c r="Y188" s="473"/>
      <c r="Z188" s="473">
        <f t="shared" ref="Z188" si="138">SUM(Z6:Z187)</f>
        <v>11302661.131869501</v>
      </c>
      <c r="AA188" s="474"/>
      <c r="AB188" s="474"/>
    </row>
    <row r="189" spans="2:28" ht="26.25" customHeight="1">
      <c r="B189" s="475" t="s">
        <v>215</v>
      </c>
      <c r="C189" s="470"/>
      <c r="D189" s="471"/>
      <c r="E189" s="471"/>
      <c r="F189" s="476">
        <f>F188/12</f>
        <v>23031.312249999999</v>
      </c>
      <c r="G189" s="476">
        <f>G188/12</f>
        <v>4564480.74</v>
      </c>
      <c r="H189" s="474"/>
      <c r="I189" s="474"/>
      <c r="J189" s="474"/>
      <c r="K189" s="474"/>
      <c r="L189" s="474"/>
      <c r="M189" s="474"/>
      <c r="N189" s="474"/>
      <c r="O189" s="474"/>
      <c r="P189" s="474"/>
      <c r="Q189" s="474"/>
      <c r="R189" s="474"/>
      <c r="S189" s="474"/>
      <c r="T189" s="474"/>
      <c r="U189" s="474"/>
      <c r="V189" s="476">
        <f>V188/12</f>
        <v>11302661.131869501</v>
      </c>
      <c r="W189" s="471"/>
      <c r="X189" s="471"/>
      <c r="Y189" s="471"/>
      <c r="Z189" s="471"/>
      <c r="AA189" s="474"/>
      <c r="AB189" s="474"/>
    </row>
    <row r="190" spans="2:28" ht="17.5">
      <c r="B190" s="32"/>
      <c r="C190" s="458"/>
      <c r="F190" s="477"/>
    </row>
    <row r="191" spans="2:28" ht="13">
      <c r="F191" s="478"/>
      <c r="Z191" s="4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23" workbookViewId="0">
      <selection activeCell="F93" sqref="F93"/>
    </sheetView>
  </sheetViews>
  <sheetFormatPr defaultColWidth="9.1796875" defaultRowHeight="18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20.26953125" style="1" customWidth="1"/>
    <col min="6" max="6" width="18" style="1" customWidth="1"/>
    <col min="7" max="7" width="21.7265625" style="1" customWidth="1"/>
    <col min="8" max="16384" width="9.1796875" style="1"/>
  </cols>
  <sheetData>
    <row r="1" spans="1:7" ht="27" customHeight="1">
      <c r="A1" s="786" t="s">
        <v>0</v>
      </c>
      <c r="B1" s="786"/>
      <c r="C1" s="786"/>
      <c r="D1" s="786"/>
      <c r="E1" s="786"/>
      <c r="F1" s="786"/>
    </row>
    <row r="2" spans="1:7" ht="20.25" customHeight="1">
      <c r="A2" s="786" t="s">
        <v>563</v>
      </c>
      <c r="B2" s="786"/>
      <c r="C2" s="786"/>
      <c r="D2" s="786"/>
      <c r="E2" s="786"/>
      <c r="F2" s="786"/>
    </row>
    <row r="3" spans="1:7" ht="9.75" customHeight="1">
      <c r="A3" s="786"/>
      <c r="B3" s="786"/>
      <c r="C3" s="786"/>
      <c r="D3" s="786"/>
      <c r="E3" s="786"/>
      <c r="F3" s="786"/>
    </row>
    <row r="4" spans="1:7" ht="13.5" customHeight="1">
      <c r="A4" s="2"/>
      <c r="B4" s="2"/>
      <c r="C4" s="2"/>
      <c r="D4" s="2"/>
      <c r="E4" s="198"/>
      <c r="F4" s="198"/>
    </row>
    <row r="5" spans="1:7" ht="52.5" customHeight="1">
      <c r="A5" s="3"/>
      <c r="B5" s="4" t="s">
        <v>2</v>
      </c>
      <c r="C5" s="5" t="s">
        <v>3</v>
      </c>
      <c r="D5" s="6" t="s">
        <v>4</v>
      </c>
      <c r="E5" s="199" t="s">
        <v>564</v>
      </c>
      <c r="F5" s="199" t="s">
        <v>15</v>
      </c>
    </row>
    <row r="6" spans="1:7" ht="17.25" customHeight="1">
      <c r="C6" s="7"/>
      <c r="D6" s="7"/>
      <c r="E6" s="68" t="s">
        <v>20</v>
      </c>
      <c r="F6" s="68" t="s">
        <v>20</v>
      </c>
    </row>
    <row r="7" spans="1:7" ht="20.149999999999999" customHeight="1">
      <c r="A7" s="8" t="s">
        <v>21</v>
      </c>
      <c r="B7" s="7" t="s">
        <v>22</v>
      </c>
      <c r="C7" s="7"/>
      <c r="D7" s="7"/>
      <c r="E7" s="68"/>
      <c r="F7" s="20"/>
    </row>
    <row r="8" spans="1:7" ht="20.149999999999999" customHeight="1">
      <c r="A8" s="9">
        <v>1</v>
      </c>
      <c r="B8" s="10" t="s">
        <v>236</v>
      </c>
      <c r="C8" s="11" t="s">
        <v>237</v>
      </c>
      <c r="D8" s="11" t="s">
        <v>238</v>
      </c>
      <c r="E8" s="71">
        <v>1659751.1669999999</v>
      </c>
      <c r="F8" s="71"/>
      <c r="G8" s="12"/>
    </row>
    <row r="9" spans="1:7" ht="20.149999999999999" customHeight="1">
      <c r="A9" s="9">
        <v>2</v>
      </c>
      <c r="B9" s="10" t="s">
        <v>239</v>
      </c>
      <c r="C9" s="11" t="s">
        <v>240</v>
      </c>
      <c r="D9" s="9" t="s">
        <v>234</v>
      </c>
      <c r="E9" s="71">
        <v>762373.16666666698</v>
      </c>
      <c r="F9" s="71">
        <f t="shared" ref="F9:F34" si="0">E9*0.08</f>
        <v>60989.853333333303</v>
      </c>
      <c r="G9" s="12"/>
    </row>
    <row r="10" spans="1:7" ht="20.149999999999999" customHeight="1">
      <c r="A10" s="9">
        <v>3</v>
      </c>
      <c r="B10" s="13" t="s">
        <v>241</v>
      </c>
      <c r="C10" s="3" t="s">
        <v>242</v>
      </c>
      <c r="D10" s="9" t="s">
        <v>234</v>
      </c>
      <c r="E10" s="71">
        <v>762373.16666666698</v>
      </c>
      <c r="F10" s="71"/>
      <c r="G10" s="12"/>
    </row>
    <row r="11" spans="1:7" ht="20.149999999999999" customHeight="1">
      <c r="A11" s="9">
        <v>4</v>
      </c>
      <c r="B11" s="10" t="s">
        <v>243</v>
      </c>
      <c r="C11" s="16" t="s">
        <v>244</v>
      </c>
      <c r="D11" s="9" t="s">
        <v>234</v>
      </c>
      <c r="E11" s="71">
        <v>762373.16666666698</v>
      </c>
      <c r="F11" s="71">
        <f t="shared" si="0"/>
        <v>60989.853333333303</v>
      </c>
      <c r="G11" s="12"/>
    </row>
    <row r="12" spans="1:7" ht="20.149999999999999" customHeight="1">
      <c r="A12" s="9">
        <v>5</v>
      </c>
      <c r="B12" s="13" t="s">
        <v>245</v>
      </c>
      <c r="C12" s="3" t="s">
        <v>530</v>
      </c>
      <c r="D12" s="9" t="s">
        <v>234</v>
      </c>
      <c r="E12" s="71">
        <v>762373.16666666698</v>
      </c>
      <c r="F12" s="71">
        <f t="shared" si="0"/>
        <v>60989.853333333303</v>
      </c>
      <c r="G12" s="12"/>
    </row>
    <row r="13" spans="1:7" ht="20.149999999999999" customHeight="1">
      <c r="A13" s="9">
        <v>6</v>
      </c>
      <c r="B13" s="17" t="s">
        <v>232</v>
      </c>
      <c r="C13" s="9" t="s">
        <v>233</v>
      </c>
      <c r="D13" s="9" t="s">
        <v>234</v>
      </c>
      <c r="E13" s="71">
        <v>762373.16666666698</v>
      </c>
      <c r="F13" s="71"/>
      <c r="G13" s="12"/>
    </row>
    <row r="14" spans="1:7" ht="20.149999999999999" customHeight="1">
      <c r="A14" s="9">
        <v>7</v>
      </c>
      <c r="B14" s="10" t="s">
        <v>247</v>
      </c>
      <c r="C14" s="11" t="s">
        <v>248</v>
      </c>
      <c r="D14" s="14" t="s">
        <v>249</v>
      </c>
      <c r="E14" s="71">
        <v>620675.58333333302</v>
      </c>
      <c r="F14" s="71">
        <f t="shared" si="0"/>
        <v>49654.046666666698</v>
      </c>
      <c r="G14" s="12"/>
    </row>
    <row r="15" spans="1:7" ht="20.149999999999999" customHeight="1">
      <c r="A15" s="9">
        <v>8</v>
      </c>
      <c r="B15" s="10" t="s">
        <v>250</v>
      </c>
      <c r="C15" s="3" t="s">
        <v>251</v>
      </c>
      <c r="D15" s="9" t="s">
        <v>228</v>
      </c>
      <c r="E15" s="71">
        <v>582118.08333333302</v>
      </c>
      <c r="F15" s="71">
        <f t="shared" si="0"/>
        <v>46569.446666666699</v>
      </c>
      <c r="G15" s="12"/>
    </row>
    <row r="16" spans="1:7" ht="20.149999999999999" customHeight="1">
      <c r="A16" s="9">
        <v>9</v>
      </c>
      <c r="B16" s="10" t="s">
        <v>252</v>
      </c>
      <c r="C16" s="3" t="s">
        <v>253</v>
      </c>
      <c r="D16" s="14" t="s">
        <v>254</v>
      </c>
      <c r="E16" s="71">
        <v>484373.75</v>
      </c>
      <c r="F16" s="71">
        <f t="shared" si="0"/>
        <v>38749.9</v>
      </c>
      <c r="G16" s="12"/>
    </row>
    <row r="17" spans="1:7" ht="20.149999999999999" customHeight="1">
      <c r="A17" s="9">
        <v>10</v>
      </c>
      <c r="B17" s="13" t="s">
        <v>255</v>
      </c>
      <c r="C17" s="16" t="s">
        <v>256</v>
      </c>
      <c r="D17" s="14" t="s">
        <v>257</v>
      </c>
      <c r="E17" s="71">
        <v>470498</v>
      </c>
      <c r="F17" s="71">
        <f t="shared" si="0"/>
        <v>37639.839999999997</v>
      </c>
      <c r="G17" s="12"/>
    </row>
    <row r="18" spans="1:7" ht="20.149999999999999" customHeight="1">
      <c r="A18" s="9">
        <v>11</v>
      </c>
      <c r="B18" s="10" t="s">
        <v>258</v>
      </c>
      <c r="C18" s="3" t="s">
        <v>259</v>
      </c>
      <c r="D18" s="9" t="s">
        <v>260</v>
      </c>
      <c r="E18" s="71">
        <v>442746.5</v>
      </c>
      <c r="F18" s="71">
        <f t="shared" si="0"/>
        <v>35419.72</v>
      </c>
      <c r="G18" s="12"/>
    </row>
    <row r="19" spans="1:7" ht="20.149999999999999" customHeight="1">
      <c r="A19" s="9">
        <v>12</v>
      </c>
      <c r="B19" s="10" t="s">
        <v>261</v>
      </c>
      <c r="C19" s="3" t="s">
        <v>262</v>
      </c>
      <c r="D19" s="9" t="s">
        <v>263</v>
      </c>
      <c r="E19" s="71">
        <v>441804.91666666698</v>
      </c>
      <c r="F19" s="71">
        <f t="shared" si="0"/>
        <v>35344.393333333297</v>
      </c>
    </row>
    <row r="20" spans="1:7" ht="20.149999999999999" customHeight="1">
      <c r="A20" s="9">
        <v>13</v>
      </c>
      <c r="B20" s="10" t="s">
        <v>264</v>
      </c>
      <c r="C20" s="11" t="s">
        <v>265</v>
      </c>
      <c r="D20" s="14" t="s">
        <v>266</v>
      </c>
      <c r="E20" s="71">
        <v>428915.91666666698</v>
      </c>
      <c r="F20" s="71">
        <f t="shared" si="0"/>
        <v>34313.273333333302</v>
      </c>
      <c r="G20" s="12"/>
    </row>
    <row r="21" spans="1:7" ht="20.149999999999999" customHeight="1">
      <c r="A21" s="9">
        <v>14</v>
      </c>
      <c r="B21" s="17" t="s">
        <v>267</v>
      </c>
      <c r="C21" s="3" t="s">
        <v>531</v>
      </c>
      <c r="D21" s="14" t="s">
        <v>269</v>
      </c>
      <c r="E21" s="71">
        <v>416026.91666666698</v>
      </c>
      <c r="F21" s="71">
        <f t="shared" si="0"/>
        <v>33282.153333333299</v>
      </c>
      <c r="G21" s="12"/>
    </row>
    <row r="22" spans="1:7" ht="18.75" customHeight="1">
      <c r="A22" s="9">
        <v>15</v>
      </c>
      <c r="B22" s="10" t="s">
        <v>270</v>
      </c>
      <c r="C22" s="11" t="s">
        <v>50</v>
      </c>
      <c r="D22" s="14" t="s">
        <v>271</v>
      </c>
      <c r="E22" s="71">
        <v>377895.16666666698</v>
      </c>
      <c r="F22" s="71">
        <f t="shared" si="0"/>
        <v>30231.613333333298</v>
      </c>
      <c r="G22" s="12"/>
    </row>
    <row r="23" spans="1:7" ht="20.149999999999999" customHeight="1">
      <c r="A23" s="9">
        <v>16</v>
      </c>
      <c r="B23" s="13" t="s">
        <v>272</v>
      </c>
      <c r="C23" s="16" t="s">
        <v>532</v>
      </c>
      <c r="D23" s="9" t="s">
        <v>42</v>
      </c>
      <c r="E23" s="71">
        <v>353512.5</v>
      </c>
      <c r="F23" s="71">
        <f t="shared" si="0"/>
        <v>28281</v>
      </c>
      <c r="G23" s="12"/>
    </row>
    <row r="24" spans="1:7" ht="21.65" customHeight="1">
      <c r="A24" s="9">
        <v>17</v>
      </c>
      <c r="B24" s="10" t="s">
        <v>274</v>
      </c>
      <c r="C24" s="16" t="s">
        <v>275</v>
      </c>
      <c r="D24" s="14" t="s">
        <v>42</v>
      </c>
      <c r="E24" s="71">
        <v>353512.5</v>
      </c>
      <c r="F24" s="71">
        <f t="shared" si="0"/>
        <v>28281</v>
      </c>
      <c r="G24" s="12"/>
    </row>
    <row r="25" spans="1:7" ht="20.149999999999999" customHeight="1">
      <c r="A25" s="9">
        <v>18</v>
      </c>
      <c r="B25" s="13" t="s">
        <v>276</v>
      </c>
      <c r="C25" s="16" t="s">
        <v>277</v>
      </c>
      <c r="D25" s="9" t="s">
        <v>38</v>
      </c>
      <c r="E25" s="71">
        <v>293029.66666666698</v>
      </c>
      <c r="F25" s="71">
        <f t="shared" si="0"/>
        <v>23442.3733333333</v>
      </c>
      <c r="G25" s="12"/>
    </row>
    <row r="26" spans="1:7" ht="18.75" customHeight="1">
      <c r="A26" s="9">
        <v>19</v>
      </c>
      <c r="B26" s="3" t="s">
        <v>278</v>
      </c>
      <c r="C26" s="3" t="s">
        <v>176</v>
      </c>
      <c r="D26" s="9" t="s">
        <v>279</v>
      </c>
      <c r="E26" s="71">
        <v>270481.66666666698</v>
      </c>
      <c r="F26" s="71">
        <f t="shared" si="0"/>
        <v>21638.5333333333</v>
      </c>
      <c r="G26" s="12"/>
    </row>
    <row r="27" spans="1:7" ht="18.75" customHeight="1">
      <c r="A27" s="9">
        <v>20</v>
      </c>
      <c r="B27" s="17" t="s">
        <v>280</v>
      </c>
      <c r="C27" s="11" t="s">
        <v>176</v>
      </c>
      <c r="D27" s="14" t="s">
        <v>279</v>
      </c>
      <c r="E27" s="71">
        <v>270481.66666666698</v>
      </c>
      <c r="F27" s="71">
        <f t="shared" si="0"/>
        <v>21638.5333333333</v>
      </c>
      <c r="G27" s="12"/>
    </row>
    <row r="28" spans="1:7" ht="20.149999999999999" customHeight="1">
      <c r="A28" s="9">
        <v>21</v>
      </c>
      <c r="B28" s="10" t="s">
        <v>281</v>
      </c>
      <c r="C28" s="16" t="s">
        <v>273</v>
      </c>
      <c r="D28" s="9" t="s">
        <v>279</v>
      </c>
      <c r="E28" s="71">
        <v>270481.66666666698</v>
      </c>
      <c r="F28" s="71">
        <f t="shared" si="0"/>
        <v>21638.5333333333</v>
      </c>
      <c r="G28" s="12"/>
    </row>
    <row r="29" spans="1:7" ht="18.75" customHeight="1">
      <c r="A29" s="9">
        <v>22</v>
      </c>
      <c r="B29" s="17" t="s">
        <v>282</v>
      </c>
      <c r="C29" s="11" t="s">
        <v>28</v>
      </c>
      <c r="D29" s="14" t="s">
        <v>283</v>
      </c>
      <c r="E29" s="71">
        <v>263165.33333333302</v>
      </c>
      <c r="F29" s="71">
        <f t="shared" si="0"/>
        <v>21053.226666666698</v>
      </c>
      <c r="G29" s="12"/>
    </row>
    <row r="30" spans="1:7" ht="18.75" customHeight="1">
      <c r="A30" s="9">
        <v>23</v>
      </c>
      <c r="B30" s="17" t="s">
        <v>284</v>
      </c>
      <c r="C30" s="3" t="s">
        <v>285</v>
      </c>
      <c r="D30" s="9" t="s">
        <v>25</v>
      </c>
      <c r="E30" s="71">
        <v>255849</v>
      </c>
      <c r="F30" s="71">
        <f t="shared" si="0"/>
        <v>20467.919999999998</v>
      </c>
      <c r="G30" s="12"/>
    </row>
    <row r="31" spans="1:7" ht="18.75" customHeight="1">
      <c r="A31" s="9">
        <v>24</v>
      </c>
      <c r="B31" s="17" t="s">
        <v>286</v>
      </c>
      <c r="C31" s="3" t="s">
        <v>285</v>
      </c>
      <c r="D31" s="9" t="s">
        <v>25</v>
      </c>
      <c r="E31" s="71">
        <v>255849</v>
      </c>
      <c r="F31" s="71">
        <f t="shared" si="0"/>
        <v>20467.919999999998</v>
      </c>
      <c r="G31" s="12"/>
    </row>
    <row r="32" spans="1:7" ht="18.75" customHeight="1">
      <c r="A32" s="9">
        <v>25</v>
      </c>
      <c r="B32" s="17" t="s">
        <v>287</v>
      </c>
      <c r="C32" s="16" t="s">
        <v>288</v>
      </c>
      <c r="D32" s="14" t="s">
        <v>279</v>
      </c>
      <c r="E32" s="71">
        <v>270481.66666666698</v>
      </c>
      <c r="F32" s="71">
        <f t="shared" si="0"/>
        <v>21638.5333333333</v>
      </c>
      <c r="G32" s="12"/>
    </row>
    <row r="33" spans="1:7" ht="18.75" customHeight="1">
      <c r="A33" s="9">
        <v>26</v>
      </c>
      <c r="B33" s="17" t="s">
        <v>289</v>
      </c>
      <c r="C33" s="3" t="s">
        <v>290</v>
      </c>
      <c r="D33" s="9" t="s">
        <v>291</v>
      </c>
      <c r="E33" s="71">
        <v>230631.91666666701</v>
      </c>
      <c r="F33" s="71">
        <f t="shared" si="0"/>
        <v>18450.553333333301</v>
      </c>
      <c r="G33" s="12"/>
    </row>
    <row r="34" spans="1:7" ht="18.75" customHeight="1">
      <c r="A34" s="9">
        <v>27</v>
      </c>
      <c r="B34" s="17" t="s">
        <v>292</v>
      </c>
      <c r="C34" s="11" t="s">
        <v>293</v>
      </c>
      <c r="D34" s="14" t="s">
        <v>294</v>
      </c>
      <c r="E34" s="71">
        <v>224459.75</v>
      </c>
      <c r="F34" s="71">
        <f t="shared" si="0"/>
        <v>17956.78</v>
      </c>
      <c r="G34" s="12"/>
    </row>
    <row r="35" spans="1:7" ht="26.25" customHeight="1">
      <c r="A35" s="9"/>
      <c r="B35" s="19" t="s">
        <v>34</v>
      </c>
      <c r="C35" s="20">
        <v>27</v>
      </c>
      <c r="D35" s="14"/>
      <c r="E35" s="202">
        <f>SUM(E8:E34)</f>
        <v>13048608.166999999</v>
      </c>
      <c r="F35" s="202">
        <f t="shared" ref="F35" si="1">SUM(F8:F34)</f>
        <v>789128.85333333397</v>
      </c>
      <c r="G35" s="12"/>
    </row>
    <row r="36" spans="1:7" ht="18.75" customHeight="1">
      <c r="A36" s="9"/>
      <c r="B36" s="21"/>
      <c r="C36" s="3"/>
      <c r="D36" s="14"/>
      <c r="E36" s="202"/>
      <c r="F36" s="202"/>
      <c r="G36" s="12"/>
    </row>
    <row r="37" spans="1:7" ht="18.75" customHeight="1">
      <c r="A37" s="9"/>
      <c r="B37" s="19" t="s">
        <v>35</v>
      </c>
      <c r="C37" s="3"/>
      <c r="D37" s="14"/>
      <c r="E37" s="71"/>
      <c r="F37" s="71"/>
      <c r="G37" s="12"/>
    </row>
    <row r="38" spans="1:7" ht="18.75" customHeight="1">
      <c r="A38" s="9">
        <v>1</v>
      </c>
      <c r="B38" s="17" t="s">
        <v>295</v>
      </c>
      <c r="C38" s="3" t="s">
        <v>296</v>
      </c>
      <c r="D38" s="9" t="s">
        <v>297</v>
      </c>
      <c r="E38" s="71">
        <v>1435720</v>
      </c>
      <c r="F38" s="71">
        <f>E38*0.08</f>
        <v>114857.60000000001</v>
      </c>
      <c r="G38" s="12"/>
    </row>
    <row r="39" spans="1:7" ht="18.75" customHeight="1">
      <c r="A39" s="9">
        <v>2</v>
      </c>
      <c r="B39" s="17" t="s">
        <v>298</v>
      </c>
      <c r="C39" s="3" t="s">
        <v>533</v>
      </c>
      <c r="D39" s="9" t="s">
        <v>38</v>
      </c>
      <c r="E39" s="71">
        <v>293029.66666666698</v>
      </c>
      <c r="F39" s="71">
        <f t="shared" ref="F39:F40" si="2">E39*0.08</f>
        <v>23442.3733333333</v>
      </c>
      <c r="G39" s="12"/>
    </row>
    <row r="40" spans="1:7" ht="18.75" customHeight="1">
      <c r="A40" s="9">
        <v>3</v>
      </c>
      <c r="B40" s="10" t="s">
        <v>300</v>
      </c>
      <c r="C40" s="11" t="s">
        <v>534</v>
      </c>
      <c r="D40" s="14" t="s">
        <v>301</v>
      </c>
      <c r="E40" s="71">
        <v>300965.58333333302</v>
      </c>
      <c r="F40" s="71">
        <f t="shared" si="2"/>
        <v>24077.246666666699</v>
      </c>
      <c r="G40" s="12"/>
    </row>
    <row r="41" spans="1:7" ht="19.5" customHeight="1">
      <c r="A41" s="9"/>
      <c r="B41" s="13"/>
      <c r="C41" s="20">
        <v>3</v>
      </c>
      <c r="D41" s="9"/>
      <c r="E41" s="202">
        <f>SUM(E38:E40)</f>
        <v>2029715.25</v>
      </c>
      <c r="F41" s="202">
        <f t="shared" ref="F41" si="3">SUM(F38:F40)</f>
        <v>162377.22</v>
      </c>
      <c r="G41" s="12"/>
    </row>
    <row r="42" spans="1:7" ht="20.149999999999999" customHeight="1">
      <c r="A42" s="9"/>
      <c r="B42" s="13"/>
      <c r="C42" s="3"/>
      <c r="D42" s="9"/>
      <c r="E42" s="202"/>
      <c r="F42" s="202"/>
      <c r="G42" s="12"/>
    </row>
    <row r="43" spans="1:7" ht="20.149999999999999" customHeight="1">
      <c r="A43" s="9"/>
      <c r="B43" s="22" t="s">
        <v>39</v>
      </c>
      <c r="C43" s="4"/>
      <c r="D43" s="23"/>
      <c r="E43" s="202"/>
      <c r="F43" s="202"/>
      <c r="G43" s="12"/>
    </row>
    <row r="44" spans="1:7" ht="20.149999999999999" customHeight="1">
      <c r="A44" s="9">
        <v>1</v>
      </c>
      <c r="B44" s="10" t="s">
        <v>302</v>
      </c>
      <c r="C44" s="3" t="s">
        <v>303</v>
      </c>
      <c r="D44" s="9" t="s">
        <v>297</v>
      </c>
      <c r="E44" s="71">
        <v>1435720</v>
      </c>
      <c r="F44" s="71">
        <f>E44*0.08</f>
        <v>114857.60000000001</v>
      </c>
      <c r="G44" s="12"/>
    </row>
    <row r="45" spans="1:7" ht="20.149999999999999" customHeight="1">
      <c r="A45" s="9">
        <v>2</v>
      </c>
      <c r="B45" s="10" t="s">
        <v>304</v>
      </c>
      <c r="C45" s="3" t="s">
        <v>305</v>
      </c>
      <c r="D45" s="9" t="s">
        <v>249</v>
      </c>
      <c r="E45" s="71">
        <v>620675.58333333302</v>
      </c>
      <c r="F45" s="71">
        <f t="shared" ref="F45:F54" si="4">E45*0.08</f>
        <v>49654.046666666698</v>
      </c>
      <c r="G45" s="12"/>
    </row>
    <row r="46" spans="1:7" ht="20.149999999999999" customHeight="1">
      <c r="A46" s="9">
        <v>3</v>
      </c>
      <c r="B46" s="10" t="s">
        <v>306</v>
      </c>
      <c r="C46" s="3" t="s">
        <v>307</v>
      </c>
      <c r="D46" s="9" t="s">
        <v>308</v>
      </c>
      <c r="E46" s="71">
        <v>739203.58333333302</v>
      </c>
      <c r="F46" s="71">
        <f t="shared" si="4"/>
        <v>59136.286666666703</v>
      </c>
      <c r="G46" s="12"/>
    </row>
    <row r="47" spans="1:7" ht="20.149999999999999" customHeight="1">
      <c r="A47" s="9">
        <v>4</v>
      </c>
      <c r="B47" s="10" t="s">
        <v>309</v>
      </c>
      <c r="C47" s="3" t="s">
        <v>310</v>
      </c>
      <c r="D47" s="9" t="s">
        <v>249</v>
      </c>
      <c r="E47" s="71">
        <v>620675.58333333302</v>
      </c>
      <c r="F47" s="71">
        <f t="shared" si="4"/>
        <v>49654.046666666698</v>
      </c>
      <c r="G47" s="12"/>
    </row>
    <row r="48" spans="1:7" ht="20.149999999999999" customHeight="1">
      <c r="A48" s="9">
        <v>5</v>
      </c>
      <c r="B48" s="10" t="s">
        <v>311</v>
      </c>
      <c r="C48" s="3" t="s">
        <v>310</v>
      </c>
      <c r="D48" s="9" t="s">
        <v>249</v>
      </c>
      <c r="E48" s="71">
        <v>620675.58333333302</v>
      </c>
      <c r="F48" s="71">
        <f t="shared" si="4"/>
        <v>49654.046666666698</v>
      </c>
      <c r="G48" s="12"/>
    </row>
    <row r="49" spans="1:7" ht="20.149999999999999" customHeight="1">
      <c r="A49" s="9">
        <v>6</v>
      </c>
      <c r="B49" s="10" t="s">
        <v>312</v>
      </c>
      <c r="C49" s="3" t="s">
        <v>310</v>
      </c>
      <c r="D49" s="9" t="s">
        <v>228</v>
      </c>
      <c r="E49" s="71">
        <v>582118.08333333302</v>
      </c>
      <c r="F49" s="71">
        <f t="shared" si="4"/>
        <v>46569.446666666699</v>
      </c>
      <c r="G49" s="12"/>
    </row>
    <row r="50" spans="1:7" ht="20.149999999999999" customHeight="1">
      <c r="A50" s="9">
        <v>7</v>
      </c>
      <c r="B50" s="13" t="s">
        <v>313</v>
      </c>
      <c r="C50" s="3" t="s">
        <v>256</v>
      </c>
      <c r="D50" s="15" t="s">
        <v>257</v>
      </c>
      <c r="E50" s="71">
        <v>470498</v>
      </c>
      <c r="F50" s="71">
        <f t="shared" si="4"/>
        <v>37639.839999999997</v>
      </c>
      <c r="G50" s="12"/>
    </row>
    <row r="51" spans="1:7" ht="20.149999999999999" customHeight="1">
      <c r="A51" s="9">
        <v>8</v>
      </c>
      <c r="B51" s="10" t="s">
        <v>314</v>
      </c>
      <c r="C51" s="3" t="s">
        <v>63</v>
      </c>
      <c r="D51" s="9" t="s">
        <v>301</v>
      </c>
      <c r="E51" s="71">
        <v>300965.58333333302</v>
      </c>
      <c r="F51" s="71">
        <f t="shared" si="4"/>
        <v>24077.246666666699</v>
      </c>
      <c r="G51" s="12"/>
    </row>
    <row r="52" spans="1:7" ht="20.149999999999999" customHeight="1">
      <c r="A52" s="9">
        <v>9</v>
      </c>
      <c r="B52" s="10" t="s">
        <v>315</v>
      </c>
      <c r="C52" s="3" t="s">
        <v>63</v>
      </c>
      <c r="D52" s="9" t="s">
        <v>283</v>
      </c>
      <c r="E52" s="71">
        <v>263165.33333333302</v>
      </c>
      <c r="F52" s="71">
        <f t="shared" si="4"/>
        <v>21053.226666666698</v>
      </c>
      <c r="G52" s="12"/>
    </row>
    <row r="53" spans="1:7" ht="20.149999999999999" customHeight="1">
      <c r="A53" s="9">
        <v>10</v>
      </c>
      <c r="B53" s="10" t="s">
        <v>316</v>
      </c>
      <c r="C53" s="3" t="s">
        <v>63</v>
      </c>
      <c r="D53" s="9" t="s">
        <v>283</v>
      </c>
      <c r="E53" s="71">
        <v>263165.33333333302</v>
      </c>
      <c r="F53" s="71">
        <f t="shared" si="4"/>
        <v>21053.226666666698</v>
      </c>
      <c r="G53" s="12"/>
    </row>
    <row r="54" spans="1:7" ht="20.149999999999999" customHeight="1">
      <c r="A54" s="9">
        <v>11</v>
      </c>
      <c r="B54" s="10" t="s">
        <v>317</v>
      </c>
      <c r="C54" s="3" t="s">
        <v>63</v>
      </c>
      <c r="D54" s="9" t="s">
        <v>283</v>
      </c>
      <c r="E54" s="71">
        <v>263165.33333333302</v>
      </c>
      <c r="F54" s="71">
        <f t="shared" si="4"/>
        <v>21053.226666666698</v>
      </c>
      <c r="G54" s="12"/>
    </row>
    <row r="55" spans="1:7" ht="25.5" customHeight="1">
      <c r="A55" s="9"/>
      <c r="B55" s="19" t="s">
        <v>34</v>
      </c>
      <c r="C55" s="20">
        <v>11</v>
      </c>
      <c r="D55" s="20"/>
      <c r="E55" s="79">
        <f>SUM(E44:E54)</f>
        <v>6180028</v>
      </c>
      <c r="F55" s="79">
        <f t="shared" ref="F55" si="5">SUM(F44:F54)</f>
        <v>494402.24</v>
      </c>
      <c r="G55" s="12"/>
    </row>
    <row r="56" spans="1:7" ht="20.149999999999999" customHeight="1">
      <c r="A56" s="9"/>
      <c r="B56" s="21"/>
      <c r="C56" s="20"/>
      <c r="D56" s="20"/>
      <c r="E56" s="133"/>
      <c r="F56" s="133"/>
      <c r="G56" s="12"/>
    </row>
    <row r="57" spans="1:7" ht="20.149999999999999" customHeight="1">
      <c r="A57" s="9"/>
      <c r="B57" s="19" t="s">
        <v>318</v>
      </c>
      <c r="C57" s="20"/>
      <c r="D57" s="20"/>
      <c r="E57" s="133"/>
      <c r="F57" s="133"/>
      <c r="G57" s="12"/>
    </row>
    <row r="58" spans="1:7" ht="20.149999999999999" customHeight="1">
      <c r="A58" s="9">
        <v>1</v>
      </c>
      <c r="B58" s="10" t="s">
        <v>319</v>
      </c>
      <c r="C58" s="11" t="s">
        <v>320</v>
      </c>
      <c r="D58" s="14" t="s">
        <v>297</v>
      </c>
      <c r="E58" s="71">
        <v>1435720</v>
      </c>
      <c r="F58" s="71">
        <f>E58*0.08</f>
        <v>114857.60000000001</v>
      </c>
      <c r="G58" s="12"/>
    </row>
    <row r="59" spans="1:7" ht="20.149999999999999" customHeight="1">
      <c r="A59" s="9">
        <v>2</v>
      </c>
      <c r="B59" s="10" t="s">
        <v>321</v>
      </c>
      <c r="C59" s="11" t="s">
        <v>322</v>
      </c>
      <c r="D59" s="14" t="s">
        <v>225</v>
      </c>
      <c r="E59" s="71">
        <v>620675.58333333302</v>
      </c>
      <c r="F59" s="71">
        <f>E59*0.08</f>
        <v>49654.046666666698</v>
      </c>
      <c r="G59" s="12"/>
    </row>
    <row r="60" spans="1:7" ht="20.149999999999999" customHeight="1">
      <c r="A60" s="9"/>
      <c r="B60" s="19" t="s">
        <v>34</v>
      </c>
      <c r="C60" s="20">
        <v>2</v>
      </c>
      <c r="D60" s="20"/>
      <c r="E60" s="79">
        <f>SUM(E58:E59)</f>
        <v>2056395.58333333</v>
      </c>
      <c r="F60" s="79">
        <f t="shared" ref="F60" si="6">SUM(F58:F59)</f>
        <v>164511.64666666699</v>
      </c>
      <c r="G60" s="12"/>
    </row>
    <row r="61" spans="1:7" ht="20.149999999999999" customHeight="1">
      <c r="A61" s="9"/>
      <c r="B61" s="19"/>
      <c r="C61" s="20"/>
      <c r="D61" s="20"/>
      <c r="E61" s="133"/>
      <c r="F61" s="133"/>
      <c r="G61" s="12"/>
    </row>
    <row r="62" spans="1:7" ht="20.149999999999999" customHeight="1">
      <c r="A62" s="9"/>
      <c r="B62" s="19" t="s">
        <v>45</v>
      </c>
      <c r="C62" s="20"/>
      <c r="D62" s="20"/>
      <c r="E62" s="133"/>
      <c r="F62" s="133"/>
      <c r="G62" s="12"/>
    </row>
    <row r="63" spans="1:7" ht="20.149999999999999" customHeight="1">
      <c r="A63" s="9">
        <v>1</v>
      </c>
      <c r="B63" s="10" t="s">
        <v>323</v>
      </c>
      <c r="C63" s="16" t="s">
        <v>324</v>
      </c>
      <c r="D63" s="9" t="s">
        <v>297</v>
      </c>
      <c r="E63" s="71">
        <v>1435720</v>
      </c>
      <c r="F63" s="71"/>
      <c r="G63" s="12"/>
    </row>
    <row r="64" spans="1:7" ht="20.149999999999999" customHeight="1">
      <c r="A64" s="9">
        <v>2</v>
      </c>
      <c r="B64" s="328" t="s">
        <v>325</v>
      </c>
      <c r="C64" s="16" t="s">
        <v>326</v>
      </c>
      <c r="D64" s="14" t="s">
        <v>327</v>
      </c>
      <c r="E64" s="71">
        <v>601396.83333333302</v>
      </c>
      <c r="F64" s="71">
        <f t="shared" ref="F64:F72" si="7">E64*0.08</f>
        <v>48111.746666666702</v>
      </c>
      <c r="G64" s="12"/>
    </row>
    <row r="65" spans="1:7" ht="20.149999999999999" customHeight="1">
      <c r="A65" s="9">
        <v>3</v>
      </c>
      <c r="B65" s="10" t="s">
        <v>328</v>
      </c>
      <c r="C65" s="3" t="s">
        <v>256</v>
      </c>
      <c r="D65" s="9" t="s">
        <v>260</v>
      </c>
      <c r="E65" s="71">
        <v>442746.5</v>
      </c>
      <c r="F65" s="71">
        <f t="shared" si="7"/>
        <v>35419.72</v>
      </c>
      <c r="G65" s="12"/>
    </row>
    <row r="66" spans="1:7" ht="20.149999999999999" customHeight="1">
      <c r="A66" s="9">
        <v>4</v>
      </c>
      <c r="B66" s="17" t="s">
        <v>329</v>
      </c>
      <c r="C66" s="16" t="s">
        <v>47</v>
      </c>
      <c r="D66" s="14" t="s">
        <v>266</v>
      </c>
      <c r="E66" s="71">
        <v>428915.91666666698</v>
      </c>
      <c r="F66" s="71">
        <f t="shared" si="7"/>
        <v>34313.273333333302</v>
      </c>
      <c r="G66" s="12"/>
    </row>
    <row r="67" spans="1:7" ht="20.149999999999999" customHeight="1">
      <c r="A67" s="9">
        <v>5</v>
      </c>
      <c r="B67" s="13" t="s">
        <v>330</v>
      </c>
      <c r="C67" s="16" t="s">
        <v>256</v>
      </c>
      <c r="D67" s="14" t="s">
        <v>254</v>
      </c>
      <c r="E67" s="71">
        <v>484373.75</v>
      </c>
      <c r="F67" s="71">
        <f t="shared" si="7"/>
        <v>38749.9</v>
      </c>
      <c r="G67" s="12"/>
    </row>
    <row r="68" spans="1:7" ht="20.149999999999999" customHeight="1">
      <c r="A68" s="9">
        <v>7</v>
      </c>
      <c r="B68" s="10" t="s">
        <v>331</v>
      </c>
      <c r="C68" s="3" t="s">
        <v>63</v>
      </c>
      <c r="D68" s="9" t="s">
        <v>332</v>
      </c>
      <c r="E68" s="71">
        <v>365703.83333333302</v>
      </c>
      <c r="F68" s="71">
        <f t="shared" si="7"/>
        <v>29256.3066666667</v>
      </c>
      <c r="G68" s="12"/>
    </row>
    <row r="69" spans="1:7" ht="20.149999999999999" customHeight="1">
      <c r="A69" s="9">
        <v>8</v>
      </c>
      <c r="B69" s="10" t="s">
        <v>333</v>
      </c>
      <c r="C69" s="16" t="s">
        <v>275</v>
      </c>
      <c r="D69" s="9" t="s">
        <v>332</v>
      </c>
      <c r="E69" s="71">
        <v>365703.83333333302</v>
      </c>
      <c r="F69" s="71">
        <f t="shared" si="7"/>
        <v>29256.3066666667</v>
      </c>
      <c r="G69" s="12"/>
    </row>
    <row r="70" spans="1:7" ht="20.149999999999999" customHeight="1">
      <c r="A70" s="9">
        <v>9</v>
      </c>
      <c r="B70" s="10" t="s">
        <v>334</v>
      </c>
      <c r="C70" s="16" t="s">
        <v>275</v>
      </c>
      <c r="D70" s="9" t="s">
        <v>332</v>
      </c>
      <c r="E70" s="71">
        <v>365703.83333333302</v>
      </c>
      <c r="F70" s="71">
        <f t="shared" si="7"/>
        <v>29256.3066666667</v>
      </c>
      <c r="G70" s="12"/>
    </row>
    <row r="71" spans="1:7" ht="20.149999999999999" customHeight="1">
      <c r="A71" s="9">
        <v>10</v>
      </c>
      <c r="B71" s="10" t="s">
        <v>335</v>
      </c>
      <c r="C71" s="3" t="s">
        <v>336</v>
      </c>
      <c r="D71" s="9" t="s">
        <v>271</v>
      </c>
      <c r="E71" s="439">
        <v>377895.16666666698</v>
      </c>
      <c r="F71" s="71">
        <f t="shared" si="7"/>
        <v>30231.613333333298</v>
      </c>
      <c r="G71" s="12"/>
    </row>
    <row r="72" spans="1:7" ht="21.65" customHeight="1">
      <c r="A72" s="9">
        <v>11</v>
      </c>
      <c r="B72" s="10" t="s">
        <v>337</v>
      </c>
      <c r="C72" s="3" t="s">
        <v>63</v>
      </c>
      <c r="D72" s="9" t="s">
        <v>301</v>
      </c>
      <c r="E72" s="201">
        <v>300965.58333333302</v>
      </c>
      <c r="F72" s="71">
        <f t="shared" si="7"/>
        <v>24077.246666666699</v>
      </c>
    </row>
    <row r="73" spans="1:7" ht="27" customHeight="1">
      <c r="A73" s="9"/>
      <c r="B73" s="19" t="s">
        <v>34</v>
      </c>
      <c r="C73" s="20">
        <v>12</v>
      </c>
      <c r="D73" s="20"/>
      <c r="E73" s="79">
        <f>SUM(E63:E72)</f>
        <v>5169125.25</v>
      </c>
      <c r="F73" s="79">
        <f t="shared" ref="F73" si="8">SUM(F63:F72)</f>
        <v>298672.42</v>
      </c>
      <c r="G73" s="12"/>
    </row>
    <row r="74" spans="1:7" ht="20.149999999999999" customHeight="1">
      <c r="A74" s="9"/>
      <c r="B74" s="21"/>
      <c r="C74" s="20"/>
      <c r="D74" s="20"/>
      <c r="E74" s="133"/>
      <c r="F74" s="133"/>
      <c r="G74" s="12"/>
    </row>
    <row r="75" spans="1:7" ht="20.149999999999999" customHeight="1">
      <c r="A75" s="9"/>
      <c r="B75" s="19" t="s">
        <v>51</v>
      </c>
      <c r="C75" s="20"/>
      <c r="D75" s="20"/>
      <c r="E75" s="133"/>
      <c r="F75" s="133"/>
      <c r="G75" s="12"/>
    </row>
    <row r="76" spans="1:7" ht="20.149999999999999" customHeight="1">
      <c r="A76" s="9">
        <v>1</v>
      </c>
      <c r="B76" s="10" t="s">
        <v>338</v>
      </c>
      <c r="C76" s="3" t="s">
        <v>339</v>
      </c>
      <c r="D76" s="9" t="s">
        <v>297</v>
      </c>
      <c r="E76" s="71">
        <v>1435720</v>
      </c>
      <c r="F76" s="71">
        <f>E76*0.08</f>
        <v>114857.60000000001</v>
      </c>
      <c r="G76" s="12"/>
    </row>
    <row r="77" spans="1:7" ht="20.149999999999999" customHeight="1">
      <c r="A77" s="9">
        <v>2</v>
      </c>
      <c r="B77" s="13" t="s">
        <v>220</v>
      </c>
      <c r="C77" s="3" t="s">
        <v>221</v>
      </c>
      <c r="D77" s="14" t="s">
        <v>222</v>
      </c>
      <c r="E77" s="71">
        <v>601396.83333333302</v>
      </c>
      <c r="F77" s="71"/>
      <c r="G77" s="12"/>
    </row>
    <row r="78" spans="1:7" ht="20.149999999999999" customHeight="1">
      <c r="A78" s="9">
        <v>3</v>
      </c>
      <c r="B78" s="17" t="s">
        <v>223</v>
      </c>
      <c r="C78" s="11" t="s">
        <v>224</v>
      </c>
      <c r="D78" s="9" t="s">
        <v>225</v>
      </c>
      <c r="E78" s="71">
        <v>620675.58333333302</v>
      </c>
      <c r="F78" s="71"/>
      <c r="G78" s="12"/>
    </row>
    <row r="79" spans="1:7" ht="20.149999999999999" customHeight="1">
      <c r="A79" s="9">
        <v>4</v>
      </c>
      <c r="B79" s="10" t="s">
        <v>340</v>
      </c>
      <c r="C79" s="3" t="s">
        <v>341</v>
      </c>
      <c r="D79" s="14" t="s">
        <v>342</v>
      </c>
      <c r="E79" s="71">
        <v>456622.25</v>
      </c>
      <c r="F79" s="71">
        <f t="shared" ref="F79:F82" si="9">E79*0.08</f>
        <v>36529.78</v>
      </c>
      <c r="G79" s="12"/>
    </row>
    <row r="80" spans="1:7" ht="20.149999999999999" customHeight="1">
      <c r="A80" s="9">
        <v>5</v>
      </c>
      <c r="B80" s="10" t="s">
        <v>343</v>
      </c>
      <c r="C80" s="3" t="s">
        <v>344</v>
      </c>
      <c r="D80" s="9" t="s">
        <v>345</v>
      </c>
      <c r="E80" s="71">
        <v>308901.5</v>
      </c>
      <c r="F80" s="71">
        <f t="shared" si="9"/>
        <v>24712.12</v>
      </c>
      <c r="G80" s="12"/>
    </row>
    <row r="81" spans="1:7" ht="20.149999999999999" customHeight="1">
      <c r="A81" s="9">
        <v>6</v>
      </c>
      <c r="B81" s="10" t="s">
        <v>346</v>
      </c>
      <c r="C81" s="3" t="s">
        <v>344</v>
      </c>
      <c r="D81" s="9" t="s">
        <v>283</v>
      </c>
      <c r="E81" s="71">
        <v>263165.33333333302</v>
      </c>
      <c r="F81" s="71">
        <f t="shared" si="9"/>
        <v>21053.226666666698</v>
      </c>
      <c r="G81" s="12"/>
    </row>
    <row r="82" spans="1:7" ht="20.149999999999999" customHeight="1">
      <c r="A82" s="9">
        <v>7</v>
      </c>
      <c r="B82" s="10" t="s">
        <v>347</v>
      </c>
      <c r="C82" s="3" t="s">
        <v>348</v>
      </c>
      <c r="D82" s="9" t="s">
        <v>294</v>
      </c>
      <c r="E82" s="71">
        <v>224459.75</v>
      </c>
      <c r="F82" s="71">
        <f t="shared" si="9"/>
        <v>17956.78</v>
      </c>
      <c r="G82" s="12"/>
    </row>
    <row r="83" spans="1:7" ht="20.149999999999999" customHeight="1">
      <c r="A83" s="9"/>
      <c r="B83" s="19" t="s">
        <v>34</v>
      </c>
      <c r="C83" s="20">
        <v>7</v>
      </c>
      <c r="D83" s="20"/>
      <c r="E83" s="79">
        <f>SUM(E76:E82)</f>
        <v>3910941.25</v>
      </c>
      <c r="F83" s="79">
        <f t="shared" ref="F83" si="10">SUM(F76:F82)</f>
        <v>215109.506666667</v>
      </c>
      <c r="G83" s="12"/>
    </row>
    <row r="84" spans="1:7" ht="20.149999999999999" customHeight="1">
      <c r="A84" s="9"/>
      <c r="B84" s="19"/>
      <c r="C84" s="20"/>
      <c r="D84" s="20"/>
      <c r="E84" s="133"/>
      <c r="F84" s="133"/>
      <c r="G84" s="12"/>
    </row>
    <row r="85" spans="1:7" ht="20.149999999999999" customHeight="1">
      <c r="A85" s="9"/>
      <c r="B85" s="19" t="s">
        <v>56</v>
      </c>
      <c r="C85" s="24"/>
      <c r="D85" s="20"/>
      <c r="E85" s="133"/>
      <c r="F85" s="133"/>
      <c r="G85" s="12"/>
    </row>
    <row r="86" spans="1:7" ht="20.149999999999999" customHeight="1">
      <c r="A86" s="9">
        <v>1</v>
      </c>
      <c r="B86" s="10" t="s">
        <v>349</v>
      </c>
      <c r="C86" s="3" t="s">
        <v>310</v>
      </c>
      <c r="D86" s="9" t="s">
        <v>249</v>
      </c>
      <c r="E86" s="71">
        <v>620675.58333333302</v>
      </c>
      <c r="F86" s="71">
        <f>E86*0.08</f>
        <v>49654.046666666698</v>
      </c>
      <c r="G86" s="12"/>
    </row>
    <row r="87" spans="1:7" ht="20.149999999999999" customHeight="1">
      <c r="A87" s="9">
        <v>2</v>
      </c>
      <c r="B87" s="10" t="s">
        <v>350</v>
      </c>
      <c r="C87" s="3" t="s">
        <v>310</v>
      </c>
      <c r="D87" s="9" t="s">
        <v>249</v>
      </c>
      <c r="E87" s="71">
        <v>620675.58333333302</v>
      </c>
      <c r="F87" s="71">
        <f t="shared" ref="F87:F95" si="11">E87*0.08</f>
        <v>49654.046666666698</v>
      </c>
      <c r="G87" s="12"/>
    </row>
    <row r="88" spans="1:7" ht="20.149999999999999" customHeight="1">
      <c r="A88" s="9">
        <v>3</v>
      </c>
      <c r="B88" s="10" t="s">
        <v>351</v>
      </c>
      <c r="C88" s="3" t="s">
        <v>310</v>
      </c>
      <c r="D88" s="9" t="s">
        <v>228</v>
      </c>
      <c r="E88" s="71">
        <v>582118.08333333302</v>
      </c>
      <c r="F88" s="71">
        <f t="shared" si="11"/>
        <v>46569.446666666699</v>
      </c>
      <c r="G88" s="12"/>
    </row>
    <row r="89" spans="1:7" ht="21.65" customHeight="1">
      <c r="A89" s="9">
        <v>4</v>
      </c>
      <c r="B89" s="10" t="s">
        <v>352</v>
      </c>
      <c r="C89" s="3" t="s">
        <v>353</v>
      </c>
      <c r="D89" s="14" t="s">
        <v>263</v>
      </c>
      <c r="E89" s="71">
        <v>441804.91666666698</v>
      </c>
      <c r="F89" s="71">
        <f t="shared" si="11"/>
        <v>35344.393333333297</v>
      </c>
      <c r="G89" s="12"/>
    </row>
    <row r="90" spans="1:7" ht="21.65" customHeight="1">
      <c r="A90" s="9">
        <v>5</v>
      </c>
      <c r="B90" s="10" t="s">
        <v>354</v>
      </c>
      <c r="C90" s="11" t="s">
        <v>47</v>
      </c>
      <c r="D90" s="14" t="s">
        <v>266</v>
      </c>
      <c r="E90" s="71">
        <v>428915.91666666698</v>
      </c>
      <c r="F90" s="71">
        <f t="shared" si="11"/>
        <v>34313.273333333302</v>
      </c>
      <c r="G90" s="12"/>
    </row>
    <row r="91" spans="1:7" ht="21.65" customHeight="1">
      <c r="A91" s="9">
        <v>6</v>
      </c>
      <c r="B91" s="10" t="s">
        <v>355</v>
      </c>
      <c r="C91" s="11" t="s">
        <v>256</v>
      </c>
      <c r="D91" s="14" t="s">
        <v>356</v>
      </c>
      <c r="E91" s="71">
        <v>428870.75</v>
      </c>
      <c r="F91" s="71">
        <f t="shared" si="11"/>
        <v>34309.660000000003</v>
      </c>
      <c r="G91" s="12"/>
    </row>
    <row r="92" spans="1:7" ht="21.65" customHeight="1">
      <c r="A92" s="9">
        <v>7</v>
      </c>
      <c r="B92" s="10" t="s">
        <v>357</v>
      </c>
      <c r="C92" s="16" t="s">
        <v>275</v>
      </c>
      <c r="D92" s="14" t="s">
        <v>332</v>
      </c>
      <c r="E92" s="71">
        <v>365703.83333333302</v>
      </c>
      <c r="F92" s="71">
        <f t="shared" si="11"/>
        <v>29256.3066666667</v>
      </c>
      <c r="G92" s="12"/>
    </row>
    <row r="93" spans="1:7" ht="21.65" customHeight="1">
      <c r="A93" s="9">
        <v>8</v>
      </c>
      <c r="B93" s="10" t="s">
        <v>358</v>
      </c>
      <c r="C93" s="16" t="s">
        <v>47</v>
      </c>
      <c r="D93" s="14" t="s">
        <v>48</v>
      </c>
      <c r="E93" s="71">
        <v>390248.91666666698</v>
      </c>
      <c r="F93" s="71">
        <f t="shared" si="11"/>
        <v>31219.913333333301</v>
      </c>
      <c r="G93" s="12"/>
    </row>
    <row r="94" spans="1:7" ht="21.65" customHeight="1">
      <c r="A94" s="9">
        <v>9</v>
      </c>
      <c r="B94" s="10" t="s">
        <v>359</v>
      </c>
      <c r="C94" s="3" t="s">
        <v>360</v>
      </c>
      <c r="D94" s="9" t="s">
        <v>301</v>
      </c>
      <c r="E94" s="201">
        <v>300965.58333333302</v>
      </c>
      <c r="F94" s="71">
        <f t="shared" si="11"/>
        <v>24077.246666666699</v>
      </c>
      <c r="G94" s="12"/>
    </row>
    <row r="95" spans="1:7" ht="21.65" customHeight="1">
      <c r="A95" s="9">
        <v>10</v>
      </c>
      <c r="B95" s="10" t="s">
        <v>361</v>
      </c>
      <c r="C95" s="16" t="s">
        <v>362</v>
      </c>
      <c r="D95" s="14" t="s">
        <v>291</v>
      </c>
      <c r="E95" s="201">
        <v>230631.91666666701</v>
      </c>
      <c r="F95" s="71">
        <f t="shared" si="11"/>
        <v>18450.553333333301</v>
      </c>
      <c r="G95" s="12"/>
    </row>
    <row r="96" spans="1:7" ht="20.149999999999999" customHeight="1">
      <c r="A96" s="9"/>
      <c r="B96" s="19" t="s">
        <v>34</v>
      </c>
      <c r="C96" s="20">
        <v>11</v>
      </c>
      <c r="D96" s="20"/>
      <c r="E96" s="79">
        <f>SUM(E86:E95)</f>
        <v>4410611.0833333302</v>
      </c>
      <c r="F96" s="79">
        <f t="shared" ref="F96" si="12">SUM(F86:F95)</f>
        <v>352848.88666666701</v>
      </c>
      <c r="G96" s="12"/>
    </row>
    <row r="97" spans="1:7" ht="20.149999999999999" customHeight="1">
      <c r="A97" s="9"/>
      <c r="B97" s="21"/>
      <c r="C97" s="20"/>
      <c r="D97" s="20"/>
      <c r="E97" s="133"/>
      <c r="F97" s="133"/>
      <c r="G97" s="12"/>
    </row>
    <row r="98" spans="1:7" ht="20.149999999999999" customHeight="1">
      <c r="A98" s="9"/>
      <c r="B98" s="19" t="s">
        <v>58</v>
      </c>
      <c r="C98" s="20"/>
      <c r="D98" s="20"/>
      <c r="E98" s="133"/>
      <c r="F98" s="133"/>
      <c r="G98" s="12"/>
    </row>
    <row r="99" spans="1:7" ht="20.149999999999999" customHeight="1">
      <c r="A99" s="9">
        <v>1</v>
      </c>
      <c r="B99" s="13" t="s">
        <v>363</v>
      </c>
      <c r="C99" s="3" t="s">
        <v>364</v>
      </c>
      <c r="D99" s="15" t="s">
        <v>231</v>
      </c>
      <c r="E99" s="71">
        <v>762373.16666666698</v>
      </c>
      <c r="F99" s="71">
        <f>E99*0.08</f>
        <v>60989.853333333303</v>
      </c>
      <c r="G99" s="12"/>
    </row>
    <row r="100" spans="1:7" ht="20.149999999999999" customHeight="1">
      <c r="A100" s="9">
        <v>2</v>
      </c>
      <c r="B100" s="10" t="s">
        <v>366</v>
      </c>
      <c r="C100" s="3" t="s">
        <v>367</v>
      </c>
      <c r="D100" s="14" t="s">
        <v>342</v>
      </c>
      <c r="E100" s="71">
        <v>456622.25</v>
      </c>
      <c r="F100" s="71">
        <f t="shared" ref="F100:F102" si="13">E100*0.08</f>
        <v>36529.78</v>
      </c>
      <c r="G100" s="12"/>
    </row>
    <row r="101" spans="1:7" ht="20.149999999999999" customHeight="1">
      <c r="A101" s="9">
        <v>3</v>
      </c>
      <c r="B101" s="10" t="s">
        <v>368</v>
      </c>
      <c r="C101" s="3" t="s">
        <v>369</v>
      </c>
      <c r="D101" s="14" t="s">
        <v>271</v>
      </c>
      <c r="E101" s="71">
        <v>377895.16666666698</v>
      </c>
      <c r="F101" s="71">
        <f t="shared" si="13"/>
        <v>30231.613333333298</v>
      </c>
      <c r="G101" s="12"/>
    </row>
    <row r="102" spans="1:7" ht="20.149999999999999" customHeight="1">
      <c r="A102" s="9">
        <v>4</v>
      </c>
      <c r="B102" s="10" t="s">
        <v>370</v>
      </c>
      <c r="C102" s="3" t="s">
        <v>371</v>
      </c>
      <c r="D102" s="14" t="s">
        <v>301</v>
      </c>
      <c r="E102" s="201">
        <v>300965.58333333302</v>
      </c>
      <c r="F102" s="71">
        <f t="shared" si="13"/>
        <v>24077.246666666699</v>
      </c>
      <c r="G102" s="12"/>
    </row>
    <row r="103" spans="1:7" ht="20.149999999999999" customHeight="1">
      <c r="A103" s="3"/>
      <c r="B103" s="19" t="s">
        <v>34</v>
      </c>
      <c r="C103" s="20">
        <v>4</v>
      </c>
      <c r="D103" s="25"/>
      <c r="E103" s="79">
        <f>SUM(E99:E102)</f>
        <v>1897856.16666667</v>
      </c>
      <c r="F103" s="79">
        <f t="shared" ref="F103" si="14">SUM(F99:F102)</f>
        <v>151828.493333333</v>
      </c>
      <c r="G103" s="12"/>
    </row>
    <row r="104" spans="1:7" ht="20.149999999999999" customHeight="1">
      <c r="A104" s="3"/>
      <c r="B104" s="21"/>
      <c r="C104" s="20"/>
      <c r="D104" s="25"/>
      <c r="E104" s="133"/>
      <c r="F104" s="133"/>
      <c r="G104" s="12"/>
    </row>
    <row r="105" spans="1:7" ht="20.149999999999999" customHeight="1">
      <c r="A105" s="3"/>
      <c r="B105" s="19" t="s">
        <v>372</v>
      </c>
      <c r="C105" s="3"/>
      <c r="D105" s="3"/>
      <c r="E105" s="3"/>
      <c r="F105" s="3"/>
      <c r="G105" s="12"/>
    </row>
    <row r="106" spans="1:7" ht="20.149999999999999" customHeight="1">
      <c r="A106" s="3">
        <v>1</v>
      </c>
      <c r="B106" s="10" t="s">
        <v>373</v>
      </c>
      <c r="C106" s="11" t="s">
        <v>374</v>
      </c>
      <c r="D106" s="14" t="s">
        <v>297</v>
      </c>
      <c r="E106" s="71">
        <v>1435720</v>
      </c>
      <c r="F106" s="71">
        <f>E106*0.08</f>
        <v>114857.60000000001</v>
      </c>
      <c r="G106" s="12"/>
    </row>
    <row r="107" spans="1:7" ht="20.149999999999999" customHeight="1">
      <c r="A107" s="3">
        <v>2</v>
      </c>
      <c r="B107" s="10" t="s">
        <v>375</v>
      </c>
      <c r="C107" s="3" t="s">
        <v>376</v>
      </c>
      <c r="D107" s="15" t="s">
        <v>231</v>
      </c>
      <c r="E107" s="71">
        <v>762373.16666666698</v>
      </c>
      <c r="F107" s="71">
        <f t="shared" ref="F107:F112" si="15">E107*0.08</f>
        <v>60989.853333333303</v>
      </c>
      <c r="G107" s="12"/>
    </row>
    <row r="108" spans="1:7" ht="20.149999999999999" customHeight="1">
      <c r="A108" s="3">
        <v>3</v>
      </c>
      <c r="B108" s="10" t="s">
        <v>377</v>
      </c>
      <c r="C108" s="3" t="s">
        <v>378</v>
      </c>
      <c r="D108" s="9" t="s">
        <v>263</v>
      </c>
      <c r="E108" s="71">
        <v>441804.91666666698</v>
      </c>
      <c r="F108" s="71">
        <f t="shared" si="15"/>
        <v>35344.393333333297</v>
      </c>
      <c r="G108" s="12"/>
    </row>
    <row r="109" spans="1:7" ht="20.149999999999999" customHeight="1">
      <c r="A109" s="3">
        <v>4</v>
      </c>
      <c r="B109" s="10" t="s">
        <v>379</v>
      </c>
      <c r="C109" s="3" t="s">
        <v>378</v>
      </c>
      <c r="D109" s="9" t="s">
        <v>263</v>
      </c>
      <c r="E109" s="71">
        <v>441804.91666666698</v>
      </c>
      <c r="F109" s="71">
        <f t="shared" si="15"/>
        <v>35344.393333333297</v>
      </c>
      <c r="G109" s="12"/>
    </row>
    <row r="110" spans="1:7" ht="20.149999999999999" customHeight="1">
      <c r="A110" s="3">
        <v>5</v>
      </c>
      <c r="B110" s="10" t="s">
        <v>380</v>
      </c>
      <c r="C110" s="3" t="s">
        <v>381</v>
      </c>
      <c r="D110" s="14" t="s">
        <v>382</v>
      </c>
      <c r="E110" s="201">
        <v>249148.41666666701</v>
      </c>
      <c r="F110" s="71">
        <f t="shared" si="15"/>
        <v>19931.8733333333</v>
      </c>
      <c r="G110" s="12"/>
    </row>
    <row r="111" spans="1:7" ht="20.149999999999999" customHeight="1">
      <c r="A111" s="3">
        <v>6</v>
      </c>
      <c r="B111" s="17" t="s">
        <v>383</v>
      </c>
      <c r="C111" s="3" t="s">
        <v>381</v>
      </c>
      <c r="D111" s="9" t="s">
        <v>384</v>
      </c>
      <c r="E111" s="201">
        <v>242976.25</v>
      </c>
      <c r="F111" s="71">
        <f t="shared" si="15"/>
        <v>19438.099999999999</v>
      </c>
      <c r="G111" s="12"/>
    </row>
    <row r="112" spans="1:7" ht="20.149999999999999" customHeight="1">
      <c r="A112" s="3">
        <v>7</v>
      </c>
      <c r="B112" s="17" t="s">
        <v>385</v>
      </c>
      <c r="C112" s="3" t="s">
        <v>381</v>
      </c>
      <c r="D112" s="14" t="s">
        <v>291</v>
      </c>
      <c r="E112" s="201">
        <v>230631.91666666701</v>
      </c>
      <c r="F112" s="71">
        <f t="shared" si="15"/>
        <v>18450.553333333301</v>
      </c>
      <c r="G112" s="12"/>
    </row>
    <row r="113" spans="1:7" ht="25.5" customHeight="1">
      <c r="A113" s="3"/>
      <c r="B113" s="19" t="s">
        <v>34</v>
      </c>
      <c r="C113" s="20">
        <v>7</v>
      </c>
      <c r="D113" s="3"/>
      <c r="E113" s="204">
        <f>SUM(E106:E112)</f>
        <v>3804459.5833333302</v>
      </c>
      <c r="F113" s="204">
        <f t="shared" ref="F113" si="16">SUM(F106:F112)</f>
        <v>304356.76666666701</v>
      </c>
      <c r="G113" s="12"/>
    </row>
    <row r="114" spans="1:7" ht="20.149999999999999" customHeight="1">
      <c r="A114" s="3"/>
      <c r="B114" s="19"/>
      <c r="C114" s="20"/>
      <c r="D114" s="3"/>
      <c r="E114" s="204"/>
      <c r="F114" s="204"/>
      <c r="G114" s="12"/>
    </row>
    <row r="115" spans="1:7" ht="20.149999999999999" customHeight="1">
      <c r="A115" s="9"/>
      <c r="B115" s="19" t="s">
        <v>61</v>
      </c>
      <c r="C115" s="20"/>
      <c r="D115" s="20"/>
      <c r="E115" s="133"/>
      <c r="F115" s="133"/>
      <c r="G115" s="12"/>
    </row>
    <row r="116" spans="1:7" ht="20.149999999999999" customHeight="1">
      <c r="A116" s="9">
        <v>1</v>
      </c>
      <c r="B116" s="13" t="s">
        <v>386</v>
      </c>
      <c r="C116" s="3" t="s">
        <v>310</v>
      </c>
      <c r="D116" s="9" t="s">
        <v>327</v>
      </c>
      <c r="E116" s="71">
        <v>601396.83333333302</v>
      </c>
      <c r="F116" s="71">
        <f>E116*0.08</f>
        <v>48111.746666666702</v>
      </c>
      <c r="G116" s="12"/>
    </row>
    <row r="117" spans="1:7" ht="18.75" customHeight="1">
      <c r="A117" s="9">
        <v>2</v>
      </c>
      <c r="B117" s="10" t="s">
        <v>387</v>
      </c>
      <c r="C117" s="3" t="s">
        <v>388</v>
      </c>
      <c r="D117" s="14" t="s">
        <v>271</v>
      </c>
      <c r="E117" s="71">
        <v>377895.16666666698</v>
      </c>
      <c r="F117" s="71">
        <f t="shared" ref="F117:F118" si="17">E117*0.08</f>
        <v>30231.613333333298</v>
      </c>
      <c r="G117" s="12"/>
    </row>
    <row r="118" spans="1:7" ht="20.149999999999999" customHeight="1">
      <c r="A118" s="9">
        <v>3</v>
      </c>
      <c r="B118" s="10" t="s">
        <v>389</v>
      </c>
      <c r="C118" s="11" t="s">
        <v>390</v>
      </c>
      <c r="D118" s="14" t="s">
        <v>391</v>
      </c>
      <c r="E118" s="71">
        <v>390086.5</v>
      </c>
      <c r="F118" s="71">
        <f t="shared" si="17"/>
        <v>31206.92</v>
      </c>
      <c r="G118" s="12"/>
    </row>
    <row r="119" spans="1:7" ht="24.75" customHeight="1">
      <c r="A119" s="3"/>
      <c r="B119" s="19" t="s">
        <v>34</v>
      </c>
      <c r="C119" s="20">
        <v>2</v>
      </c>
      <c r="D119" s="25"/>
      <c r="E119" s="79">
        <f>SUM(E116:E118)</f>
        <v>1369378.5</v>
      </c>
      <c r="F119" s="79">
        <f t="shared" ref="F119" si="18">SUM(F116:F118)</f>
        <v>109550.28</v>
      </c>
      <c r="G119" s="12"/>
    </row>
    <row r="120" spans="1:7" ht="20.149999999999999" customHeight="1">
      <c r="A120" s="3"/>
      <c r="B120" s="21"/>
      <c r="C120" s="9"/>
      <c r="D120" s="3"/>
      <c r="E120" s="205"/>
      <c r="F120" s="8"/>
      <c r="G120" s="12"/>
    </row>
    <row r="121" spans="1:7" ht="20.149999999999999" customHeight="1">
      <c r="A121" s="3"/>
      <c r="B121" s="19" t="s">
        <v>67</v>
      </c>
      <c r="C121" s="20"/>
      <c r="D121" s="20"/>
      <c r="E121" s="133"/>
      <c r="F121" s="133"/>
      <c r="G121" s="12"/>
    </row>
    <row r="122" spans="1:7" ht="20.149999999999999" customHeight="1">
      <c r="A122" s="3">
        <v>1</v>
      </c>
      <c r="B122" s="10" t="s">
        <v>392</v>
      </c>
      <c r="C122" s="11" t="s">
        <v>393</v>
      </c>
      <c r="D122" s="14" t="s">
        <v>297</v>
      </c>
      <c r="E122" s="71">
        <v>1435720</v>
      </c>
      <c r="F122" s="71">
        <f>E122*0.08</f>
        <v>114857.60000000001</v>
      </c>
      <c r="G122" s="12"/>
    </row>
    <row r="123" spans="1:7" ht="20.149999999999999" customHeight="1">
      <c r="A123" s="3">
        <v>2</v>
      </c>
      <c r="B123" s="10" t="s">
        <v>130</v>
      </c>
      <c r="C123" s="11" t="s">
        <v>394</v>
      </c>
      <c r="D123" s="14" t="s">
        <v>308</v>
      </c>
      <c r="E123" s="71">
        <v>739203.58333333302</v>
      </c>
      <c r="F123" s="71">
        <f t="shared" ref="F123:F131" si="19">E123*0.08</f>
        <v>59136.286666666703</v>
      </c>
      <c r="G123" s="12"/>
    </row>
    <row r="124" spans="1:7" ht="20.149999999999999" customHeight="1">
      <c r="A124" s="3">
        <v>3</v>
      </c>
      <c r="B124" s="13" t="s">
        <v>395</v>
      </c>
      <c r="C124" s="11" t="s">
        <v>227</v>
      </c>
      <c r="D124" s="14" t="s">
        <v>249</v>
      </c>
      <c r="E124" s="71">
        <v>620675.58333333302</v>
      </c>
      <c r="F124" s="71">
        <f t="shared" si="19"/>
        <v>49654.046666666698</v>
      </c>
      <c r="G124" s="12"/>
    </row>
    <row r="125" spans="1:7" ht="20.149999999999999" customHeight="1">
      <c r="A125" s="3">
        <v>4</v>
      </c>
      <c r="B125" s="13" t="s">
        <v>226</v>
      </c>
      <c r="C125" s="11" t="s">
        <v>227</v>
      </c>
      <c r="D125" s="14" t="s">
        <v>228</v>
      </c>
      <c r="E125" s="71">
        <v>582118.08333333302</v>
      </c>
      <c r="F125" s="71"/>
      <c r="G125" s="12"/>
    </row>
    <row r="126" spans="1:7" ht="20.149999999999999" customHeight="1">
      <c r="A126" s="3">
        <v>5</v>
      </c>
      <c r="B126" s="10" t="s">
        <v>396</v>
      </c>
      <c r="C126" s="11" t="s">
        <v>397</v>
      </c>
      <c r="D126" s="14" t="s">
        <v>257</v>
      </c>
      <c r="E126" s="71">
        <v>470498</v>
      </c>
      <c r="F126" s="71">
        <f t="shared" si="19"/>
        <v>37639.839999999997</v>
      </c>
      <c r="G126" s="12"/>
    </row>
    <row r="127" spans="1:7" ht="20.149999999999999" customHeight="1">
      <c r="A127" s="3">
        <v>6</v>
      </c>
      <c r="B127" s="10" t="s">
        <v>398</v>
      </c>
      <c r="C127" s="11" t="s">
        <v>399</v>
      </c>
      <c r="D127" s="14" t="s">
        <v>260</v>
      </c>
      <c r="E127" s="71">
        <v>442746.5</v>
      </c>
      <c r="F127" s="71">
        <f t="shared" si="19"/>
        <v>35419.72</v>
      </c>
      <c r="G127" s="12"/>
    </row>
    <row r="128" spans="1:7" ht="20.149999999999999" customHeight="1">
      <c r="A128" s="3">
        <v>7</v>
      </c>
      <c r="B128" s="10" t="s">
        <v>400</v>
      </c>
      <c r="C128" s="11" t="s">
        <v>397</v>
      </c>
      <c r="D128" s="14" t="s">
        <v>342</v>
      </c>
      <c r="E128" s="71">
        <v>456622.25</v>
      </c>
      <c r="F128" s="71">
        <f t="shared" si="19"/>
        <v>36529.78</v>
      </c>
      <c r="G128" s="12"/>
    </row>
    <row r="129" spans="1:7" ht="20.149999999999999" customHeight="1">
      <c r="A129" s="3">
        <v>8</v>
      </c>
      <c r="B129" s="10" t="s">
        <v>401</v>
      </c>
      <c r="C129" s="11" t="s">
        <v>402</v>
      </c>
      <c r="D129" s="9" t="s">
        <v>279</v>
      </c>
      <c r="E129" s="71">
        <v>270481.66666666698</v>
      </c>
      <c r="F129" s="71">
        <f t="shared" si="19"/>
        <v>21638.5333333333</v>
      </c>
      <c r="G129" s="12"/>
    </row>
    <row r="130" spans="1:7" ht="20.149999999999999" customHeight="1">
      <c r="A130" s="3">
        <v>9</v>
      </c>
      <c r="B130" s="17" t="s">
        <v>403</v>
      </c>
      <c r="C130" s="11" t="s">
        <v>404</v>
      </c>
      <c r="D130" s="14" t="s">
        <v>294</v>
      </c>
      <c r="E130" s="71">
        <v>224459.75</v>
      </c>
      <c r="F130" s="71">
        <f t="shared" si="19"/>
        <v>17956.78</v>
      </c>
      <c r="G130" s="12"/>
    </row>
    <row r="131" spans="1:7" ht="20.149999999999999" customHeight="1">
      <c r="A131" s="3">
        <v>10</v>
      </c>
      <c r="B131" s="17" t="s">
        <v>405</v>
      </c>
      <c r="C131" s="11" t="s">
        <v>69</v>
      </c>
      <c r="D131" s="14" t="s">
        <v>294</v>
      </c>
      <c r="E131" s="71">
        <v>224459.75</v>
      </c>
      <c r="F131" s="71">
        <f t="shared" si="19"/>
        <v>17956.78</v>
      </c>
      <c r="G131" s="12"/>
    </row>
    <row r="132" spans="1:7" ht="28.5" customHeight="1">
      <c r="A132" s="3"/>
      <c r="B132" s="19" t="s">
        <v>34</v>
      </c>
      <c r="C132" s="25" t="s">
        <v>406</v>
      </c>
      <c r="D132" s="14"/>
      <c r="E132" s="133">
        <f>SUM(E122:E131)</f>
        <v>5466985.1666666698</v>
      </c>
      <c r="F132" s="133">
        <f t="shared" ref="F132" si="20">SUM(F122:F131)</f>
        <v>390789.36666666699</v>
      </c>
      <c r="G132" s="12"/>
    </row>
    <row r="133" spans="1:7" ht="20.149999999999999" customHeight="1">
      <c r="A133" s="3"/>
      <c r="B133" s="21"/>
      <c r="C133" s="25"/>
      <c r="D133" s="14"/>
      <c r="E133" s="133"/>
      <c r="F133" s="133"/>
      <c r="G133" s="12"/>
    </row>
    <row r="134" spans="1:7" ht="20.149999999999999" customHeight="1">
      <c r="A134" s="3"/>
      <c r="B134" s="19" t="s">
        <v>71</v>
      </c>
      <c r="C134" s="11"/>
      <c r="D134" s="14"/>
      <c r="E134" s="71"/>
      <c r="F134" s="71"/>
      <c r="G134" s="12"/>
    </row>
    <row r="135" spans="1:7" ht="20.149999999999999" customHeight="1">
      <c r="A135" s="26">
        <v>1</v>
      </c>
      <c r="B135" s="10" t="s">
        <v>407</v>
      </c>
      <c r="C135" s="11" t="s">
        <v>408</v>
      </c>
      <c r="D135" s="14" t="s">
        <v>297</v>
      </c>
      <c r="E135" s="71">
        <v>1435720</v>
      </c>
      <c r="F135" s="71">
        <f>E135*0.08</f>
        <v>114857.60000000001</v>
      </c>
      <c r="G135" s="12"/>
    </row>
    <row r="136" spans="1:7" ht="20.149999999999999" customHeight="1">
      <c r="A136" s="26">
        <v>2</v>
      </c>
      <c r="B136" s="10" t="s">
        <v>229</v>
      </c>
      <c r="C136" s="11" t="s">
        <v>230</v>
      </c>
      <c r="D136" s="14" t="s">
        <v>231</v>
      </c>
      <c r="E136" s="71">
        <v>762373.16666666698</v>
      </c>
      <c r="F136" s="71"/>
      <c r="G136" s="12"/>
    </row>
    <row r="137" spans="1:7" ht="20.149999999999999" customHeight="1">
      <c r="A137" s="26">
        <v>3</v>
      </c>
      <c r="B137" s="13" t="s">
        <v>409</v>
      </c>
      <c r="C137" s="3" t="s">
        <v>410</v>
      </c>
      <c r="D137" s="15" t="s">
        <v>231</v>
      </c>
      <c r="E137" s="71">
        <v>762373.16666666698</v>
      </c>
      <c r="F137" s="71">
        <f t="shared" ref="F137:F193" si="21">E137*0.08</f>
        <v>60989.853333333303</v>
      </c>
      <c r="G137" s="12"/>
    </row>
    <row r="138" spans="1:7" ht="20.149999999999999" customHeight="1">
      <c r="A138" s="26">
        <v>4</v>
      </c>
      <c r="B138" s="10" t="s">
        <v>411</v>
      </c>
      <c r="C138" s="11" t="s">
        <v>412</v>
      </c>
      <c r="D138" s="14" t="s">
        <v>254</v>
      </c>
      <c r="E138" s="71">
        <v>484373.75</v>
      </c>
      <c r="F138" s="71">
        <f t="shared" si="21"/>
        <v>38749.9</v>
      </c>
      <c r="G138" s="12"/>
    </row>
    <row r="139" spans="1:7" ht="20.149999999999999" customHeight="1">
      <c r="A139" s="26">
        <v>5</v>
      </c>
      <c r="B139" s="10" t="s">
        <v>413</v>
      </c>
      <c r="C139" s="3" t="s">
        <v>414</v>
      </c>
      <c r="D139" s="14" t="s">
        <v>254</v>
      </c>
      <c r="E139" s="71">
        <v>484373.75</v>
      </c>
      <c r="F139" s="71">
        <f t="shared" si="21"/>
        <v>38749.9</v>
      </c>
      <c r="G139" s="12"/>
    </row>
    <row r="140" spans="1:7" ht="20.149999999999999" customHeight="1">
      <c r="A140" s="26">
        <v>6</v>
      </c>
      <c r="B140" s="10" t="s">
        <v>415</v>
      </c>
      <c r="C140" s="3" t="s">
        <v>414</v>
      </c>
      <c r="D140" s="14" t="s">
        <v>254</v>
      </c>
      <c r="E140" s="71">
        <v>484373.75</v>
      </c>
      <c r="F140" s="71">
        <f t="shared" si="21"/>
        <v>38749.9</v>
      </c>
      <c r="G140" s="12"/>
    </row>
    <row r="141" spans="1:7" ht="20.149999999999999" customHeight="1">
      <c r="A141" s="26">
        <v>7</v>
      </c>
      <c r="B141" s="10" t="s">
        <v>416</v>
      </c>
      <c r="C141" s="11" t="s">
        <v>417</v>
      </c>
      <c r="D141" s="14" t="s">
        <v>391</v>
      </c>
      <c r="E141" s="71">
        <v>390086.5</v>
      </c>
      <c r="F141" s="71">
        <f t="shared" si="21"/>
        <v>31206.92</v>
      </c>
      <c r="G141" s="12"/>
    </row>
    <row r="142" spans="1:7" ht="20.149999999999999" customHeight="1">
      <c r="A142" s="26">
        <v>8</v>
      </c>
      <c r="B142" s="10" t="s">
        <v>418</v>
      </c>
      <c r="C142" s="11" t="s">
        <v>417</v>
      </c>
      <c r="D142" s="14" t="s">
        <v>391</v>
      </c>
      <c r="E142" s="71">
        <v>390086.5</v>
      </c>
      <c r="F142" s="71">
        <f t="shared" si="21"/>
        <v>31206.92</v>
      </c>
      <c r="G142" s="12"/>
    </row>
    <row r="143" spans="1:7" ht="20.149999999999999" customHeight="1">
      <c r="A143" s="26">
        <v>9</v>
      </c>
      <c r="B143" s="10" t="s">
        <v>419</v>
      </c>
      <c r="C143" s="3" t="s">
        <v>420</v>
      </c>
      <c r="D143" s="14" t="s">
        <v>391</v>
      </c>
      <c r="E143" s="71">
        <v>390086.5</v>
      </c>
      <c r="F143" s="71">
        <f t="shared" si="21"/>
        <v>31206.92</v>
      </c>
      <c r="G143" s="12"/>
    </row>
    <row r="144" spans="1:7" ht="20.149999999999999" customHeight="1">
      <c r="A144" s="26">
        <v>10</v>
      </c>
      <c r="B144" s="10" t="s">
        <v>421</v>
      </c>
      <c r="C144" s="11" t="s">
        <v>422</v>
      </c>
      <c r="D144" s="14" t="s">
        <v>271</v>
      </c>
      <c r="E144" s="71">
        <v>377895.16666666698</v>
      </c>
      <c r="F144" s="71">
        <f t="shared" si="21"/>
        <v>30231.613333333298</v>
      </c>
      <c r="G144" s="12"/>
    </row>
    <row r="145" spans="1:7" ht="20.149999999999999" customHeight="1">
      <c r="A145" s="26">
        <v>11</v>
      </c>
      <c r="B145" s="10" t="s">
        <v>423</v>
      </c>
      <c r="C145" s="11" t="s">
        <v>424</v>
      </c>
      <c r="D145" s="14" t="s">
        <v>332</v>
      </c>
      <c r="E145" s="71">
        <v>365703.83333333302</v>
      </c>
      <c r="F145" s="71">
        <f t="shared" si="21"/>
        <v>29256.3066666667</v>
      </c>
      <c r="G145" s="12"/>
    </row>
    <row r="146" spans="1:7" ht="20.149999999999999" customHeight="1">
      <c r="A146" s="26">
        <v>12</v>
      </c>
      <c r="B146" s="10" t="s">
        <v>425</v>
      </c>
      <c r="C146" s="11" t="s">
        <v>426</v>
      </c>
      <c r="D146" s="14" t="s">
        <v>391</v>
      </c>
      <c r="E146" s="71">
        <v>390086.5</v>
      </c>
      <c r="F146" s="71">
        <f t="shared" si="21"/>
        <v>31206.92</v>
      </c>
      <c r="G146" s="12"/>
    </row>
    <row r="147" spans="1:7" ht="20.149999999999999" customHeight="1">
      <c r="A147" s="26">
        <v>13</v>
      </c>
      <c r="B147" s="17" t="s">
        <v>427</v>
      </c>
      <c r="C147" s="3" t="s">
        <v>428</v>
      </c>
      <c r="D147" s="14" t="s">
        <v>42</v>
      </c>
      <c r="E147" s="201">
        <v>353512.5</v>
      </c>
      <c r="F147" s="71">
        <f t="shared" si="21"/>
        <v>28281</v>
      </c>
      <c r="G147" s="12"/>
    </row>
    <row r="148" spans="1:7" ht="20.149999999999999" customHeight="1">
      <c r="A148" s="26">
        <v>14</v>
      </c>
      <c r="B148" s="10" t="s">
        <v>429</v>
      </c>
      <c r="C148" s="3" t="s">
        <v>430</v>
      </c>
      <c r="D148" s="14" t="s">
        <v>345</v>
      </c>
      <c r="E148" s="201">
        <v>308901.5</v>
      </c>
      <c r="F148" s="71">
        <f t="shared" si="21"/>
        <v>24712.12</v>
      </c>
      <c r="G148" s="12"/>
    </row>
    <row r="149" spans="1:7" ht="20.149999999999999" customHeight="1">
      <c r="A149" s="26">
        <v>15</v>
      </c>
      <c r="B149" s="10" t="s">
        <v>431</v>
      </c>
      <c r="C149" s="3" t="s">
        <v>430</v>
      </c>
      <c r="D149" s="14" t="s">
        <v>432</v>
      </c>
      <c r="E149" s="201">
        <v>316837.41666666698</v>
      </c>
      <c r="F149" s="71">
        <f t="shared" si="21"/>
        <v>25346.993333333299</v>
      </c>
      <c r="G149" s="12"/>
    </row>
    <row r="150" spans="1:7" ht="20.149999999999999" customHeight="1">
      <c r="A150" s="26">
        <v>16</v>
      </c>
      <c r="B150" s="10" t="s">
        <v>433</v>
      </c>
      <c r="C150" s="3" t="s">
        <v>430</v>
      </c>
      <c r="D150" s="14" t="s">
        <v>432</v>
      </c>
      <c r="E150" s="201">
        <v>316837.41666666698</v>
      </c>
      <c r="F150" s="71">
        <f t="shared" si="21"/>
        <v>25346.993333333299</v>
      </c>
      <c r="G150" s="12"/>
    </row>
    <row r="151" spans="1:7" ht="20.149999999999999" customHeight="1">
      <c r="A151" s="26">
        <v>17</v>
      </c>
      <c r="B151" s="10" t="s">
        <v>434</v>
      </c>
      <c r="C151" s="11" t="s">
        <v>435</v>
      </c>
      <c r="D151" s="14" t="s">
        <v>301</v>
      </c>
      <c r="E151" s="201">
        <v>300965.58333333302</v>
      </c>
      <c r="F151" s="71">
        <f t="shared" si="21"/>
        <v>24077.246666666699</v>
      </c>
      <c r="G151" s="12"/>
    </row>
    <row r="152" spans="1:7" ht="20.149999999999999" customHeight="1">
      <c r="A152" s="26">
        <v>18</v>
      </c>
      <c r="B152" s="10" t="s">
        <v>436</v>
      </c>
      <c r="C152" s="11" t="s">
        <v>437</v>
      </c>
      <c r="D152" s="9" t="s">
        <v>283</v>
      </c>
      <c r="E152" s="71">
        <v>263165.33333333302</v>
      </c>
      <c r="F152" s="71">
        <f t="shared" si="21"/>
        <v>21053.226666666698</v>
      </c>
      <c r="G152" s="12"/>
    </row>
    <row r="153" spans="1:7" ht="20.149999999999999" customHeight="1">
      <c r="A153" s="26">
        <v>19</v>
      </c>
      <c r="B153" s="10" t="s">
        <v>438</v>
      </c>
      <c r="C153" s="11" t="s">
        <v>439</v>
      </c>
      <c r="D153" s="14" t="s">
        <v>345</v>
      </c>
      <c r="E153" s="201">
        <v>308901.5</v>
      </c>
      <c r="F153" s="71">
        <f t="shared" si="21"/>
        <v>24712.12</v>
      </c>
      <c r="G153" s="12"/>
    </row>
    <row r="154" spans="1:7" ht="20.149999999999999" customHeight="1">
      <c r="A154" s="26">
        <v>20</v>
      </c>
      <c r="B154" s="10" t="s">
        <v>440</v>
      </c>
      <c r="C154" s="11" t="s">
        <v>441</v>
      </c>
      <c r="D154" s="14" t="s">
        <v>279</v>
      </c>
      <c r="E154" s="201">
        <v>270481.66666666698</v>
      </c>
      <c r="F154" s="71">
        <f t="shared" si="21"/>
        <v>21638.5333333333</v>
      </c>
      <c r="G154" s="12"/>
    </row>
    <row r="155" spans="1:7" ht="20.149999999999999" customHeight="1">
      <c r="A155" s="26">
        <v>21</v>
      </c>
      <c r="B155" s="10" t="s">
        <v>442</v>
      </c>
      <c r="C155" s="11" t="s">
        <v>443</v>
      </c>
      <c r="D155" s="14" t="s">
        <v>345</v>
      </c>
      <c r="E155" s="201">
        <v>308901.5</v>
      </c>
      <c r="F155" s="71">
        <f t="shared" si="21"/>
        <v>24712.12</v>
      </c>
      <c r="G155" s="12"/>
    </row>
    <row r="156" spans="1:7" ht="20.149999999999999" customHeight="1">
      <c r="A156" s="26">
        <v>22</v>
      </c>
      <c r="B156" s="10" t="s">
        <v>444</v>
      </c>
      <c r="C156" s="11" t="s">
        <v>445</v>
      </c>
      <c r="D156" s="14" t="s">
        <v>279</v>
      </c>
      <c r="E156" s="201">
        <v>270481.66666666698</v>
      </c>
      <c r="F156" s="71">
        <f t="shared" si="21"/>
        <v>21638.5333333333</v>
      </c>
      <c r="G156" s="12"/>
    </row>
    <row r="157" spans="1:7" ht="20.149999999999999" customHeight="1">
      <c r="A157" s="26">
        <v>23</v>
      </c>
      <c r="B157" s="17" t="s">
        <v>446</v>
      </c>
      <c r="C157" s="11" t="s">
        <v>447</v>
      </c>
      <c r="D157" s="14" t="s">
        <v>25</v>
      </c>
      <c r="E157" s="201">
        <v>255849</v>
      </c>
      <c r="F157" s="71">
        <f t="shared" si="21"/>
        <v>20467.919999999998</v>
      </c>
      <c r="G157" s="12"/>
    </row>
    <row r="158" spans="1:7" ht="20.149999999999999" customHeight="1">
      <c r="A158" s="26">
        <v>24</v>
      </c>
      <c r="B158" s="17" t="s">
        <v>448</v>
      </c>
      <c r="C158" s="11" t="s">
        <v>449</v>
      </c>
      <c r="D158" s="14" t="s">
        <v>294</v>
      </c>
      <c r="E158" s="71">
        <v>224459.75</v>
      </c>
      <c r="F158" s="71">
        <f t="shared" si="21"/>
        <v>17956.78</v>
      </c>
      <c r="G158" s="12"/>
    </row>
    <row r="159" spans="1:7" ht="20.149999999999999" customHeight="1">
      <c r="A159" s="26">
        <v>25</v>
      </c>
      <c r="B159" s="17" t="s">
        <v>450</v>
      </c>
      <c r="C159" s="11" t="s">
        <v>451</v>
      </c>
      <c r="D159" s="14" t="s">
        <v>294</v>
      </c>
      <c r="E159" s="71">
        <v>224459.75</v>
      </c>
      <c r="F159" s="71">
        <f t="shared" si="21"/>
        <v>17956.78</v>
      </c>
      <c r="G159" s="12"/>
    </row>
    <row r="160" spans="1:7" ht="20.149999999999999" customHeight="1">
      <c r="A160" s="26">
        <v>26</v>
      </c>
      <c r="B160" s="17" t="s">
        <v>452</v>
      </c>
      <c r="C160" s="11" t="s">
        <v>453</v>
      </c>
      <c r="D160" s="14" t="s">
        <v>294</v>
      </c>
      <c r="E160" s="71">
        <v>224459.75</v>
      </c>
      <c r="F160" s="71">
        <f t="shared" si="21"/>
        <v>17956.78</v>
      </c>
      <c r="G160" s="12"/>
    </row>
    <row r="161" spans="1:7" ht="20.149999999999999" customHeight="1">
      <c r="A161" s="26">
        <v>27</v>
      </c>
      <c r="B161" s="17" t="s">
        <v>454</v>
      </c>
      <c r="C161" s="11" t="s">
        <v>455</v>
      </c>
      <c r="D161" s="14" t="s">
        <v>291</v>
      </c>
      <c r="E161" s="71">
        <v>230631.91666666701</v>
      </c>
      <c r="F161" s="71">
        <f t="shared" si="21"/>
        <v>18450.553333333301</v>
      </c>
      <c r="G161" s="12"/>
    </row>
    <row r="162" spans="1:7" ht="20.149999999999999" customHeight="1">
      <c r="A162" s="26">
        <v>28</v>
      </c>
      <c r="B162" s="17" t="s">
        <v>456</v>
      </c>
      <c r="C162" s="11" t="s">
        <v>451</v>
      </c>
      <c r="D162" s="14" t="s">
        <v>294</v>
      </c>
      <c r="E162" s="71">
        <v>224459.75</v>
      </c>
      <c r="F162" s="71">
        <f t="shared" si="21"/>
        <v>17956.78</v>
      </c>
      <c r="G162" s="12"/>
    </row>
    <row r="163" spans="1:7" ht="20.149999999999999" customHeight="1">
      <c r="A163" s="26">
        <v>29</v>
      </c>
      <c r="B163" s="10" t="s">
        <v>457</v>
      </c>
      <c r="C163" s="11" t="s">
        <v>458</v>
      </c>
      <c r="D163" s="14" t="s">
        <v>459</v>
      </c>
      <c r="E163" s="207">
        <v>168598.16666666701</v>
      </c>
      <c r="F163" s="71">
        <f t="shared" si="21"/>
        <v>13487.8533333333</v>
      </c>
      <c r="G163" s="12"/>
    </row>
    <row r="164" spans="1:7" ht="20.149999999999999" customHeight="1">
      <c r="A164" s="26">
        <v>30</v>
      </c>
      <c r="B164" s="10" t="s">
        <v>460</v>
      </c>
      <c r="C164" s="11" t="s">
        <v>458</v>
      </c>
      <c r="D164" s="14" t="s">
        <v>459</v>
      </c>
      <c r="E164" s="207">
        <v>168598.16666666701</v>
      </c>
      <c r="F164" s="71">
        <f t="shared" si="21"/>
        <v>13487.8533333333</v>
      </c>
      <c r="G164" s="12"/>
    </row>
    <row r="165" spans="1:7" ht="20.149999999999999" customHeight="1">
      <c r="A165" s="26">
        <v>31</v>
      </c>
      <c r="B165" s="10" t="s">
        <v>461</v>
      </c>
      <c r="C165" s="11" t="s">
        <v>458</v>
      </c>
      <c r="D165" s="14" t="s">
        <v>459</v>
      </c>
      <c r="E165" s="207">
        <v>168598.16666666701</v>
      </c>
      <c r="F165" s="71">
        <f t="shared" si="21"/>
        <v>13487.8533333333</v>
      </c>
      <c r="G165" s="12"/>
    </row>
    <row r="166" spans="1:7" ht="20.149999999999999" customHeight="1">
      <c r="A166" s="26">
        <v>32</v>
      </c>
      <c r="B166" s="10" t="s">
        <v>462</v>
      </c>
      <c r="C166" s="11" t="s">
        <v>458</v>
      </c>
      <c r="D166" s="14" t="s">
        <v>459</v>
      </c>
      <c r="E166" s="207">
        <v>168598.16666666701</v>
      </c>
      <c r="F166" s="71">
        <f t="shared" si="21"/>
        <v>13487.8533333333</v>
      </c>
      <c r="G166" s="12"/>
    </row>
    <row r="167" spans="1:7" ht="20.149999999999999" customHeight="1">
      <c r="A167" s="26">
        <v>33</v>
      </c>
      <c r="B167" s="10" t="s">
        <v>463</v>
      </c>
      <c r="C167" s="11" t="s">
        <v>458</v>
      </c>
      <c r="D167" s="14" t="s">
        <v>459</v>
      </c>
      <c r="E167" s="207">
        <v>168598.16666666701</v>
      </c>
      <c r="F167" s="71">
        <f t="shared" si="21"/>
        <v>13487.8533333333</v>
      </c>
      <c r="G167" s="12"/>
    </row>
    <row r="168" spans="1:7" ht="20.149999999999999" customHeight="1">
      <c r="A168" s="26">
        <v>34</v>
      </c>
      <c r="B168" s="10" t="s">
        <v>464</v>
      </c>
      <c r="C168" s="11" t="s">
        <v>458</v>
      </c>
      <c r="D168" s="14" t="s">
        <v>465</v>
      </c>
      <c r="E168" s="207">
        <v>163336.83333333299</v>
      </c>
      <c r="F168" s="71">
        <f t="shared" si="21"/>
        <v>13066.946666666699</v>
      </c>
      <c r="G168" s="12"/>
    </row>
    <row r="169" spans="1:7" ht="20.149999999999999" customHeight="1">
      <c r="A169" s="26">
        <v>35</v>
      </c>
      <c r="B169" s="10" t="s">
        <v>466</v>
      </c>
      <c r="C169" s="11" t="s">
        <v>458</v>
      </c>
      <c r="D169" s="14" t="s">
        <v>465</v>
      </c>
      <c r="E169" s="207">
        <v>163336.83333333299</v>
      </c>
      <c r="F169" s="71">
        <f t="shared" si="21"/>
        <v>13066.946666666699</v>
      </c>
      <c r="G169" s="12"/>
    </row>
    <row r="170" spans="1:7" ht="20.149999999999999" customHeight="1">
      <c r="A170" s="26">
        <v>36</v>
      </c>
      <c r="B170" s="13" t="s">
        <v>467</v>
      </c>
      <c r="C170" s="11" t="s">
        <v>458</v>
      </c>
      <c r="D170" s="14" t="s">
        <v>465</v>
      </c>
      <c r="E170" s="207">
        <v>163336.83333333299</v>
      </c>
      <c r="F170" s="71">
        <f t="shared" si="21"/>
        <v>13066.946666666699</v>
      </c>
      <c r="G170" s="12"/>
    </row>
    <row r="171" spans="1:7" ht="20.149999999999999" customHeight="1">
      <c r="A171" s="26">
        <v>37</v>
      </c>
      <c r="B171" s="10" t="s">
        <v>468</v>
      </c>
      <c r="C171" s="11" t="s">
        <v>458</v>
      </c>
      <c r="D171" s="14" t="s">
        <v>465</v>
      </c>
      <c r="E171" s="207">
        <v>163336.83333333299</v>
      </c>
      <c r="F171" s="71">
        <f t="shared" si="21"/>
        <v>13066.946666666699</v>
      </c>
      <c r="G171" s="12"/>
    </row>
    <row r="172" spans="1:7" ht="20.149999999999999" customHeight="1">
      <c r="A172" s="26">
        <v>38</v>
      </c>
      <c r="B172" s="17" t="s">
        <v>469</v>
      </c>
      <c r="C172" s="11" t="s">
        <v>458</v>
      </c>
      <c r="D172" s="14" t="s">
        <v>465</v>
      </c>
      <c r="E172" s="207">
        <v>163336.83333333299</v>
      </c>
      <c r="F172" s="71">
        <f t="shared" si="21"/>
        <v>13066.946666666699</v>
      </c>
      <c r="G172" s="12"/>
    </row>
    <row r="173" spans="1:7" ht="20.149999999999999" customHeight="1">
      <c r="A173" s="26">
        <v>39</v>
      </c>
      <c r="B173" s="17" t="s">
        <v>470</v>
      </c>
      <c r="C173" s="11" t="s">
        <v>458</v>
      </c>
      <c r="D173" s="14" t="s">
        <v>465</v>
      </c>
      <c r="E173" s="207">
        <v>163336.83333333299</v>
      </c>
      <c r="F173" s="71">
        <f t="shared" si="21"/>
        <v>13066.946666666699</v>
      </c>
      <c r="G173" s="12"/>
    </row>
    <row r="174" spans="1:7" ht="20.149999999999999" customHeight="1">
      <c r="A174" s="26">
        <v>40</v>
      </c>
      <c r="B174" s="10" t="s">
        <v>471</v>
      </c>
      <c r="C174" s="11" t="s">
        <v>472</v>
      </c>
      <c r="D174" s="14" t="s">
        <v>473</v>
      </c>
      <c r="E174" s="71">
        <v>152814.16666666701</v>
      </c>
      <c r="F174" s="71">
        <f t="shared" si="21"/>
        <v>12225.1333333333</v>
      </c>
      <c r="G174" s="12"/>
    </row>
    <row r="175" spans="1:7" ht="20.149999999999999" customHeight="1">
      <c r="A175" s="26">
        <v>41</v>
      </c>
      <c r="B175" s="10" t="s">
        <v>474</v>
      </c>
      <c r="C175" s="11" t="s">
        <v>472</v>
      </c>
      <c r="D175" s="14" t="s">
        <v>473</v>
      </c>
      <c r="E175" s="71">
        <v>152814.16666666701</v>
      </c>
      <c r="F175" s="71">
        <f t="shared" si="21"/>
        <v>12225.1333333333</v>
      </c>
      <c r="G175" s="12"/>
    </row>
    <row r="176" spans="1:7" ht="20.149999999999999" customHeight="1">
      <c r="A176" s="26">
        <v>42</v>
      </c>
      <c r="B176" s="17" t="s">
        <v>475</v>
      </c>
      <c r="C176" s="11" t="s">
        <v>472</v>
      </c>
      <c r="D176" s="14" t="s">
        <v>476</v>
      </c>
      <c r="E176" s="71">
        <v>158075.5</v>
      </c>
      <c r="F176" s="71">
        <f t="shared" si="21"/>
        <v>12646.04</v>
      </c>
      <c r="G176" s="12"/>
    </row>
    <row r="177" spans="1:7" ht="20.149999999999999" customHeight="1">
      <c r="A177" s="26">
        <v>43</v>
      </c>
      <c r="B177" s="10" t="s">
        <v>477</v>
      </c>
      <c r="C177" s="11" t="s">
        <v>478</v>
      </c>
      <c r="D177" s="14" t="s">
        <v>479</v>
      </c>
      <c r="E177" s="71">
        <v>94145.75</v>
      </c>
      <c r="F177" s="71">
        <f t="shared" si="21"/>
        <v>7531.66</v>
      </c>
      <c r="G177" s="12"/>
    </row>
    <row r="178" spans="1:7" ht="20.149999999999999" customHeight="1">
      <c r="A178" s="26">
        <v>44</v>
      </c>
      <c r="B178" s="10" t="s">
        <v>480</v>
      </c>
      <c r="C178" s="11" t="s">
        <v>481</v>
      </c>
      <c r="D178" s="14" t="s">
        <v>482</v>
      </c>
      <c r="E178" s="71">
        <v>91598</v>
      </c>
      <c r="F178" s="71">
        <f t="shared" si="21"/>
        <v>7327.84</v>
      </c>
      <c r="G178" s="12"/>
    </row>
    <row r="179" spans="1:7" ht="20.149999999999999" customHeight="1">
      <c r="A179" s="26">
        <v>45</v>
      </c>
      <c r="B179" s="10" t="s">
        <v>483</v>
      </c>
      <c r="C179" s="11" t="s">
        <v>481</v>
      </c>
      <c r="D179" s="14" t="s">
        <v>482</v>
      </c>
      <c r="E179" s="71">
        <v>91598</v>
      </c>
      <c r="F179" s="71">
        <f t="shared" si="21"/>
        <v>7327.84</v>
      </c>
      <c r="G179" s="12"/>
    </row>
    <row r="180" spans="1:7" ht="20.149999999999999" customHeight="1">
      <c r="A180" s="26">
        <v>46</v>
      </c>
      <c r="B180" s="10" t="s">
        <v>484</v>
      </c>
      <c r="C180" s="11" t="s">
        <v>481</v>
      </c>
      <c r="D180" s="14" t="s">
        <v>482</v>
      </c>
      <c r="E180" s="71">
        <v>91598</v>
      </c>
      <c r="F180" s="71">
        <f t="shared" si="21"/>
        <v>7327.84</v>
      </c>
      <c r="G180" s="12"/>
    </row>
    <row r="181" spans="1:7" ht="20.149999999999999" customHeight="1">
      <c r="A181" s="26">
        <v>47</v>
      </c>
      <c r="B181" s="10" t="s">
        <v>485</v>
      </c>
      <c r="C181" s="11" t="s">
        <v>481</v>
      </c>
      <c r="D181" s="14" t="s">
        <v>482</v>
      </c>
      <c r="E181" s="71">
        <v>91598</v>
      </c>
      <c r="F181" s="71">
        <f t="shared" si="21"/>
        <v>7327.84</v>
      </c>
      <c r="G181" s="12"/>
    </row>
    <row r="182" spans="1:7" ht="20.149999999999999" customHeight="1">
      <c r="A182" s="26">
        <v>48</v>
      </c>
      <c r="B182" s="10" t="s">
        <v>486</v>
      </c>
      <c r="C182" s="11" t="s">
        <v>481</v>
      </c>
      <c r="D182" s="14" t="s">
        <v>482</v>
      </c>
      <c r="E182" s="71">
        <v>91598</v>
      </c>
      <c r="F182" s="71">
        <f t="shared" si="21"/>
        <v>7327.84</v>
      </c>
      <c r="G182" s="12"/>
    </row>
    <row r="183" spans="1:7" ht="20.149999999999999" customHeight="1">
      <c r="A183" s="26">
        <v>49</v>
      </c>
      <c r="B183" s="17" t="s">
        <v>487</v>
      </c>
      <c r="C183" s="11" t="s">
        <v>481</v>
      </c>
      <c r="D183" s="14" t="s">
        <v>482</v>
      </c>
      <c r="E183" s="71">
        <v>91598</v>
      </c>
      <c r="F183" s="71">
        <f t="shared" si="21"/>
        <v>7327.84</v>
      </c>
      <c r="G183" s="12"/>
    </row>
    <row r="184" spans="1:7" ht="20.149999999999999" customHeight="1">
      <c r="A184" s="26">
        <v>50</v>
      </c>
      <c r="B184" s="17" t="s">
        <v>488</v>
      </c>
      <c r="C184" s="11" t="s">
        <v>481</v>
      </c>
      <c r="D184" s="14" t="s">
        <v>482</v>
      </c>
      <c r="E184" s="71">
        <v>91598</v>
      </c>
      <c r="F184" s="71">
        <f t="shared" si="21"/>
        <v>7327.84</v>
      </c>
      <c r="G184" s="12"/>
    </row>
    <row r="185" spans="1:7" ht="20.149999999999999" customHeight="1">
      <c r="A185" s="26">
        <v>51</v>
      </c>
      <c r="B185" s="10" t="s">
        <v>489</v>
      </c>
      <c r="C185" s="11" t="s">
        <v>478</v>
      </c>
      <c r="D185" s="14" t="s">
        <v>482</v>
      </c>
      <c r="E185" s="71">
        <v>91598</v>
      </c>
      <c r="F185" s="71">
        <f t="shared" si="21"/>
        <v>7327.84</v>
      </c>
      <c r="G185" s="12"/>
    </row>
    <row r="186" spans="1:7" ht="20.149999999999999" customHeight="1">
      <c r="A186" s="26">
        <v>52</v>
      </c>
      <c r="B186" s="10" t="s">
        <v>490</v>
      </c>
      <c r="C186" s="11" t="s">
        <v>478</v>
      </c>
      <c r="D186" s="14" t="s">
        <v>482</v>
      </c>
      <c r="E186" s="71">
        <v>91598</v>
      </c>
      <c r="F186" s="71">
        <f t="shared" si="21"/>
        <v>7327.84</v>
      </c>
      <c r="G186" s="12"/>
    </row>
    <row r="187" spans="1:7" ht="20.149999999999999" customHeight="1">
      <c r="A187" s="26">
        <v>53</v>
      </c>
      <c r="B187" s="17" t="s">
        <v>491</v>
      </c>
      <c r="C187" s="11" t="s">
        <v>172</v>
      </c>
      <c r="D187" s="14" t="s">
        <v>492</v>
      </c>
      <c r="E187" s="71">
        <v>89050.25</v>
      </c>
      <c r="F187" s="71">
        <f t="shared" si="21"/>
        <v>7124.02</v>
      </c>
      <c r="G187" s="12"/>
    </row>
    <row r="188" spans="1:7" ht="20.149999999999999" customHeight="1">
      <c r="A188" s="26">
        <v>54</v>
      </c>
      <c r="B188" s="17" t="s">
        <v>493</v>
      </c>
      <c r="C188" s="11" t="s">
        <v>481</v>
      </c>
      <c r="D188" s="14" t="s">
        <v>494</v>
      </c>
      <c r="E188" s="201">
        <v>80926.916666666701</v>
      </c>
      <c r="F188" s="71">
        <f t="shared" si="21"/>
        <v>6474.15333333333</v>
      </c>
      <c r="G188" s="12"/>
    </row>
    <row r="189" spans="1:7" ht="20.149999999999999" customHeight="1">
      <c r="A189" s="26">
        <v>55</v>
      </c>
      <c r="B189" s="17" t="s">
        <v>495</v>
      </c>
      <c r="C189" s="11" t="s">
        <v>496</v>
      </c>
      <c r="D189" s="14" t="s">
        <v>497</v>
      </c>
      <c r="E189" s="71">
        <v>76540.75</v>
      </c>
      <c r="F189" s="71">
        <f t="shared" si="21"/>
        <v>6123.26</v>
      </c>
      <c r="G189" s="12"/>
    </row>
    <row r="190" spans="1:7" ht="20.149999999999999" customHeight="1">
      <c r="A190" s="26">
        <v>56</v>
      </c>
      <c r="B190" s="17" t="s">
        <v>498</v>
      </c>
      <c r="C190" s="11" t="s">
        <v>496</v>
      </c>
      <c r="D190" s="14" t="s">
        <v>497</v>
      </c>
      <c r="E190" s="71">
        <v>76540.75</v>
      </c>
      <c r="F190" s="71">
        <f t="shared" si="21"/>
        <v>6123.26</v>
      </c>
      <c r="G190" s="12"/>
    </row>
    <row r="191" spans="1:7" ht="20.149999999999999" customHeight="1">
      <c r="A191" s="26">
        <v>57</v>
      </c>
      <c r="B191" s="17" t="s">
        <v>499</v>
      </c>
      <c r="C191" s="11" t="s">
        <v>496</v>
      </c>
      <c r="D191" s="14" t="s">
        <v>497</v>
      </c>
      <c r="E191" s="71">
        <v>76540.75</v>
      </c>
      <c r="F191" s="71">
        <f t="shared" si="21"/>
        <v>6123.26</v>
      </c>
      <c r="G191" s="12"/>
    </row>
    <row r="192" spans="1:7" ht="20.149999999999999" customHeight="1">
      <c r="A192" s="26">
        <v>58</v>
      </c>
      <c r="B192" s="17" t="s">
        <v>500</v>
      </c>
      <c r="C192" s="11" t="s">
        <v>501</v>
      </c>
      <c r="D192" s="14" t="s">
        <v>502</v>
      </c>
      <c r="E192" s="71">
        <v>86502.5</v>
      </c>
      <c r="F192" s="71">
        <f t="shared" si="21"/>
        <v>6920.2</v>
      </c>
      <c r="G192" s="12"/>
    </row>
    <row r="193" spans="1:7" ht="20.149999999999999" customHeight="1">
      <c r="A193" s="26">
        <v>59</v>
      </c>
      <c r="B193" s="17" t="s">
        <v>503</v>
      </c>
      <c r="C193" s="11" t="s">
        <v>501</v>
      </c>
      <c r="D193" s="14" t="s">
        <v>502</v>
      </c>
      <c r="E193" s="71">
        <v>86502.5</v>
      </c>
      <c r="F193" s="71">
        <f t="shared" si="21"/>
        <v>6920.2</v>
      </c>
      <c r="G193" s="12"/>
    </row>
    <row r="194" spans="1:7" ht="20.149999999999999" customHeight="1">
      <c r="A194" s="26"/>
      <c r="B194" s="7" t="s">
        <v>34</v>
      </c>
      <c r="C194" s="27" t="s">
        <v>504</v>
      </c>
      <c r="D194" s="28"/>
      <c r="E194" s="79">
        <f>SUM(E135:E193)</f>
        <v>14898686.4166667</v>
      </c>
      <c r="F194" s="79">
        <f t="shared" ref="F194" si="22">SUM(F135:F193)</f>
        <v>1130905.06</v>
      </c>
      <c r="G194" s="12"/>
    </row>
    <row r="195" spans="1:7" ht="19.5" customHeight="1">
      <c r="A195" s="3"/>
      <c r="B195" s="29" t="s">
        <v>80</v>
      </c>
      <c r="C195" s="30">
        <f>C35+C41+C55+C60+C73+C83+C96+C103+C113+C132+C194</f>
        <v>153</v>
      </c>
      <c r="D195" s="31"/>
      <c r="E195" s="208">
        <f>E194+E132+E119+E113+E103+E96+E83+E73+E60+E55+E41+E35</f>
        <v>64242790.417000003</v>
      </c>
      <c r="F195" s="208">
        <f t="shared" ref="F195" si="23">F194+F132+F119+F113+F103+F96+F83+F73+F60+F55+F41+F35</f>
        <v>4564480.74</v>
      </c>
      <c r="G195" s="12"/>
    </row>
    <row r="196" spans="1:7" ht="20.149999999999999" customHeight="1">
      <c r="A196" s="2"/>
      <c r="B196" s="32"/>
      <c r="C196" s="2"/>
      <c r="D196" s="33"/>
      <c r="E196" s="33"/>
      <c r="F196" s="33"/>
      <c r="G196" s="34"/>
    </row>
    <row r="197" spans="1:7" ht="36.75" customHeight="1">
      <c r="A197" s="2"/>
      <c r="B197" s="32"/>
      <c r="C197" s="33"/>
      <c r="D197" s="33"/>
      <c r="E197" s="33"/>
      <c r="F197" s="33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198">
        <f>'[1]FEB 08'!F8/'[1]FEB 08'!Q8</f>
        <v>0.3</v>
      </c>
      <c r="M1" s="198"/>
      <c r="N1" s="198"/>
      <c r="O1" s="198"/>
      <c r="P1" s="198"/>
      <c r="Q1" s="198"/>
      <c r="R1" s="198"/>
      <c r="S1" s="198"/>
      <c r="T1" s="198"/>
      <c r="U1" s="198"/>
      <c r="V1" s="1"/>
      <c r="W1" s="1"/>
      <c r="X1" s="1"/>
      <c r="Y1" s="1"/>
    </row>
    <row r="2" spans="1:25" ht="25.5">
      <c r="A2" s="62" t="s">
        <v>565</v>
      </c>
      <c r="B2" s="63"/>
      <c r="C2" s="62"/>
      <c r="D2" s="62"/>
      <c r="E2" s="197"/>
      <c r="F2" s="197"/>
      <c r="G2" s="197"/>
      <c r="H2" s="197"/>
      <c r="I2" s="197"/>
      <c r="J2" s="197"/>
      <c r="K2" s="19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64"/>
      <c r="W2" s="64"/>
      <c r="X2" s="64"/>
      <c r="Y2" s="64"/>
    </row>
    <row r="3" spans="1:25" ht="18">
      <c r="A3" s="2"/>
      <c r="B3" s="2"/>
      <c r="C3" s="2"/>
      <c r="D3" s="2"/>
      <c r="E3" s="198" t="e">
        <f>'[1]FEB 08'!E11/'[1]FEB 08'!M11</f>
        <v>#REF!</v>
      </c>
      <c r="F3" s="198"/>
      <c r="G3" s="198"/>
      <c r="H3" s="198"/>
      <c r="I3" s="198"/>
      <c r="J3" s="198"/>
      <c r="K3" s="198"/>
      <c r="L3" s="198" t="e">
        <f>'[1]FEB 08'!F11/'[1]FEB 08'!Q11</f>
        <v>#REF!</v>
      </c>
      <c r="M3" s="198"/>
      <c r="N3" s="198"/>
      <c r="O3" s="198"/>
      <c r="P3" s="198"/>
      <c r="Q3" s="198"/>
      <c r="R3" s="198"/>
      <c r="S3" s="198"/>
      <c r="T3" s="198"/>
      <c r="U3" s="198"/>
      <c r="V3" s="1"/>
      <c r="W3" s="1"/>
      <c r="X3" s="1"/>
      <c r="Y3" s="1"/>
    </row>
    <row r="4" spans="1:25" ht="70.5">
      <c r="A4" s="3"/>
      <c r="B4" s="5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23" t="s">
        <v>566</v>
      </c>
      <c r="H4" s="23" t="s">
        <v>567</v>
      </c>
      <c r="I4" s="199" t="s">
        <v>568</v>
      </c>
      <c r="J4" s="23" t="s">
        <v>569</v>
      </c>
      <c r="K4" s="23" t="s">
        <v>570</v>
      </c>
      <c r="L4" s="23" t="s">
        <v>571</v>
      </c>
      <c r="M4" s="199" t="s">
        <v>7</v>
      </c>
      <c r="N4" s="199" t="s">
        <v>7</v>
      </c>
      <c r="O4" s="23" t="s">
        <v>572</v>
      </c>
      <c r="P4" s="23" t="s">
        <v>572</v>
      </c>
      <c r="Q4" s="199" t="s">
        <v>8</v>
      </c>
      <c r="R4" s="312" t="s">
        <v>9</v>
      </c>
      <c r="S4" s="199" t="s">
        <v>10</v>
      </c>
      <c r="T4" s="199" t="s">
        <v>11</v>
      </c>
      <c r="U4" s="199" t="s">
        <v>12</v>
      </c>
      <c r="V4" s="199" t="s">
        <v>13</v>
      </c>
      <c r="W4" s="23" t="s">
        <v>14</v>
      </c>
      <c r="X4" s="325" t="s">
        <v>17</v>
      </c>
      <c r="Y4" s="299" t="s">
        <v>142</v>
      </c>
    </row>
    <row r="5" spans="1:25" ht="18">
      <c r="A5" s="1"/>
      <c r="B5" s="1"/>
      <c r="C5" s="7"/>
      <c r="D5" s="7"/>
      <c r="E5" s="68" t="s">
        <v>20</v>
      </c>
      <c r="F5" s="20"/>
      <c r="G5" s="68" t="s">
        <v>20</v>
      </c>
      <c r="H5" s="68" t="s">
        <v>20</v>
      </c>
      <c r="I5" s="68" t="s">
        <v>20</v>
      </c>
      <c r="J5" s="68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68" t="s">
        <v>20</v>
      </c>
      <c r="R5" s="285" t="s">
        <v>20</v>
      </c>
      <c r="S5" s="68" t="s">
        <v>20</v>
      </c>
      <c r="T5" s="68" t="s">
        <v>20</v>
      </c>
      <c r="U5" s="68" t="s">
        <v>20</v>
      </c>
      <c r="V5" s="68" t="s">
        <v>20</v>
      </c>
      <c r="W5" s="68" t="s">
        <v>20</v>
      </c>
      <c r="X5" s="431" t="s">
        <v>20</v>
      </c>
      <c r="Y5" s="211" t="s">
        <v>20</v>
      </c>
    </row>
    <row r="6" spans="1:25" ht="17.5">
      <c r="A6" s="8" t="s">
        <v>21</v>
      </c>
      <c r="B6" s="7" t="s">
        <v>22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285"/>
      <c r="W6" s="7"/>
      <c r="X6" s="285"/>
      <c r="Y6" s="68"/>
    </row>
    <row r="7" spans="1:25" ht="18">
      <c r="A7" s="9">
        <v>1</v>
      </c>
      <c r="B7" s="17" t="s">
        <v>298</v>
      </c>
      <c r="C7" s="3" t="s">
        <v>537</v>
      </c>
      <c r="D7" s="9" t="s">
        <v>294</v>
      </c>
      <c r="E7" s="71">
        <f>12732</f>
        <v>12732</v>
      </c>
      <c r="F7" s="71"/>
      <c r="G7" s="71">
        <f t="shared" ref="G7:G9" si="0">E7*300%</f>
        <v>38196</v>
      </c>
      <c r="H7" s="71">
        <f t="shared" ref="H7:H9" si="1">E7*7.5%</f>
        <v>954.9</v>
      </c>
      <c r="I7" s="71"/>
      <c r="J7" s="71">
        <f t="shared" ref="J7:J9" si="2">E7*50%</f>
        <v>6366</v>
      </c>
      <c r="K7" s="71">
        <f t="shared" ref="K7:K9" si="3">E7*350%</f>
        <v>44562</v>
      </c>
      <c r="L7" s="71">
        <f t="shared" ref="L7:L9" si="4">E7*100%</f>
        <v>12732</v>
      </c>
      <c r="M7" s="201"/>
      <c r="N7" s="201">
        <f>50000</f>
        <v>50000</v>
      </c>
      <c r="O7" s="71">
        <f t="shared" ref="O7:O9" si="5">E7*10%</f>
        <v>1273.2</v>
      </c>
      <c r="P7" s="71">
        <v>10000</v>
      </c>
      <c r="Q7" s="71"/>
      <c r="R7" s="200">
        <f>(Q7+P7+O7+N7+M7+L7+K7+J7+I7+H7+G7+F7+E7)</f>
        <v>176816.1</v>
      </c>
      <c r="S7" s="71"/>
      <c r="T7" s="71">
        <f>20000</f>
        <v>20000</v>
      </c>
      <c r="U7" s="71"/>
      <c r="V7" s="71">
        <v>0</v>
      </c>
      <c r="W7" s="71">
        <v>17042.713866666702</v>
      </c>
      <c r="X7" s="317">
        <f t="shared" ref="X7:X8" si="6">S7+T7+U7+V7+W7</f>
        <v>37042.713866666702</v>
      </c>
      <c r="Y7" s="212">
        <f t="shared" ref="Y7:Y8" si="7">R7-X7</f>
        <v>139773.386133333</v>
      </c>
    </row>
    <row r="8" spans="1:25" ht="54">
      <c r="B8" s="21" t="s">
        <v>573</v>
      </c>
      <c r="C8" s="13" t="s">
        <v>533</v>
      </c>
      <c r="D8" s="9" t="s">
        <v>38</v>
      </c>
      <c r="E8" s="71">
        <f>17286.33</f>
        <v>17286.330000000002</v>
      </c>
      <c r="F8" s="71"/>
      <c r="G8" s="71">
        <f t="shared" si="0"/>
        <v>51858.99</v>
      </c>
      <c r="H8" s="71">
        <f t="shared" si="1"/>
        <v>1296.4747500000001</v>
      </c>
      <c r="I8" s="71"/>
      <c r="J8" s="71">
        <f t="shared" si="2"/>
        <v>8643.1650000000009</v>
      </c>
      <c r="K8" s="71">
        <f t="shared" si="3"/>
        <v>60502.154999999999</v>
      </c>
      <c r="L8" s="71">
        <f t="shared" si="4"/>
        <v>17286.330000000002</v>
      </c>
      <c r="M8" s="201"/>
      <c r="N8" s="201">
        <f>50000+10000</f>
        <v>60000</v>
      </c>
      <c r="O8" s="71">
        <f t="shared" si="5"/>
        <v>1728.633</v>
      </c>
      <c r="P8" s="71">
        <v>10000</v>
      </c>
      <c r="Q8" s="71"/>
      <c r="R8" s="200">
        <f>SUM(E8:Q8)</f>
        <v>228602.07775</v>
      </c>
      <c r="S8" s="71"/>
      <c r="T8" s="71"/>
      <c r="U8" s="71"/>
      <c r="V8" s="71"/>
      <c r="W8" s="71">
        <v>25571.82</v>
      </c>
      <c r="X8" s="317">
        <f t="shared" si="6"/>
        <v>25571.82</v>
      </c>
      <c r="Y8" s="212">
        <f t="shared" si="7"/>
        <v>203030.25774999999</v>
      </c>
    </row>
    <row r="9" spans="1:25" ht="17.5">
      <c r="B9" s="21" t="s">
        <v>511</v>
      </c>
      <c r="C9" s="429"/>
      <c r="D9" s="20"/>
      <c r="E9" s="133">
        <f>E8-E7</f>
        <v>4554.33</v>
      </c>
      <c r="F9" s="133"/>
      <c r="G9" s="133">
        <f t="shared" si="0"/>
        <v>13662.99</v>
      </c>
      <c r="H9" s="133">
        <f t="shared" si="1"/>
        <v>341.57474999999999</v>
      </c>
      <c r="I9" s="133"/>
      <c r="J9" s="133">
        <f t="shared" si="2"/>
        <v>2277.165</v>
      </c>
      <c r="K9" s="133">
        <f t="shared" si="3"/>
        <v>15940.155000000001</v>
      </c>
      <c r="L9" s="133">
        <f t="shared" si="4"/>
        <v>4554.33</v>
      </c>
      <c r="M9" s="430"/>
      <c r="N9" s="430">
        <f>N8-N7</f>
        <v>10000</v>
      </c>
      <c r="O9" s="133">
        <f t="shared" si="5"/>
        <v>455.43299999999999</v>
      </c>
      <c r="P9" s="133">
        <v>0</v>
      </c>
      <c r="Q9" s="133"/>
      <c r="R9" s="290">
        <f>SUM(E9:Q9)</f>
        <v>51785.977749999998</v>
      </c>
      <c r="S9" s="133"/>
      <c r="T9" s="133"/>
      <c r="U9" s="133"/>
      <c r="V9" s="133"/>
      <c r="W9" s="133">
        <f>W8-W7</f>
        <v>8529.10613333334</v>
      </c>
      <c r="X9" s="432"/>
      <c r="Y9" s="214">
        <f>R9-W9</f>
        <v>43256.8716166667</v>
      </c>
    </row>
    <row r="10" spans="1:25" ht="17.5">
      <c r="W10" s="433"/>
      <c r="X10" s="434" t="s">
        <v>148</v>
      </c>
      <c r="Y10" s="437">
        <f>1+(27/31)</f>
        <v>1.87096774193548</v>
      </c>
    </row>
    <row r="11" spans="1:25" ht="17.5">
      <c r="W11" s="435"/>
      <c r="X11" s="436" t="s">
        <v>574</v>
      </c>
      <c r="Y11" s="438">
        <f>Y9*Y10</f>
        <v>80932.211411828001</v>
      </c>
    </row>
  </sheetData>
  <mergeCells count="1">
    <mergeCell ref="A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360" t="s">
        <v>575</v>
      </c>
      <c r="B1" s="361"/>
      <c r="C1" s="360"/>
      <c r="D1" s="360"/>
      <c r="E1" s="362"/>
      <c r="F1" s="362"/>
      <c r="G1" s="363"/>
    </row>
    <row r="2" spans="1:10" ht="22">
      <c r="A2" s="360" t="s">
        <v>576</v>
      </c>
      <c r="B2" s="360"/>
      <c r="C2" s="360"/>
      <c r="D2" s="360"/>
      <c r="E2" s="362"/>
      <c r="F2" s="362"/>
      <c r="G2" s="363"/>
    </row>
    <row r="3" spans="1:10" ht="22">
      <c r="A3" s="360" t="s">
        <v>577</v>
      </c>
      <c r="B3" s="360"/>
      <c r="C3" s="360"/>
      <c r="D3" s="360"/>
      <c r="E3" s="362"/>
      <c r="F3" s="362"/>
      <c r="G3" s="363"/>
    </row>
    <row r="4" spans="1:10" ht="45" customHeight="1">
      <c r="A4" s="364" t="s">
        <v>21</v>
      </c>
      <c r="B4" s="365" t="s">
        <v>578</v>
      </c>
      <c r="C4" s="366" t="s">
        <v>579</v>
      </c>
      <c r="D4" s="367" t="s">
        <v>580</v>
      </c>
      <c r="E4" s="367" t="s">
        <v>581</v>
      </c>
      <c r="F4" s="367" t="s">
        <v>582</v>
      </c>
      <c r="G4" s="367" t="s">
        <v>583</v>
      </c>
      <c r="H4" s="368" t="s">
        <v>34</v>
      </c>
    </row>
    <row r="5" spans="1:10" ht="16">
      <c r="A5" s="757" t="s">
        <v>584</v>
      </c>
      <c r="B5" s="370" t="s">
        <v>585</v>
      </c>
      <c r="C5" s="371">
        <v>45323</v>
      </c>
      <c r="D5" s="372">
        <f>0</f>
        <v>0</v>
      </c>
      <c r="E5" s="372">
        <v>0</v>
      </c>
      <c r="F5" s="372">
        <v>0</v>
      </c>
      <c r="G5" s="372">
        <f>0</f>
        <v>0</v>
      </c>
      <c r="H5" s="373">
        <f>D5+E5+F5+G5</f>
        <v>0</v>
      </c>
      <c r="I5" s="385"/>
    </row>
    <row r="6" spans="1:10" ht="16.5">
      <c r="A6" s="757" t="s">
        <v>586</v>
      </c>
      <c r="B6" s="374" t="s">
        <v>587</v>
      </c>
      <c r="C6" s="371">
        <v>45323</v>
      </c>
      <c r="D6" s="375">
        <v>250000</v>
      </c>
      <c r="E6" s="375">
        <v>0</v>
      </c>
      <c r="F6" s="375"/>
      <c r="G6" s="373">
        <f>0</f>
        <v>0</v>
      </c>
      <c r="H6" s="373">
        <f t="shared" ref="H6:H69" si="0">D6+E6+F6+G6</f>
        <v>250000</v>
      </c>
      <c r="I6" s="386"/>
    </row>
    <row r="7" spans="1:10" ht="16">
      <c r="A7" s="757" t="s">
        <v>588</v>
      </c>
      <c r="B7" s="369" t="s">
        <v>589</v>
      </c>
      <c r="C7" s="371">
        <v>45323</v>
      </c>
      <c r="D7" s="375">
        <f>0</f>
        <v>0</v>
      </c>
      <c r="E7" s="375">
        <v>0</v>
      </c>
      <c r="F7" s="375">
        <v>0</v>
      </c>
      <c r="G7" s="375">
        <f>0</f>
        <v>0</v>
      </c>
      <c r="H7" s="373">
        <f t="shared" si="0"/>
        <v>0</v>
      </c>
      <c r="I7" s="385"/>
    </row>
    <row r="8" spans="1:10" ht="16.5">
      <c r="A8" s="757" t="s">
        <v>590</v>
      </c>
      <c r="B8" s="369" t="s">
        <v>591</v>
      </c>
      <c r="C8" s="371">
        <v>45323</v>
      </c>
      <c r="D8" s="375">
        <v>200000</v>
      </c>
      <c r="E8" s="375">
        <v>0</v>
      </c>
      <c r="F8" s="375">
        <v>0</v>
      </c>
      <c r="G8" s="375">
        <f>327777.78</f>
        <v>327777.78000000003</v>
      </c>
      <c r="H8" s="373">
        <f t="shared" si="0"/>
        <v>527777.78</v>
      </c>
      <c r="I8" s="386"/>
    </row>
    <row r="9" spans="1:10" ht="16">
      <c r="A9" s="757" t="s">
        <v>592</v>
      </c>
      <c r="B9" s="369" t="s">
        <v>593</v>
      </c>
      <c r="C9" s="371">
        <v>45323</v>
      </c>
      <c r="D9" s="375">
        <f>0</f>
        <v>0</v>
      </c>
      <c r="E9" s="375"/>
      <c r="F9" s="375"/>
      <c r="G9" s="375">
        <f>0</f>
        <v>0</v>
      </c>
      <c r="H9" s="373">
        <f t="shared" si="0"/>
        <v>0</v>
      </c>
      <c r="I9" s="385"/>
    </row>
    <row r="10" spans="1:10" ht="16">
      <c r="A10" s="757" t="s">
        <v>594</v>
      </c>
      <c r="B10" s="369" t="s">
        <v>595</v>
      </c>
      <c r="C10" s="371">
        <v>45323</v>
      </c>
      <c r="D10" s="375">
        <f>0</f>
        <v>0</v>
      </c>
      <c r="E10" s="375">
        <v>0</v>
      </c>
      <c r="F10" s="375">
        <v>0</v>
      </c>
      <c r="G10" s="375">
        <f>0</f>
        <v>0</v>
      </c>
      <c r="H10" s="373">
        <f t="shared" si="0"/>
        <v>0</v>
      </c>
      <c r="I10" s="385"/>
      <c r="J10" s="387"/>
    </row>
    <row r="11" spans="1:10" ht="16">
      <c r="A11" s="757" t="s">
        <v>596</v>
      </c>
      <c r="B11" s="369" t="s">
        <v>597</v>
      </c>
      <c r="C11" s="371">
        <v>45323</v>
      </c>
      <c r="D11" s="375">
        <v>0</v>
      </c>
      <c r="E11" s="375">
        <v>0</v>
      </c>
      <c r="F11" s="375">
        <v>0</v>
      </c>
      <c r="G11" s="375">
        <v>0</v>
      </c>
      <c r="H11" s="373">
        <f t="shared" si="0"/>
        <v>0</v>
      </c>
      <c r="I11" s="388"/>
    </row>
    <row r="12" spans="1:10" ht="16.5">
      <c r="A12" s="757" t="s">
        <v>598</v>
      </c>
      <c r="B12" s="369" t="s">
        <v>599</v>
      </c>
      <c r="C12" s="371">
        <v>45323</v>
      </c>
      <c r="D12" s="375">
        <v>50000</v>
      </c>
      <c r="E12" s="375">
        <v>0</v>
      </c>
      <c r="F12" s="375">
        <v>0</v>
      </c>
      <c r="G12" s="375">
        <f>385000</f>
        <v>385000</v>
      </c>
      <c r="H12" s="373">
        <f t="shared" si="0"/>
        <v>435000</v>
      </c>
      <c r="I12" s="386"/>
    </row>
    <row r="13" spans="1:10" ht="16">
      <c r="A13" s="757" t="s">
        <v>600</v>
      </c>
      <c r="B13" s="369" t="s">
        <v>601</v>
      </c>
      <c r="C13" s="371">
        <v>45323</v>
      </c>
      <c r="D13" s="375">
        <v>0</v>
      </c>
      <c r="E13" s="375">
        <v>0</v>
      </c>
      <c r="F13" s="375">
        <v>0</v>
      </c>
      <c r="G13" s="375">
        <v>0</v>
      </c>
      <c r="H13" s="373">
        <f t="shared" si="0"/>
        <v>0</v>
      </c>
      <c r="I13" s="388"/>
    </row>
    <row r="14" spans="1:10" ht="16">
      <c r="A14" s="757" t="s">
        <v>602</v>
      </c>
      <c r="B14" s="369" t="s">
        <v>603</v>
      </c>
      <c r="C14" s="371">
        <v>45323</v>
      </c>
      <c r="D14" s="375">
        <f>0</f>
        <v>0</v>
      </c>
      <c r="E14" s="375">
        <v>0</v>
      </c>
      <c r="F14" s="375">
        <v>0</v>
      </c>
      <c r="G14" s="375">
        <f>0</f>
        <v>0</v>
      </c>
      <c r="H14" s="373">
        <f t="shared" si="0"/>
        <v>0</v>
      </c>
      <c r="I14" s="385"/>
    </row>
    <row r="15" spans="1:10" ht="16.5">
      <c r="A15" s="757" t="s">
        <v>604</v>
      </c>
      <c r="B15" s="369" t="s">
        <v>605</v>
      </c>
      <c r="C15" s="371">
        <v>45323</v>
      </c>
      <c r="D15" s="375">
        <v>30000</v>
      </c>
      <c r="E15" s="375">
        <v>0</v>
      </c>
      <c r="F15" s="375">
        <v>0</v>
      </c>
      <c r="G15" s="375">
        <v>91666.67</v>
      </c>
      <c r="H15" s="373">
        <f t="shared" si="0"/>
        <v>121666.67</v>
      </c>
      <c r="I15" s="386"/>
    </row>
    <row r="16" spans="1:10" ht="16.5">
      <c r="A16" s="757" t="s">
        <v>606</v>
      </c>
      <c r="B16" s="369" t="s">
        <v>130</v>
      </c>
      <c r="C16" s="371">
        <v>45323</v>
      </c>
      <c r="D16" s="375">
        <f>100000</f>
        <v>100000</v>
      </c>
      <c r="E16" s="375">
        <v>0</v>
      </c>
      <c r="F16" s="375">
        <v>0</v>
      </c>
      <c r="G16" s="375">
        <f>0</f>
        <v>0</v>
      </c>
      <c r="H16" s="373">
        <f t="shared" si="0"/>
        <v>100000</v>
      </c>
      <c r="I16" s="386"/>
    </row>
    <row r="17" spans="1:9" ht="16">
      <c r="A17" s="757" t="s">
        <v>607</v>
      </c>
      <c r="B17" s="369" t="s">
        <v>608</v>
      </c>
      <c r="C17" s="371">
        <v>45323</v>
      </c>
      <c r="D17" s="375">
        <f>0</f>
        <v>0</v>
      </c>
      <c r="E17" s="375">
        <v>0</v>
      </c>
      <c r="F17" s="375">
        <v>0</v>
      </c>
      <c r="G17" s="375">
        <f>0</f>
        <v>0</v>
      </c>
      <c r="H17" s="373">
        <f t="shared" si="0"/>
        <v>0</v>
      </c>
      <c r="I17" s="385"/>
    </row>
    <row r="18" spans="1:9" ht="16">
      <c r="A18" s="757" t="s">
        <v>609</v>
      </c>
      <c r="B18" s="369" t="s">
        <v>610</v>
      </c>
      <c r="C18" s="371">
        <v>45323</v>
      </c>
      <c r="D18" s="375">
        <v>0</v>
      </c>
      <c r="E18" s="375">
        <v>0</v>
      </c>
      <c r="F18" s="375">
        <v>0</v>
      </c>
      <c r="G18" s="375">
        <v>0</v>
      </c>
      <c r="H18" s="373">
        <f t="shared" si="0"/>
        <v>0</v>
      </c>
      <c r="I18" s="389"/>
    </row>
    <row r="19" spans="1:9" ht="16.5">
      <c r="A19" s="757" t="s">
        <v>611</v>
      </c>
      <c r="B19" s="369" t="s">
        <v>612</v>
      </c>
      <c r="C19" s="371">
        <v>45323</v>
      </c>
      <c r="D19" s="375">
        <f>100000</f>
        <v>100000</v>
      </c>
      <c r="E19" s="375">
        <v>0</v>
      </c>
      <c r="F19" s="375">
        <v>0</v>
      </c>
      <c r="G19" s="375">
        <f>0</f>
        <v>0</v>
      </c>
      <c r="H19" s="373">
        <f t="shared" si="0"/>
        <v>100000</v>
      </c>
      <c r="I19" s="390"/>
    </row>
    <row r="20" spans="1:9" ht="16.5">
      <c r="A20" s="757" t="s">
        <v>613</v>
      </c>
      <c r="B20" s="369" t="s">
        <v>614</v>
      </c>
      <c r="C20" s="371">
        <v>45323</v>
      </c>
      <c r="D20" s="375">
        <f>50000</f>
        <v>50000</v>
      </c>
      <c r="E20" s="375">
        <v>0</v>
      </c>
      <c r="F20" s="375">
        <v>0</v>
      </c>
      <c r="G20" s="373">
        <f>200000</f>
        <v>200000</v>
      </c>
      <c r="H20" s="373">
        <f t="shared" si="0"/>
        <v>250000</v>
      </c>
      <c r="I20" s="391"/>
    </row>
    <row r="21" spans="1:9" ht="16.5">
      <c r="A21" s="757" t="s">
        <v>615</v>
      </c>
      <c r="B21" s="370" t="s">
        <v>616</v>
      </c>
      <c r="C21" s="371">
        <v>45323</v>
      </c>
      <c r="D21" s="372">
        <f>0</f>
        <v>0</v>
      </c>
      <c r="E21" s="372">
        <v>0</v>
      </c>
      <c r="F21" s="372">
        <v>0</v>
      </c>
      <c r="G21" s="376">
        <f>0</f>
        <v>0</v>
      </c>
      <c r="H21" s="373">
        <f t="shared" si="0"/>
        <v>0</v>
      </c>
      <c r="I21" s="392"/>
    </row>
    <row r="22" spans="1:9" ht="16.5">
      <c r="A22" s="757" t="s">
        <v>617</v>
      </c>
      <c r="B22" s="369" t="s">
        <v>618</v>
      </c>
      <c r="C22" s="371">
        <v>45323</v>
      </c>
      <c r="D22" s="375">
        <v>50000</v>
      </c>
      <c r="E22" s="375">
        <v>0</v>
      </c>
      <c r="F22" s="375">
        <v>0</v>
      </c>
      <c r="G22" s="375">
        <f>0</f>
        <v>0</v>
      </c>
      <c r="H22" s="373">
        <f t="shared" si="0"/>
        <v>50000</v>
      </c>
      <c r="I22" s="391"/>
    </row>
    <row r="23" spans="1:9" ht="16">
      <c r="A23" s="757" t="s">
        <v>619</v>
      </c>
      <c r="B23" s="369" t="s">
        <v>620</v>
      </c>
      <c r="C23" s="371">
        <v>45323</v>
      </c>
      <c r="D23" s="375">
        <v>0</v>
      </c>
      <c r="E23" s="375">
        <v>0</v>
      </c>
      <c r="F23" s="375">
        <v>0</v>
      </c>
      <c r="G23" s="375">
        <v>0</v>
      </c>
      <c r="H23" s="373">
        <f t="shared" si="0"/>
        <v>0</v>
      </c>
    </row>
    <row r="24" spans="1:9" ht="16.5">
      <c r="A24" s="757" t="s">
        <v>621</v>
      </c>
      <c r="B24" s="370" t="s">
        <v>398</v>
      </c>
      <c r="C24" s="371">
        <v>45323</v>
      </c>
      <c r="D24" s="372">
        <f>20000</f>
        <v>20000</v>
      </c>
      <c r="E24" s="372">
        <v>0</v>
      </c>
      <c r="F24" s="372">
        <f>0</f>
        <v>0</v>
      </c>
      <c r="G24" s="372">
        <v>75694.44</v>
      </c>
      <c r="H24" s="373">
        <f t="shared" si="0"/>
        <v>95694.44</v>
      </c>
      <c r="I24" s="386"/>
    </row>
    <row r="25" spans="1:9" ht="16">
      <c r="A25" s="757" t="s">
        <v>622</v>
      </c>
      <c r="B25" s="369" t="s">
        <v>623</v>
      </c>
      <c r="C25" s="371">
        <v>45323</v>
      </c>
      <c r="D25" s="375">
        <v>0</v>
      </c>
      <c r="E25" s="375">
        <v>0</v>
      </c>
      <c r="F25" s="375">
        <v>0</v>
      </c>
      <c r="G25" s="375">
        <v>0</v>
      </c>
      <c r="H25" s="373">
        <f t="shared" si="0"/>
        <v>0</v>
      </c>
      <c r="I25" s="385"/>
    </row>
    <row r="26" spans="1:9" ht="16.5">
      <c r="A26" s="757" t="s">
        <v>624</v>
      </c>
      <c r="B26" s="369" t="s">
        <v>625</v>
      </c>
      <c r="C26" s="371">
        <v>45323</v>
      </c>
      <c r="D26" s="375">
        <v>10000</v>
      </c>
      <c r="E26" s="375">
        <v>0</v>
      </c>
      <c r="F26" s="375">
        <v>0</v>
      </c>
      <c r="G26" s="375">
        <f>65885.83</f>
        <v>65885.83</v>
      </c>
      <c r="H26" s="373">
        <f t="shared" si="0"/>
        <v>75885.83</v>
      </c>
      <c r="I26" s="386"/>
    </row>
    <row r="27" spans="1:9" ht="16.5">
      <c r="A27" s="757" t="s">
        <v>626</v>
      </c>
      <c r="B27" s="369" t="s">
        <v>627</v>
      </c>
      <c r="C27" s="371">
        <v>45323</v>
      </c>
      <c r="D27" s="375">
        <v>30000</v>
      </c>
      <c r="E27" s="375">
        <v>0</v>
      </c>
      <c r="F27" s="375">
        <v>10000</v>
      </c>
      <c r="G27" s="375">
        <f>238888.89</f>
        <v>238888.89</v>
      </c>
      <c r="H27" s="373">
        <f t="shared" si="0"/>
        <v>278888.89</v>
      </c>
      <c r="I27" s="386"/>
    </row>
    <row r="28" spans="1:9" ht="16.5">
      <c r="A28" s="757" t="s">
        <v>628</v>
      </c>
      <c r="B28" s="369" t="s">
        <v>629</v>
      </c>
      <c r="C28" s="371">
        <v>45323</v>
      </c>
      <c r="D28" s="375">
        <v>30000</v>
      </c>
      <c r="E28" s="375">
        <v>0</v>
      </c>
      <c r="F28" s="375">
        <v>0</v>
      </c>
      <c r="G28" s="375">
        <f>61111.11</f>
        <v>61111.11</v>
      </c>
      <c r="H28" s="373">
        <f t="shared" si="0"/>
        <v>91111.11</v>
      </c>
      <c r="I28" s="386"/>
    </row>
    <row r="29" spans="1:9" ht="17.5">
      <c r="A29" s="757" t="s">
        <v>630</v>
      </c>
      <c r="B29" s="369" t="s">
        <v>631</v>
      </c>
      <c r="C29" s="371">
        <v>45323</v>
      </c>
      <c r="D29" s="377">
        <f>15000</f>
        <v>15000</v>
      </c>
      <c r="E29" s="377"/>
      <c r="F29" s="377"/>
      <c r="G29" s="378">
        <f>30000</f>
        <v>30000</v>
      </c>
      <c r="H29" s="373">
        <f t="shared" si="0"/>
        <v>45000</v>
      </c>
      <c r="I29" s="386"/>
    </row>
    <row r="30" spans="1:9" ht="16.5">
      <c r="A30" s="757" t="s">
        <v>632</v>
      </c>
      <c r="B30" s="369" t="s">
        <v>633</v>
      </c>
      <c r="C30" s="371">
        <v>45323</v>
      </c>
      <c r="D30" s="375">
        <v>20000</v>
      </c>
      <c r="E30" s="375">
        <v>0</v>
      </c>
      <c r="F30" s="375">
        <v>0</v>
      </c>
      <c r="G30" s="375">
        <f>163103.59</f>
        <v>163103.59</v>
      </c>
      <c r="H30" s="373">
        <f t="shared" si="0"/>
        <v>183103.59</v>
      </c>
      <c r="I30" s="386"/>
    </row>
    <row r="31" spans="1:9" ht="16.5">
      <c r="A31" s="757" t="s">
        <v>634</v>
      </c>
      <c r="B31" s="369" t="s">
        <v>340</v>
      </c>
      <c r="C31" s="371">
        <v>45323</v>
      </c>
      <c r="D31" s="375">
        <v>20000</v>
      </c>
      <c r="E31" s="375">
        <v>0</v>
      </c>
      <c r="F31" s="375">
        <v>0</v>
      </c>
      <c r="G31" s="375">
        <v>96664.65</v>
      </c>
      <c r="H31" s="373">
        <f t="shared" si="0"/>
        <v>116664.65</v>
      </c>
      <c r="I31" s="386"/>
    </row>
    <row r="32" spans="1:9" ht="16.5">
      <c r="A32" s="757" t="s">
        <v>635</v>
      </c>
      <c r="B32" s="369" t="s">
        <v>636</v>
      </c>
      <c r="C32" s="371">
        <v>45323</v>
      </c>
      <c r="D32" s="375">
        <v>20000</v>
      </c>
      <c r="E32" s="375">
        <v>0</v>
      </c>
      <c r="F32" s="375">
        <v>0</v>
      </c>
      <c r="G32" s="379"/>
      <c r="H32" s="373">
        <f t="shared" si="0"/>
        <v>20000</v>
      </c>
      <c r="I32" s="386"/>
    </row>
    <row r="33" spans="1:9" ht="16">
      <c r="A33" s="757" t="s">
        <v>637</v>
      </c>
      <c r="B33" s="369" t="s">
        <v>638</v>
      </c>
      <c r="C33" s="371">
        <v>45323</v>
      </c>
      <c r="D33" s="376"/>
      <c r="E33" s="376"/>
      <c r="F33" s="376"/>
      <c r="G33" s="376"/>
      <c r="H33" s="373">
        <f t="shared" si="0"/>
        <v>0</v>
      </c>
      <c r="I33" s="385"/>
    </row>
    <row r="34" spans="1:9" ht="16.5">
      <c r="A34" s="757" t="s">
        <v>639</v>
      </c>
      <c r="B34" s="369" t="s">
        <v>640</v>
      </c>
      <c r="C34" s="371">
        <v>45323</v>
      </c>
      <c r="D34" s="375">
        <v>20000</v>
      </c>
      <c r="E34" s="375">
        <v>0</v>
      </c>
      <c r="F34" s="377">
        <f>5000+5000</f>
        <v>10000</v>
      </c>
      <c r="G34" s="375">
        <f>47916.66</f>
        <v>47916.66</v>
      </c>
      <c r="H34" s="373">
        <f t="shared" si="0"/>
        <v>77916.66</v>
      </c>
      <c r="I34" s="386"/>
    </row>
    <row r="35" spans="1:9" ht="16">
      <c r="A35" s="757" t="s">
        <v>641</v>
      </c>
      <c r="B35" s="369" t="s">
        <v>642</v>
      </c>
      <c r="C35" s="371">
        <v>45323</v>
      </c>
      <c r="D35" s="375">
        <v>0</v>
      </c>
      <c r="E35" s="375">
        <v>0</v>
      </c>
      <c r="F35" s="375">
        <v>0</v>
      </c>
      <c r="G35" s="375">
        <v>0</v>
      </c>
      <c r="H35" s="373">
        <f t="shared" si="0"/>
        <v>0</v>
      </c>
      <c r="I35" s="385"/>
    </row>
    <row r="36" spans="1:9" ht="16.5">
      <c r="A36" s="757" t="s">
        <v>643</v>
      </c>
      <c r="B36" s="369" t="s">
        <v>644</v>
      </c>
      <c r="C36" s="371">
        <v>45323</v>
      </c>
      <c r="D36" s="375">
        <f>20000</f>
        <v>20000</v>
      </c>
      <c r="E36" s="375">
        <v>0</v>
      </c>
      <c r="F36" s="375">
        <v>0</v>
      </c>
      <c r="G36" s="375">
        <f>43750</f>
        <v>43750</v>
      </c>
      <c r="H36" s="373">
        <f t="shared" si="0"/>
        <v>63750</v>
      </c>
      <c r="I36" s="386"/>
    </row>
    <row r="37" spans="1:9" ht="16.5">
      <c r="A37" s="757" t="s">
        <v>645</v>
      </c>
      <c r="B37" s="369" t="s">
        <v>646</v>
      </c>
      <c r="C37" s="371">
        <v>45323</v>
      </c>
      <c r="D37" s="375">
        <f>10000</f>
        <v>10000</v>
      </c>
      <c r="E37" s="375">
        <f>0</f>
        <v>0</v>
      </c>
      <c r="F37" s="375">
        <f>0</f>
        <v>0</v>
      </c>
      <c r="G37" s="375">
        <f>90000+25000</f>
        <v>115000</v>
      </c>
      <c r="H37" s="373">
        <f t="shared" si="0"/>
        <v>125000</v>
      </c>
      <c r="I37" s="386"/>
    </row>
    <row r="38" spans="1:9" ht="16">
      <c r="A38" s="757" t="s">
        <v>647</v>
      </c>
      <c r="B38" s="369" t="s">
        <v>415</v>
      </c>
      <c r="C38" s="371">
        <v>45323</v>
      </c>
      <c r="D38" s="375">
        <f>0</f>
        <v>0</v>
      </c>
      <c r="E38" s="375">
        <v>0</v>
      </c>
      <c r="F38" s="375">
        <v>0</v>
      </c>
      <c r="G38" s="375">
        <f>50000</f>
        <v>50000</v>
      </c>
      <c r="H38" s="373">
        <f t="shared" si="0"/>
        <v>50000</v>
      </c>
      <c r="I38" s="385"/>
    </row>
    <row r="39" spans="1:9" ht="16.5">
      <c r="A39" s="757" t="s">
        <v>648</v>
      </c>
      <c r="B39" s="369" t="s">
        <v>247</v>
      </c>
      <c r="C39" s="371">
        <v>45323</v>
      </c>
      <c r="D39" s="375">
        <f>10000</f>
        <v>10000</v>
      </c>
      <c r="E39" s="375">
        <v>0</v>
      </c>
      <c r="F39" s="375">
        <v>0</v>
      </c>
      <c r="G39" s="375">
        <f>200000</f>
        <v>200000</v>
      </c>
      <c r="H39" s="373">
        <f t="shared" si="0"/>
        <v>210000</v>
      </c>
      <c r="I39" s="386"/>
    </row>
    <row r="40" spans="1:9" ht="16.5">
      <c r="A40" s="757" t="s">
        <v>649</v>
      </c>
      <c r="B40" s="369" t="s">
        <v>400</v>
      </c>
      <c r="C40" s="371">
        <v>45323</v>
      </c>
      <c r="D40" s="375">
        <v>35000</v>
      </c>
      <c r="E40" s="375">
        <v>0</v>
      </c>
      <c r="F40" s="375">
        <f>25000</f>
        <v>25000</v>
      </c>
      <c r="G40" s="375">
        <f>55000</f>
        <v>55000</v>
      </c>
      <c r="H40" s="373">
        <f t="shared" si="0"/>
        <v>115000</v>
      </c>
      <c r="I40" s="386"/>
    </row>
    <row r="41" spans="1:9" ht="16.5">
      <c r="A41" s="757" t="s">
        <v>650</v>
      </c>
      <c r="B41" s="369" t="s">
        <v>423</v>
      </c>
      <c r="C41" s="371">
        <v>45323</v>
      </c>
      <c r="D41" s="375">
        <v>10000</v>
      </c>
      <c r="E41" s="375">
        <v>0</v>
      </c>
      <c r="F41" s="375">
        <v>0</v>
      </c>
      <c r="G41" s="375">
        <f>100000</f>
        <v>100000</v>
      </c>
      <c r="H41" s="373">
        <f t="shared" si="0"/>
        <v>110000</v>
      </c>
      <c r="I41" s="386"/>
    </row>
    <row r="42" spans="1:9" ht="16.5">
      <c r="A42" s="757" t="s">
        <v>651</v>
      </c>
      <c r="B42" s="369" t="s">
        <v>652</v>
      </c>
      <c r="C42" s="371">
        <v>45323</v>
      </c>
      <c r="D42" s="375">
        <f>10000</f>
        <v>10000</v>
      </c>
      <c r="E42" s="376"/>
      <c r="F42" s="376"/>
      <c r="G42" s="376"/>
      <c r="H42" s="373">
        <f t="shared" si="0"/>
        <v>10000</v>
      </c>
      <c r="I42" s="386"/>
    </row>
    <row r="43" spans="1:9" ht="16.5">
      <c r="A43" s="757" t="s">
        <v>653</v>
      </c>
      <c r="B43" s="369" t="s">
        <v>470</v>
      </c>
      <c r="C43" s="371">
        <v>45323</v>
      </c>
      <c r="D43" s="373">
        <v>10000</v>
      </c>
      <c r="E43" s="380">
        <v>0</v>
      </c>
      <c r="F43" s="377">
        <f>5000+5000</f>
        <v>10000</v>
      </c>
      <c r="G43" s="373">
        <f>22361.11</f>
        <v>22361.11</v>
      </c>
      <c r="H43" s="373">
        <f t="shared" si="0"/>
        <v>42361.11</v>
      </c>
      <c r="I43" s="386"/>
    </row>
    <row r="44" spans="1:9" ht="16.5">
      <c r="A44" s="757" t="s">
        <v>654</v>
      </c>
      <c r="B44" s="369" t="s">
        <v>655</v>
      </c>
      <c r="C44" s="371">
        <v>45323</v>
      </c>
      <c r="D44" s="373">
        <f>10000</f>
        <v>10000</v>
      </c>
      <c r="E44" s="380">
        <v>0</v>
      </c>
      <c r="F44" s="377">
        <f>5000+5000</f>
        <v>10000</v>
      </c>
      <c r="G44" s="373">
        <f>20000</f>
        <v>20000</v>
      </c>
      <c r="H44" s="373">
        <f t="shared" si="0"/>
        <v>40000</v>
      </c>
      <c r="I44" s="386"/>
    </row>
    <row r="45" spans="1:9" ht="16.5">
      <c r="A45" s="757" t="s">
        <v>656</v>
      </c>
      <c r="B45" s="369" t="s">
        <v>657</v>
      </c>
      <c r="C45" s="371">
        <v>45323</v>
      </c>
      <c r="D45" s="375">
        <f>5000</f>
        <v>5000</v>
      </c>
      <c r="E45" s="375">
        <v>0</v>
      </c>
      <c r="F45" s="377">
        <f>5000+5000</f>
        <v>10000</v>
      </c>
      <c r="G45" s="375">
        <f>35704.84</f>
        <v>35704.839999999997</v>
      </c>
      <c r="H45" s="373">
        <f t="shared" si="0"/>
        <v>50704.84</v>
      </c>
      <c r="I45" s="386"/>
    </row>
    <row r="46" spans="1:9" ht="16.5">
      <c r="A46" s="757" t="s">
        <v>658</v>
      </c>
      <c r="B46" s="369" t="s">
        <v>454</v>
      </c>
      <c r="C46" s="371">
        <v>45323</v>
      </c>
      <c r="D46" s="375">
        <v>10000</v>
      </c>
      <c r="E46" s="375">
        <v>0</v>
      </c>
      <c r="F46" s="375">
        <f>5000+5000</f>
        <v>10000</v>
      </c>
      <c r="G46" s="375">
        <f>32000</f>
        <v>32000</v>
      </c>
      <c r="H46" s="373">
        <f t="shared" si="0"/>
        <v>52000</v>
      </c>
      <c r="I46" s="386"/>
    </row>
    <row r="47" spans="1:9" ht="16">
      <c r="A47" s="757" t="s">
        <v>659</v>
      </c>
      <c r="B47" s="369" t="s">
        <v>660</v>
      </c>
      <c r="C47" s="371">
        <v>45323</v>
      </c>
      <c r="D47" s="375">
        <v>0</v>
      </c>
      <c r="E47" s="375">
        <v>0</v>
      </c>
      <c r="F47" s="375">
        <v>0</v>
      </c>
      <c r="G47" s="375">
        <v>0</v>
      </c>
      <c r="H47" s="373">
        <f t="shared" si="0"/>
        <v>0</v>
      </c>
      <c r="I47" s="385"/>
    </row>
    <row r="48" spans="1:9" ht="16">
      <c r="A48" s="757" t="s">
        <v>661</v>
      </c>
      <c r="B48" s="369" t="s">
        <v>662</v>
      </c>
      <c r="C48" s="371">
        <v>45323</v>
      </c>
      <c r="D48" s="375">
        <f>0</f>
        <v>0</v>
      </c>
      <c r="E48" s="375">
        <v>0</v>
      </c>
      <c r="F48" s="375">
        <v>0</v>
      </c>
      <c r="G48" s="375">
        <f>0</f>
        <v>0</v>
      </c>
      <c r="H48" s="373">
        <f t="shared" si="0"/>
        <v>0</v>
      </c>
      <c r="I48" s="385"/>
    </row>
    <row r="49" spans="1:11" ht="16">
      <c r="A49" s="757" t="s">
        <v>663</v>
      </c>
      <c r="B49" s="369" t="s">
        <v>664</v>
      </c>
      <c r="C49" s="371">
        <v>45323</v>
      </c>
      <c r="D49" s="375">
        <f>0</f>
        <v>0</v>
      </c>
      <c r="E49" s="375">
        <v>0</v>
      </c>
      <c r="F49" s="377">
        <f>0</f>
        <v>0</v>
      </c>
      <c r="G49" s="375">
        <f>0</f>
        <v>0</v>
      </c>
      <c r="H49" s="373">
        <f t="shared" si="0"/>
        <v>0</v>
      </c>
      <c r="I49" s="385"/>
    </row>
    <row r="50" spans="1:11" ht="16.5">
      <c r="A50" s="757" t="s">
        <v>665</v>
      </c>
      <c r="B50" s="369" t="s">
        <v>461</v>
      </c>
      <c r="C50" s="371">
        <v>45323</v>
      </c>
      <c r="D50" s="375">
        <v>10000</v>
      </c>
      <c r="E50" s="375">
        <v>0</v>
      </c>
      <c r="F50" s="375">
        <f>5000+5000</f>
        <v>10000</v>
      </c>
      <c r="G50" s="381">
        <f>0</f>
        <v>0</v>
      </c>
      <c r="H50" s="373">
        <f t="shared" si="0"/>
        <v>20000</v>
      </c>
      <c r="I50" s="386"/>
    </row>
    <row r="51" spans="1:11" ht="16.5">
      <c r="A51" s="757" t="s">
        <v>666</v>
      </c>
      <c r="B51" s="369" t="s">
        <v>667</v>
      </c>
      <c r="C51" s="371">
        <v>45323</v>
      </c>
      <c r="D51" s="373">
        <v>20000</v>
      </c>
      <c r="E51" s="382">
        <f>0</f>
        <v>0</v>
      </c>
      <c r="F51" s="375">
        <f>5000+5000</f>
        <v>10000</v>
      </c>
      <c r="G51" s="375">
        <f>26430.62</f>
        <v>26430.62</v>
      </c>
      <c r="H51" s="373">
        <f t="shared" si="0"/>
        <v>56430.62</v>
      </c>
      <c r="I51" s="386"/>
      <c r="J51" s="389"/>
    </row>
    <row r="52" spans="1:11" ht="16.5">
      <c r="A52" s="757" t="s">
        <v>668</v>
      </c>
      <c r="B52" s="369" t="s">
        <v>475</v>
      </c>
      <c r="C52" s="371">
        <v>45323</v>
      </c>
      <c r="D52" s="373">
        <f>3000</f>
        <v>3000</v>
      </c>
      <c r="E52" s="373"/>
      <c r="F52" s="375">
        <f>5000+5000</f>
        <v>10000</v>
      </c>
      <c r="G52" s="373">
        <f>44000</f>
        <v>44000</v>
      </c>
      <c r="H52" s="373">
        <f t="shared" si="0"/>
        <v>57000</v>
      </c>
      <c r="I52" s="386"/>
    </row>
    <row r="53" spans="1:11" ht="16.5">
      <c r="A53" s="757" t="s">
        <v>669</v>
      </c>
      <c r="B53" s="369" t="s">
        <v>463</v>
      </c>
      <c r="C53" s="371">
        <v>45323</v>
      </c>
      <c r="D53" s="375">
        <v>10000</v>
      </c>
      <c r="E53" s="375">
        <v>0</v>
      </c>
      <c r="F53" s="375">
        <f>5000+5000</f>
        <v>10000</v>
      </c>
      <c r="G53" s="375">
        <f>15112.49</f>
        <v>15112.49</v>
      </c>
      <c r="H53" s="373">
        <f t="shared" si="0"/>
        <v>35112.49</v>
      </c>
      <c r="I53" s="386"/>
      <c r="K53" s="387"/>
    </row>
    <row r="54" spans="1:11" ht="16.5">
      <c r="A54" s="757" t="s">
        <v>670</v>
      </c>
      <c r="B54" s="369" t="s">
        <v>671</v>
      </c>
      <c r="C54" s="371">
        <v>45323</v>
      </c>
      <c r="D54" s="375">
        <v>20000</v>
      </c>
      <c r="E54" s="375">
        <v>0</v>
      </c>
      <c r="F54" s="375">
        <f>5000+5000</f>
        <v>10000</v>
      </c>
      <c r="G54" s="375">
        <f>25555.56</f>
        <v>25555.56</v>
      </c>
      <c r="H54" s="373">
        <f t="shared" si="0"/>
        <v>55555.56</v>
      </c>
      <c r="I54" s="386"/>
    </row>
    <row r="55" spans="1:11" ht="16">
      <c r="A55" s="758" t="s">
        <v>672</v>
      </c>
      <c r="B55" s="383" t="s">
        <v>673</v>
      </c>
      <c r="C55" s="371">
        <v>45323</v>
      </c>
      <c r="D55" s="384">
        <v>0</v>
      </c>
      <c r="E55" s="384">
        <v>0</v>
      </c>
      <c r="F55" s="384">
        <v>0</v>
      </c>
      <c r="G55" s="384">
        <v>0</v>
      </c>
      <c r="H55" s="373">
        <f t="shared" si="0"/>
        <v>0</v>
      </c>
      <c r="I55" s="385"/>
      <c r="K55" s="387"/>
    </row>
    <row r="56" spans="1:11" ht="16.5">
      <c r="A56" s="757" t="s">
        <v>674</v>
      </c>
      <c r="B56" s="370" t="s">
        <v>407</v>
      </c>
      <c r="C56" s="371">
        <v>45323</v>
      </c>
      <c r="D56" s="372">
        <v>100000</v>
      </c>
      <c r="E56" s="372">
        <v>0</v>
      </c>
      <c r="F56" s="372">
        <v>0</v>
      </c>
      <c r="G56" s="372">
        <v>208526.23499999999</v>
      </c>
      <c r="H56" s="373">
        <f t="shared" si="0"/>
        <v>308526.23499999999</v>
      </c>
      <c r="I56" s="386"/>
    </row>
    <row r="57" spans="1:11" ht="16">
      <c r="A57" s="757" t="s">
        <v>675</v>
      </c>
      <c r="B57" s="370" t="s">
        <v>676</v>
      </c>
      <c r="C57" s="371">
        <v>45323</v>
      </c>
      <c r="D57" s="373"/>
      <c r="E57" s="373">
        <v>0</v>
      </c>
      <c r="F57" s="373">
        <v>0</v>
      </c>
      <c r="G57" s="373">
        <v>0</v>
      </c>
      <c r="H57" s="373">
        <f t="shared" si="0"/>
        <v>0</v>
      </c>
      <c r="I57" s="385"/>
    </row>
    <row r="58" spans="1:11" ht="16.5">
      <c r="A58" s="757" t="s">
        <v>677</v>
      </c>
      <c r="B58" s="370" t="s">
        <v>678</v>
      </c>
      <c r="C58" s="371">
        <v>45323</v>
      </c>
      <c r="D58" s="373">
        <f>80000</f>
        <v>80000</v>
      </c>
      <c r="E58" s="373">
        <v>0</v>
      </c>
      <c r="F58" s="373">
        <v>0</v>
      </c>
      <c r="G58" s="375">
        <f>230499.8</f>
        <v>230499.8</v>
      </c>
      <c r="H58" s="373">
        <f t="shared" si="0"/>
        <v>310499.8</v>
      </c>
      <c r="I58" s="386"/>
      <c r="J58" s="385"/>
    </row>
    <row r="59" spans="1:11" ht="16">
      <c r="A59" s="758" t="s">
        <v>679</v>
      </c>
      <c r="B59" s="383" t="s">
        <v>680</v>
      </c>
      <c r="C59" s="371">
        <v>45323</v>
      </c>
      <c r="D59" s="384">
        <v>0</v>
      </c>
      <c r="E59" s="384">
        <v>0</v>
      </c>
      <c r="F59" s="384">
        <v>0</v>
      </c>
      <c r="G59" s="384">
        <v>0</v>
      </c>
      <c r="H59" s="373">
        <f t="shared" si="0"/>
        <v>0</v>
      </c>
      <c r="I59" s="385"/>
    </row>
    <row r="60" spans="1:11" ht="16.5">
      <c r="A60" s="757" t="s">
        <v>681</v>
      </c>
      <c r="B60" s="369" t="s">
        <v>682</v>
      </c>
      <c r="C60" s="371">
        <v>45323</v>
      </c>
      <c r="D60" s="375">
        <f>30000</f>
        <v>30000</v>
      </c>
      <c r="E60" s="375">
        <v>0</v>
      </c>
      <c r="F60" s="375">
        <f>10000</f>
        <v>10000</v>
      </c>
      <c r="G60" s="375">
        <f>70000</f>
        <v>70000</v>
      </c>
      <c r="H60" s="373">
        <f t="shared" si="0"/>
        <v>110000</v>
      </c>
      <c r="I60" s="386"/>
    </row>
    <row r="61" spans="1:11" ht="16">
      <c r="A61" s="757" t="s">
        <v>683</v>
      </c>
      <c r="B61" s="369" t="s">
        <v>684</v>
      </c>
      <c r="C61" s="371">
        <v>45323</v>
      </c>
      <c r="D61" s="375">
        <f>0</f>
        <v>0</v>
      </c>
      <c r="E61" s="375">
        <v>0</v>
      </c>
      <c r="F61" s="375">
        <v>0</v>
      </c>
      <c r="G61" s="375">
        <f>0</f>
        <v>0</v>
      </c>
      <c r="H61" s="373">
        <f t="shared" si="0"/>
        <v>0</v>
      </c>
      <c r="I61" s="385"/>
    </row>
    <row r="62" spans="1:11" ht="16">
      <c r="A62" s="757" t="s">
        <v>685</v>
      </c>
      <c r="B62" s="369" t="s">
        <v>686</v>
      </c>
      <c r="C62" s="371">
        <v>45323</v>
      </c>
      <c r="D62" s="376">
        <v>0</v>
      </c>
      <c r="E62" s="376">
        <v>0</v>
      </c>
      <c r="F62" s="376">
        <v>0</v>
      </c>
      <c r="G62" s="376">
        <v>0</v>
      </c>
      <c r="H62" s="373">
        <f t="shared" si="0"/>
        <v>0</v>
      </c>
      <c r="I62" s="385"/>
    </row>
    <row r="63" spans="1:11" ht="16.5">
      <c r="A63" s="757" t="s">
        <v>687</v>
      </c>
      <c r="B63" s="369" t="s">
        <v>688</v>
      </c>
      <c r="C63" s="371">
        <v>45323</v>
      </c>
      <c r="D63" s="375">
        <f>0</f>
        <v>0</v>
      </c>
      <c r="E63" s="375"/>
      <c r="F63" s="375"/>
      <c r="G63" s="375">
        <f>0</f>
        <v>0</v>
      </c>
      <c r="H63" s="373">
        <f t="shared" si="0"/>
        <v>0</v>
      </c>
      <c r="I63" s="386"/>
    </row>
    <row r="64" spans="1:11" ht="16">
      <c r="A64" s="757" t="s">
        <v>689</v>
      </c>
      <c r="B64" s="369" t="s">
        <v>690</v>
      </c>
      <c r="C64" s="371">
        <v>45323</v>
      </c>
      <c r="D64" s="375">
        <f>0</f>
        <v>0</v>
      </c>
      <c r="E64" s="375">
        <v>0</v>
      </c>
      <c r="F64" s="375">
        <f>0</f>
        <v>0</v>
      </c>
      <c r="G64" s="375"/>
      <c r="H64" s="373">
        <f t="shared" si="0"/>
        <v>0</v>
      </c>
      <c r="I64" s="385"/>
    </row>
    <row r="65" spans="1:9" ht="16.5">
      <c r="A65" s="757" t="s">
        <v>691</v>
      </c>
      <c r="B65" s="369" t="s">
        <v>413</v>
      </c>
      <c r="C65" s="371">
        <v>45323</v>
      </c>
      <c r="D65" s="375">
        <f>0</f>
        <v>0</v>
      </c>
      <c r="E65" s="375">
        <v>0</v>
      </c>
      <c r="F65" s="375">
        <v>0</v>
      </c>
      <c r="G65" s="375">
        <f>133333.33+30000</f>
        <v>163333.32999999999</v>
      </c>
      <c r="H65" s="373">
        <f t="shared" si="0"/>
        <v>163333.32999999999</v>
      </c>
      <c r="I65" s="386"/>
    </row>
    <row r="66" spans="1:9" ht="16.5">
      <c r="A66" s="757" t="s">
        <v>692</v>
      </c>
      <c r="B66" s="369" t="s">
        <v>693</v>
      </c>
      <c r="C66" s="371">
        <v>45323</v>
      </c>
      <c r="D66" s="375"/>
      <c r="E66" s="375"/>
      <c r="F66" s="375"/>
      <c r="G66" s="375"/>
      <c r="H66" s="373">
        <f t="shared" si="0"/>
        <v>0</v>
      </c>
      <c r="I66" s="386"/>
    </row>
    <row r="67" spans="1:9" ht="16.5">
      <c r="A67" s="757" t="s">
        <v>694</v>
      </c>
      <c r="B67" s="369" t="s">
        <v>460</v>
      </c>
      <c r="C67" s="371">
        <v>45323</v>
      </c>
      <c r="D67" s="375">
        <v>5000</v>
      </c>
      <c r="E67" s="375">
        <v>0</v>
      </c>
      <c r="F67" s="375">
        <f>5000+5000</f>
        <v>10000</v>
      </c>
      <c r="G67" s="375">
        <f>14524.11</f>
        <v>14524.11</v>
      </c>
      <c r="H67" s="373">
        <f t="shared" si="0"/>
        <v>29524.11</v>
      </c>
      <c r="I67" s="386"/>
    </row>
    <row r="68" spans="1:9" ht="16.5">
      <c r="A68" s="757" t="s">
        <v>695</v>
      </c>
      <c r="B68" s="369" t="s">
        <v>309</v>
      </c>
      <c r="C68" s="371">
        <v>45323</v>
      </c>
      <c r="D68" s="375">
        <v>30000</v>
      </c>
      <c r="E68" s="375">
        <v>0</v>
      </c>
      <c r="F68" s="375"/>
      <c r="G68" s="381">
        <f>176288.88</f>
        <v>176288.88</v>
      </c>
      <c r="H68" s="373">
        <f t="shared" si="0"/>
        <v>206288.88</v>
      </c>
      <c r="I68" s="386"/>
    </row>
    <row r="69" spans="1:9" ht="16.5">
      <c r="A69" s="757" t="s">
        <v>696</v>
      </c>
      <c r="B69" s="369" t="s">
        <v>697</v>
      </c>
      <c r="C69" s="371">
        <v>45323</v>
      </c>
      <c r="D69" s="375">
        <v>80000</v>
      </c>
      <c r="E69" s="375">
        <v>0</v>
      </c>
      <c r="F69" s="375">
        <f>23000</f>
        <v>23000</v>
      </c>
      <c r="G69" s="375">
        <v>246905.964583333</v>
      </c>
      <c r="H69" s="373">
        <f t="shared" si="0"/>
        <v>349905.964583333</v>
      </c>
      <c r="I69" s="386"/>
    </row>
    <row r="70" spans="1:9" ht="16">
      <c r="A70" s="757" t="s">
        <v>698</v>
      </c>
      <c r="B70" s="369" t="s">
        <v>252</v>
      </c>
      <c r="C70" s="371">
        <v>45323</v>
      </c>
      <c r="D70" s="375">
        <v>0</v>
      </c>
      <c r="E70" s="375">
        <v>0</v>
      </c>
      <c r="F70" s="375">
        <v>0</v>
      </c>
      <c r="G70" s="375">
        <v>0</v>
      </c>
      <c r="H70" s="373">
        <f t="shared" ref="H70:H133" si="1">D70+E70+F70+G70</f>
        <v>0</v>
      </c>
      <c r="I70" s="385"/>
    </row>
    <row r="71" spans="1:9" ht="16.5">
      <c r="A71" s="757" t="s">
        <v>699</v>
      </c>
      <c r="B71" s="369" t="s">
        <v>700</v>
      </c>
      <c r="C71" s="371">
        <v>45323</v>
      </c>
      <c r="D71" s="375">
        <f>70000</f>
        <v>70000</v>
      </c>
      <c r="E71" s="375">
        <f>0</f>
        <v>0</v>
      </c>
      <c r="F71" s="375">
        <v>0</v>
      </c>
      <c r="G71" s="375">
        <f>50000</f>
        <v>50000</v>
      </c>
      <c r="H71" s="373">
        <f t="shared" si="1"/>
        <v>120000</v>
      </c>
      <c r="I71" s="386"/>
    </row>
    <row r="72" spans="1:9" ht="16">
      <c r="A72" s="757" t="s">
        <v>701</v>
      </c>
      <c r="B72" s="369" t="s">
        <v>702</v>
      </c>
      <c r="C72" s="371">
        <v>45323</v>
      </c>
      <c r="D72" s="375">
        <f>10000</f>
        <v>10000</v>
      </c>
      <c r="E72" s="375">
        <v>0</v>
      </c>
      <c r="F72" s="375">
        <v>0</v>
      </c>
      <c r="G72" s="375">
        <f>54585.66</f>
        <v>54585.66</v>
      </c>
      <c r="H72" s="373">
        <f t="shared" si="1"/>
        <v>64585.66</v>
      </c>
      <c r="I72" s="388"/>
    </row>
    <row r="73" spans="1:9" ht="16.5">
      <c r="A73" s="757" t="s">
        <v>703</v>
      </c>
      <c r="B73" s="369" t="s">
        <v>704</v>
      </c>
      <c r="C73" s="371">
        <v>45323</v>
      </c>
      <c r="D73" s="375">
        <v>10000</v>
      </c>
      <c r="E73" s="375">
        <v>0</v>
      </c>
      <c r="F73" s="375">
        <f>5000+5000</f>
        <v>10000</v>
      </c>
      <c r="G73" s="375">
        <f>13750</f>
        <v>13750</v>
      </c>
      <c r="H73" s="373">
        <f t="shared" si="1"/>
        <v>33750</v>
      </c>
      <c r="I73" s="386"/>
    </row>
    <row r="74" spans="1:9" ht="17.5">
      <c r="A74" s="757" t="s">
        <v>705</v>
      </c>
      <c r="B74" s="369" t="s">
        <v>469</v>
      </c>
      <c r="C74" s="371">
        <v>45323</v>
      </c>
      <c r="D74" s="375">
        <f>10000</f>
        <v>10000</v>
      </c>
      <c r="E74" s="375">
        <v>0</v>
      </c>
      <c r="F74" s="375">
        <f>5000+5000</f>
        <v>10000</v>
      </c>
      <c r="G74" s="393">
        <f>16958.34</f>
        <v>16958.34</v>
      </c>
      <c r="H74" s="373">
        <f t="shared" si="1"/>
        <v>36958.339999999997</v>
      </c>
      <c r="I74" s="386"/>
    </row>
    <row r="75" spans="1:9" ht="16">
      <c r="A75" s="757" t="s">
        <v>706</v>
      </c>
      <c r="B75" s="369" t="s">
        <v>707</v>
      </c>
      <c r="C75" s="371">
        <v>45323</v>
      </c>
      <c r="D75" s="375">
        <f>0</f>
        <v>0</v>
      </c>
      <c r="E75" s="375">
        <v>0</v>
      </c>
      <c r="F75" s="375">
        <f>0</f>
        <v>0</v>
      </c>
      <c r="G75" s="375">
        <f>0</f>
        <v>0</v>
      </c>
      <c r="H75" s="373">
        <f t="shared" si="1"/>
        <v>0</v>
      </c>
      <c r="I75" s="385"/>
    </row>
    <row r="76" spans="1:9" ht="17.5">
      <c r="A76" s="757" t="s">
        <v>708</v>
      </c>
      <c r="B76" s="369" t="s">
        <v>709</v>
      </c>
      <c r="C76" s="371">
        <v>45323</v>
      </c>
      <c r="D76" s="393">
        <f>20000</f>
        <v>20000</v>
      </c>
      <c r="E76" s="380"/>
      <c r="F76" s="380"/>
      <c r="G76" s="375">
        <f>111833.33</f>
        <v>111833.33</v>
      </c>
      <c r="H76" s="373">
        <f t="shared" si="1"/>
        <v>131833.32999999999</v>
      </c>
      <c r="I76" s="386"/>
    </row>
    <row r="77" spans="1:9" ht="16.5">
      <c r="A77" s="757" t="s">
        <v>710</v>
      </c>
      <c r="B77" s="369" t="s">
        <v>711</v>
      </c>
      <c r="C77" s="371">
        <v>45323</v>
      </c>
      <c r="D77" s="375"/>
      <c r="E77" s="375"/>
      <c r="F77" s="375"/>
      <c r="G77" s="394"/>
      <c r="H77" s="373">
        <f t="shared" si="1"/>
        <v>0</v>
      </c>
      <c r="I77" s="386"/>
    </row>
    <row r="78" spans="1:9" ht="16">
      <c r="A78" s="757" t="s">
        <v>712</v>
      </c>
      <c r="B78" s="369" t="s">
        <v>713</v>
      </c>
      <c r="C78" s="371">
        <v>45323</v>
      </c>
      <c r="D78" s="375">
        <v>0</v>
      </c>
      <c r="E78" s="375">
        <v>0</v>
      </c>
      <c r="F78" s="375">
        <v>0</v>
      </c>
      <c r="G78" s="375"/>
      <c r="H78" s="373">
        <f t="shared" si="1"/>
        <v>0</v>
      </c>
      <c r="I78" s="388"/>
    </row>
    <row r="79" spans="1:9" ht="16">
      <c r="A79" s="757" t="s">
        <v>714</v>
      </c>
      <c r="B79" s="369" t="s">
        <v>715</v>
      </c>
      <c r="C79" s="371">
        <v>45323</v>
      </c>
      <c r="D79" s="375">
        <v>0</v>
      </c>
      <c r="E79" s="375">
        <v>0</v>
      </c>
      <c r="F79" s="375">
        <v>0</v>
      </c>
      <c r="G79" s="375"/>
      <c r="H79" s="373">
        <f t="shared" si="1"/>
        <v>0</v>
      </c>
      <c r="I79" s="385"/>
    </row>
    <row r="80" spans="1:9" ht="16.5">
      <c r="A80" s="757" t="s">
        <v>716</v>
      </c>
      <c r="B80" s="369" t="s">
        <v>717</v>
      </c>
      <c r="C80" s="371">
        <v>45323</v>
      </c>
      <c r="D80" s="375">
        <v>20000</v>
      </c>
      <c r="E80" s="375">
        <v>0</v>
      </c>
      <c r="F80" s="375">
        <v>0</v>
      </c>
      <c r="G80" s="375">
        <f>68750</f>
        <v>68750</v>
      </c>
      <c r="H80" s="373">
        <f t="shared" si="1"/>
        <v>88750</v>
      </c>
      <c r="I80" s="386"/>
    </row>
    <row r="81" spans="1:9" ht="16.5">
      <c r="A81" s="757" t="s">
        <v>718</v>
      </c>
      <c r="B81" s="369" t="s">
        <v>719</v>
      </c>
      <c r="C81" s="371">
        <v>45323</v>
      </c>
      <c r="D81" s="375">
        <f>37500</f>
        <v>37500</v>
      </c>
      <c r="E81" s="375">
        <v>0</v>
      </c>
      <c r="F81" s="375"/>
      <c r="G81" s="375"/>
      <c r="H81" s="373">
        <f t="shared" si="1"/>
        <v>37500</v>
      </c>
      <c r="I81" s="386"/>
    </row>
    <row r="82" spans="1:9" ht="16">
      <c r="A82" s="757" t="s">
        <v>720</v>
      </c>
      <c r="B82" s="369" t="s">
        <v>721</v>
      </c>
      <c r="C82" s="371">
        <v>45323</v>
      </c>
      <c r="D82" s="372">
        <v>0</v>
      </c>
      <c r="E82" s="372">
        <v>0</v>
      </c>
      <c r="F82" s="372">
        <v>0</v>
      </c>
      <c r="G82" s="376">
        <v>0</v>
      </c>
      <c r="H82" s="373">
        <f t="shared" si="1"/>
        <v>0</v>
      </c>
      <c r="I82" s="385"/>
    </row>
    <row r="83" spans="1:9" ht="16.5">
      <c r="A83" s="757" t="s">
        <v>722</v>
      </c>
      <c r="B83" s="369" t="s">
        <v>723</v>
      </c>
      <c r="C83" s="371">
        <v>45323</v>
      </c>
      <c r="D83" s="375">
        <v>50000</v>
      </c>
      <c r="E83" s="375">
        <v>0</v>
      </c>
      <c r="F83" s="375"/>
      <c r="G83" s="394">
        <f>103000</f>
        <v>103000</v>
      </c>
      <c r="H83" s="373">
        <f t="shared" si="1"/>
        <v>153000</v>
      </c>
      <c r="I83" s="386"/>
    </row>
    <row r="84" spans="1:9" ht="16.5">
      <c r="A84" s="757" t="s">
        <v>724</v>
      </c>
      <c r="B84" s="369" t="s">
        <v>725</v>
      </c>
      <c r="C84" s="371">
        <v>45323</v>
      </c>
      <c r="D84" s="375">
        <v>100000</v>
      </c>
      <c r="E84" s="375">
        <v>0</v>
      </c>
      <c r="F84" s="375">
        <v>10000</v>
      </c>
      <c r="G84" s="375"/>
      <c r="H84" s="373">
        <f t="shared" si="1"/>
        <v>110000</v>
      </c>
      <c r="I84" s="386"/>
    </row>
    <row r="85" spans="1:9" ht="16">
      <c r="A85" s="757" t="s">
        <v>726</v>
      </c>
      <c r="B85" s="369" t="s">
        <v>727</v>
      </c>
      <c r="C85" s="371">
        <v>45323</v>
      </c>
      <c r="D85" s="375">
        <v>0</v>
      </c>
      <c r="E85" s="375">
        <v>0</v>
      </c>
      <c r="F85" s="375">
        <v>0</v>
      </c>
      <c r="G85" s="375"/>
      <c r="H85" s="373">
        <f t="shared" si="1"/>
        <v>0</v>
      </c>
      <c r="I85" s="385"/>
    </row>
    <row r="86" spans="1:9" ht="16">
      <c r="A86" s="757" t="s">
        <v>728</v>
      </c>
      <c r="B86" s="369" t="s">
        <v>729</v>
      </c>
      <c r="C86" s="371">
        <v>45323</v>
      </c>
      <c r="D86" s="375">
        <f>0</f>
        <v>0</v>
      </c>
      <c r="E86" s="375">
        <v>0</v>
      </c>
      <c r="F86" s="375">
        <f>0</f>
        <v>0</v>
      </c>
      <c r="G86" s="375">
        <f>0</f>
        <v>0</v>
      </c>
      <c r="H86" s="373">
        <f t="shared" si="1"/>
        <v>0</v>
      </c>
      <c r="I86" s="385"/>
    </row>
    <row r="87" spans="1:9" ht="16.5">
      <c r="A87" s="757" t="s">
        <v>730</v>
      </c>
      <c r="B87" s="369" t="s">
        <v>731</v>
      </c>
      <c r="C87" s="371">
        <v>45323</v>
      </c>
      <c r="D87" s="375">
        <v>15000</v>
      </c>
      <c r="E87" s="375">
        <f>0</f>
        <v>0</v>
      </c>
      <c r="F87" s="375">
        <v>0</v>
      </c>
      <c r="G87" s="375">
        <f>133333.34+25000+33333.33+25000</f>
        <v>216666.67</v>
      </c>
      <c r="H87" s="373">
        <f t="shared" si="1"/>
        <v>231666.67</v>
      </c>
      <c r="I87" s="386"/>
    </row>
    <row r="88" spans="1:9" ht="16.5">
      <c r="A88" s="757" t="s">
        <v>732</v>
      </c>
      <c r="B88" s="369" t="s">
        <v>733</v>
      </c>
      <c r="C88" s="371">
        <v>45323</v>
      </c>
      <c r="D88" s="375">
        <v>50000</v>
      </c>
      <c r="E88" s="375">
        <v>0</v>
      </c>
      <c r="F88" s="375">
        <f>20000</f>
        <v>20000</v>
      </c>
      <c r="G88" s="375">
        <f>0</f>
        <v>0</v>
      </c>
      <c r="H88" s="373">
        <f t="shared" si="1"/>
        <v>70000</v>
      </c>
      <c r="I88" s="386"/>
    </row>
    <row r="89" spans="1:9" ht="16">
      <c r="A89" s="757" t="s">
        <v>734</v>
      </c>
      <c r="B89" s="369" t="s">
        <v>735</v>
      </c>
      <c r="C89" s="371">
        <v>45323</v>
      </c>
      <c r="D89" s="375">
        <f>50000</f>
        <v>50000</v>
      </c>
      <c r="E89" s="375">
        <v>0</v>
      </c>
      <c r="F89" s="375"/>
      <c r="G89" s="375"/>
      <c r="H89" s="373">
        <f t="shared" si="1"/>
        <v>50000</v>
      </c>
      <c r="I89" s="385"/>
    </row>
    <row r="90" spans="1:9" ht="16">
      <c r="A90" s="757" t="s">
        <v>736</v>
      </c>
      <c r="B90" s="369" t="s">
        <v>737</v>
      </c>
      <c r="C90" s="371">
        <v>45323</v>
      </c>
      <c r="D90" s="379"/>
      <c r="E90" s="375">
        <v>0</v>
      </c>
      <c r="F90" s="375"/>
      <c r="G90" s="375"/>
      <c r="H90" s="373">
        <f t="shared" si="1"/>
        <v>0</v>
      </c>
      <c r="I90" s="385"/>
    </row>
    <row r="91" spans="1:9" ht="16.5">
      <c r="A91" s="757" t="s">
        <v>738</v>
      </c>
      <c r="B91" s="369" t="s">
        <v>739</v>
      </c>
      <c r="C91" s="371">
        <v>45323</v>
      </c>
      <c r="D91" s="375">
        <f>10000</f>
        <v>10000</v>
      </c>
      <c r="E91" s="375">
        <v>0</v>
      </c>
      <c r="F91" s="375"/>
      <c r="G91" s="379"/>
      <c r="H91" s="373">
        <f t="shared" si="1"/>
        <v>10000</v>
      </c>
      <c r="I91" s="386"/>
    </row>
    <row r="92" spans="1:9" ht="16.5">
      <c r="A92" s="757" t="s">
        <v>740</v>
      </c>
      <c r="B92" s="369" t="s">
        <v>741</v>
      </c>
      <c r="C92" s="371">
        <v>45323</v>
      </c>
      <c r="D92" s="375">
        <f>50000</f>
        <v>50000</v>
      </c>
      <c r="E92" s="375">
        <v>0</v>
      </c>
      <c r="F92" s="375"/>
      <c r="G92" s="381">
        <f>79861.11</f>
        <v>79861.11</v>
      </c>
      <c r="H92" s="373">
        <f t="shared" si="1"/>
        <v>129861.11</v>
      </c>
      <c r="I92" s="386"/>
    </row>
    <row r="93" spans="1:9" ht="16.5">
      <c r="A93" s="757" t="s">
        <v>742</v>
      </c>
      <c r="B93" s="369" t="s">
        <v>743</v>
      </c>
      <c r="C93" s="371">
        <v>45323</v>
      </c>
      <c r="D93" s="375">
        <f>30000</f>
        <v>30000</v>
      </c>
      <c r="E93" s="375">
        <v>0</v>
      </c>
      <c r="F93" s="375">
        <v>0</v>
      </c>
      <c r="G93" s="373">
        <f>68750+30000</f>
        <v>98750</v>
      </c>
      <c r="H93" s="373">
        <f t="shared" si="1"/>
        <v>128750</v>
      </c>
      <c r="I93" s="386"/>
    </row>
    <row r="94" spans="1:9" ht="16">
      <c r="A94" s="757" t="s">
        <v>744</v>
      </c>
      <c r="B94" s="369" t="s">
        <v>745</v>
      </c>
      <c r="C94" s="371">
        <v>45323</v>
      </c>
      <c r="D94" s="375">
        <v>0</v>
      </c>
      <c r="E94" s="375">
        <v>0</v>
      </c>
      <c r="F94" s="376">
        <v>0</v>
      </c>
      <c r="G94" s="375">
        <v>0</v>
      </c>
      <c r="H94" s="373">
        <f t="shared" si="1"/>
        <v>0</v>
      </c>
      <c r="I94" s="385"/>
    </row>
    <row r="95" spans="1:9" ht="16.5">
      <c r="A95" s="757" t="s">
        <v>746</v>
      </c>
      <c r="B95" s="369" t="s">
        <v>485</v>
      </c>
      <c r="C95" s="371">
        <v>45323</v>
      </c>
      <c r="D95" s="375">
        <f>10000</f>
        <v>10000</v>
      </c>
      <c r="E95" s="375">
        <v>0</v>
      </c>
      <c r="F95" s="377">
        <f>5000+5000</f>
        <v>10000</v>
      </c>
      <c r="G95" s="375">
        <f>8416.67</f>
        <v>8416.67</v>
      </c>
      <c r="H95" s="373">
        <f t="shared" si="1"/>
        <v>28416.67</v>
      </c>
      <c r="I95" s="386"/>
    </row>
    <row r="96" spans="1:9" ht="16.5">
      <c r="A96" s="757" t="s">
        <v>747</v>
      </c>
      <c r="B96" s="369" t="s">
        <v>748</v>
      </c>
      <c r="C96" s="371">
        <v>45323</v>
      </c>
      <c r="D96" s="375">
        <f>20000</f>
        <v>20000</v>
      </c>
      <c r="E96" s="375">
        <v>0</v>
      </c>
      <c r="F96" s="375">
        <f>5000+5000</f>
        <v>10000</v>
      </c>
      <c r="G96" s="375">
        <f>25555.56</f>
        <v>25555.56</v>
      </c>
      <c r="H96" s="373">
        <f t="shared" si="1"/>
        <v>55555.56</v>
      </c>
      <c r="I96" s="386"/>
    </row>
    <row r="97" spans="1:9" ht="16.5">
      <c r="A97" s="757" t="s">
        <v>749</v>
      </c>
      <c r="B97" s="369" t="s">
        <v>750</v>
      </c>
      <c r="C97" s="371">
        <v>45323</v>
      </c>
      <c r="D97" s="375">
        <f>5000</f>
        <v>5000</v>
      </c>
      <c r="E97" s="375">
        <v>0</v>
      </c>
      <c r="F97" s="377">
        <f>5000+5000</f>
        <v>10000</v>
      </c>
      <c r="G97" s="375">
        <f>15972.22</f>
        <v>15972.22</v>
      </c>
      <c r="H97" s="373">
        <f t="shared" si="1"/>
        <v>30972.22</v>
      </c>
      <c r="I97" s="386"/>
    </row>
    <row r="98" spans="1:9" ht="16.5">
      <c r="A98" s="757" t="s">
        <v>751</v>
      </c>
      <c r="B98" s="369" t="s">
        <v>752</v>
      </c>
      <c r="C98" s="371">
        <v>45323</v>
      </c>
      <c r="D98" s="375">
        <v>10000</v>
      </c>
      <c r="E98" s="375">
        <v>0</v>
      </c>
      <c r="F98" s="375">
        <f>10000</f>
        <v>10000</v>
      </c>
      <c r="G98" s="375">
        <f>30000</f>
        <v>30000</v>
      </c>
      <c r="H98" s="373">
        <f t="shared" si="1"/>
        <v>50000</v>
      </c>
      <c r="I98" s="386"/>
    </row>
    <row r="99" spans="1:9" ht="16">
      <c r="A99" s="757" t="s">
        <v>753</v>
      </c>
      <c r="B99" s="369" t="s">
        <v>754</v>
      </c>
      <c r="C99" s="371">
        <v>45323</v>
      </c>
      <c r="D99" s="375">
        <v>0</v>
      </c>
      <c r="E99" s="375">
        <v>0</v>
      </c>
      <c r="F99" s="375">
        <v>0</v>
      </c>
      <c r="G99" s="375">
        <v>0</v>
      </c>
      <c r="H99" s="373">
        <f t="shared" si="1"/>
        <v>0</v>
      </c>
      <c r="I99" s="385"/>
    </row>
    <row r="100" spans="1:9" ht="16">
      <c r="A100" s="757" t="s">
        <v>755</v>
      </c>
      <c r="B100" s="369" t="s">
        <v>756</v>
      </c>
      <c r="C100" s="371">
        <v>45323</v>
      </c>
      <c r="D100" s="375">
        <f>0</f>
        <v>0</v>
      </c>
      <c r="E100" s="375">
        <v>0</v>
      </c>
      <c r="F100" s="375">
        <v>0</v>
      </c>
      <c r="G100" s="375">
        <f>0</f>
        <v>0</v>
      </c>
      <c r="H100" s="373">
        <f t="shared" si="1"/>
        <v>0</v>
      </c>
      <c r="I100" s="385"/>
    </row>
    <row r="101" spans="1:9" ht="16">
      <c r="A101" s="757" t="s">
        <v>757</v>
      </c>
      <c r="B101" s="369" t="s">
        <v>758</v>
      </c>
      <c r="C101" s="371">
        <v>45323</v>
      </c>
      <c r="D101" s="375">
        <v>0</v>
      </c>
      <c r="E101" s="375">
        <v>0</v>
      </c>
      <c r="F101" s="375">
        <v>0</v>
      </c>
      <c r="G101" s="375">
        <v>0</v>
      </c>
      <c r="H101" s="373">
        <f t="shared" si="1"/>
        <v>0</v>
      </c>
      <c r="I101" s="385"/>
    </row>
    <row r="102" spans="1:9" ht="16.5">
      <c r="A102" s="757" t="s">
        <v>759</v>
      </c>
      <c r="B102" s="369" t="s">
        <v>760</v>
      </c>
      <c r="C102" s="371">
        <v>45323</v>
      </c>
      <c r="D102" s="375">
        <f>10000</f>
        <v>10000</v>
      </c>
      <c r="E102" s="375">
        <v>0</v>
      </c>
      <c r="F102" s="375">
        <v>0</v>
      </c>
      <c r="G102" s="375">
        <f>50000</f>
        <v>50000</v>
      </c>
      <c r="H102" s="373">
        <f t="shared" si="1"/>
        <v>60000</v>
      </c>
      <c r="I102" s="386"/>
    </row>
    <row r="103" spans="1:9" ht="16">
      <c r="A103" s="757" t="s">
        <v>761</v>
      </c>
      <c r="B103" s="369" t="s">
        <v>762</v>
      </c>
      <c r="C103" s="371">
        <v>45323</v>
      </c>
      <c r="D103" s="375">
        <v>0</v>
      </c>
      <c r="E103" s="375">
        <v>0</v>
      </c>
      <c r="F103" s="375">
        <v>0</v>
      </c>
      <c r="G103" s="375">
        <v>0</v>
      </c>
      <c r="H103" s="373">
        <f t="shared" si="1"/>
        <v>0</v>
      </c>
      <c r="I103" s="385"/>
    </row>
    <row r="104" spans="1:9" ht="16.5">
      <c r="A104" s="757" t="s">
        <v>763</v>
      </c>
      <c r="B104" s="369" t="s">
        <v>764</v>
      </c>
      <c r="C104" s="371">
        <v>45323</v>
      </c>
      <c r="D104" s="375"/>
      <c r="E104" s="375"/>
      <c r="F104" s="375"/>
      <c r="G104" s="375">
        <f>0</f>
        <v>0</v>
      </c>
      <c r="H104" s="373">
        <f t="shared" si="1"/>
        <v>0</v>
      </c>
      <c r="I104" s="386"/>
    </row>
    <row r="105" spans="1:9" ht="16">
      <c r="A105" s="757" t="s">
        <v>765</v>
      </c>
      <c r="B105" s="369" t="s">
        <v>766</v>
      </c>
      <c r="C105" s="371">
        <v>45323</v>
      </c>
      <c r="D105" s="375"/>
      <c r="E105" s="375"/>
      <c r="F105" s="375"/>
      <c r="G105" s="379"/>
      <c r="H105" s="373">
        <f t="shared" si="1"/>
        <v>0</v>
      </c>
      <c r="I105" s="385"/>
    </row>
    <row r="106" spans="1:9" ht="16">
      <c r="A106" s="757" t="s">
        <v>767</v>
      </c>
      <c r="B106" s="369" t="s">
        <v>768</v>
      </c>
      <c r="C106" s="371">
        <v>45323</v>
      </c>
      <c r="D106" s="375">
        <v>0</v>
      </c>
      <c r="E106" s="375">
        <v>0</v>
      </c>
      <c r="F106" s="375">
        <v>0</v>
      </c>
      <c r="G106" s="375">
        <v>0</v>
      </c>
      <c r="H106" s="373">
        <f t="shared" si="1"/>
        <v>0</v>
      </c>
      <c r="I106" s="385"/>
    </row>
    <row r="107" spans="1:9" ht="15" customHeight="1">
      <c r="A107" s="759" t="s">
        <v>769</v>
      </c>
      <c r="B107" s="369" t="s">
        <v>770</v>
      </c>
      <c r="C107" s="371">
        <v>45323</v>
      </c>
      <c r="D107" s="373">
        <f>50000</f>
        <v>50000</v>
      </c>
      <c r="E107" s="376"/>
      <c r="F107" s="376"/>
      <c r="G107" s="394">
        <f>0</f>
        <v>0</v>
      </c>
      <c r="H107" s="373">
        <f t="shared" si="1"/>
        <v>50000</v>
      </c>
      <c r="I107" s="386"/>
    </row>
    <row r="108" spans="1:9" ht="17.5">
      <c r="A108" s="760" t="s">
        <v>771</v>
      </c>
      <c r="B108" s="369" t="s">
        <v>772</v>
      </c>
      <c r="C108" s="371">
        <v>45323</v>
      </c>
      <c r="D108" s="373">
        <f>30000</f>
        <v>30000</v>
      </c>
      <c r="E108" s="375"/>
      <c r="F108" s="375">
        <f>0</f>
        <v>0</v>
      </c>
      <c r="G108" s="396">
        <f>17500</f>
        <v>17500</v>
      </c>
      <c r="H108" s="373">
        <f t="shared" si="1"/>
        <v>47500</v>
      </c>
      <c r="I108" s="386"/>
    </row>
    <row r="109" spans="1:9" ht="17.5">
      <c r="A109" s="757" t="s">
        <v>773</v>
      </c>
      <c r="B109" s="369" t="s">
        <v>774</v>
      </c>
      <c r="C109" s="371">
        <v>45323</v>
      </c>
      <c r="D109" s="375">
        <v>100000</v>
      </c>
      <c r="E109" s="375"/>
      <c r="F109" s="375">
        <v>0</v>
      </c>
      <c r="G109" s="396">
        <v>0</v>
      </c>
      <c r="H109" s="373">
        <f t="shared" si="1"/>
        <v>100000</v>
      </c>
      <c r="I109" s="386"/>
    </row>
    <row r="110" spans="1:9" ht="17.5">
      <c r="A110" s="757" t="s">
        <v>775</v>
      </c>
      <c r="B110" s="369" t="s">
        <v>776</v>
      </c>
      <c r="C110" s="371">
        <v>45323</v>
      </c>
      <c r="D110" s="375">
        <f>20000</f>
        <v>20000</v>
      </c>
      <c r="E110" s="375"/>
      <c r="F110" s="375">
        <f>10000</f>
        <v>10000</v>
      </c>
      <c r="G110" s="396">
        <v>45833.333333333299</v>
      </c>
      <c r="H110" s="373">
        <f t="shared" si="1"/>
        <v>75833.333333333299</v>
      </c>
      <c r="I110" s="386"/>
    </row>
    <row r="111" spans="1:9" ht="17.5">
      <c r="A111" s="759" t="s">
        <v>777</v>
      </c>
      <c r="B111" s="369" t="s">
        <v>354</v>
      </c>
      <c r="C111" s="371">
        <v>45323</v>
      </c>
      <c r="D111" s="393">
        <f>50000</f>
        <v>50000</v>
      </c>
      <c r="E111" s="393"/>
      <c r="F111" s="376"/>
      <c r="G111" s="393">
        <f>0</f>
        <v>0</v>
      </c>
      <c r="H111" s="373">
        <f t="shared" si="1"/>
        <v>50000</v>
      </c>
      <c r="I111" s="385"/>
    </row>
    <row r="112" spans="1:9" ht="17.5">
      <c r="A112" s="757" t="s">
        <v>778</v>
      </c>
      <c r="B112" s="369" t="s">
        <v>779</v>
      </c>
      <c r="C112" s="371">
        <v>45323</v>
      </c>
      <c r="D112" s="396">
        <f>15000</f>
        <v>15000</v>
      </c>
      <c r="E112" s="396"/>
      <c r="F112" s="375"/>
      <c r="G112" s="375">
        <f>20000</f>
        <v>20000</v>
      </c>
      <c r="H112" s="373">
        <f t="shared" si="1"/>
        <v>35000</v>
      </c>
      <c r="I112" s="386"/>
    </row>
    <row r="113" spans="1:15" ht="17.5">
      <c r="A113" s="761" t="s">
        <v>780</v>
      </c>
      <c r="B113" s="369" t="s">
        <v>355</v>
      </c>
      <c r="C113" s="371">
        <v>45323</v>
      </c>
      <c r="D113" s="393">
        <f>0</f>
        <v>0</v>
      </c>
      <c r="E113" s="396"/>
      <c r="F113" s="375"/>
      <c r="G113" s="375">
        <f>0</f>
        <v>0</v>
      </c>
      <c r="H113" s="373">
        <f t="shared" si="1"/>
        <v>0</v>
      </c>
      <c r="I113" s="385"/>
    </row>
    <row r="114" spans="1:15" ht="17.5">
      <c r="A114" s="757" t="s">
        <v>781</v>
      </c>
      <c r="B114" s="369" t="s">
        <v>782</v>
      </c>
      <c r="C114" s="371">
        <v>45323</v>
      </c>
      <c r="D114" s="396">
        <f>20000</f>
        <v>20000</v>
      </c>
      <c r="E114" s="397"/>
      <c r="F114" s="375">
        <v>0</v>
      </c>
      <c r="G114" s="375">
        <f>50000</f>
        <v>50000</v>
      </c>
      <c r="H114" s="373">
        <f t="shared" si="1"/>
        <v>70000</v>
      </c>
      <c r="I114" s="386"/>
    </row>
    <row r="115" spans="1:15" ht="17.5">
      <c r="A115" s="757" t="s">
        <v>783</v>
      </c>
      <c r="B115" s="369" t="s">
        <v>784</v>
      </c>
      <c r="C115" s="371">
        <v>45323</v>
      </c>
      <c r="D115" s="396">
        <f>10000</f>
        <v>10000</v>
      </c>
      <c r="E115" s="397"/>
      <c r="F115" s="377">
        <f>5000+5000</f>
        <v>10000</v>
      </c>
      <c r="G115" s="375">
        <f>14222.06+12000</f>
        <v>26222.06</v>
      </c>
      <c r="H115" s="373">
        <f t="shared" si="1"/>
        <v>46222.06</v>
      </c>
      <c r="I115" s="386"/>
    </row>
    <row r="116" spans="1:15" ht="17.5">
      <c r="A116" s="757" t="s">
        <v>785</v>
      </c>
      <c r="B116" s="369" t="s">
        <v>421</v>
      </c>
      <c r="C116" s="371">
        <v>45323</v>
      </c>
      <c r="D116" s="396">
        <f>35000</f>
        <v>35000</v>
      </c>
      <c r="E116" s="397"/>
      <c r="F116" s="375">
        <v>0</v>
      </c>
      <c r="G116" s="375">
        <v>159722.22222222199</v>
      </c>
      <c r="H116" s="373">
        <f t="shared" si="1"/>
        <v>194722.22222222199</v>
      </c>
      <c r="I116" s="386"/>
    </row>
    <row r="117" spans="1:15" ht="16.5">
      <c r="A117" s="761" t="s">
        <v>786</v>
      </c>
      <c r="B117" s="369" t="s">
        <v>787</v>
      </c>
      <c r="C117" s="371">
        <v>45323</v>
      </c>
      <c r="D117" s="373">
        <f>35000</f>
        <v>35000</v>
      </c>
      <c r="E117" s="373"/>
      <c r="F117" s="373">
        <f>50000</f>
        <v>50000</v>
      </c>
      <c r="G117" s="398"/>
      <c r="H117" s="373">
        <f t="shared" si="1"/>
        <v>85000</v>
      </c>
      <c r="I117" s="386"/>
    </row>
    <row r="118" spans="1:15" ht="17.5">
      <c r="A118" s="757" t="s">
        <v>788</v>
      </c>
      <c r="B118" s="369" t="s">
        <v>789</v>
      </c>
      <c r="C118" s="371">
        <v>45323</v>
      </c>
      <c r="D118" s="375">
        <f>10000</f>
        <v>10000</v>
      </c>
      <c r="E118" s="375"/>
      <c r="F118" s="377">
        <f>10000</f>
        <v>10000</v>
      </c>
      <c r="G118" s="399">
        <f>18333.33</f>
        <v>18333.330000000002</v>
      </c>
      <c r="H118" s="373">
        <f t="shared" si="1"/>
        <v>38333.33</v>
      </c>
      <c r="I118" s="386"/>
      <c r="J118" s="385"/>
      <c r="L118" s="387"/>
    </row>
    <row r="119" spans="1:15" ht="16.5">
      <c r="A119" s="757" t="s">
        <v>790</v>
      </c>
      <c r="B119" s="369" t="s">
        <v>791</v>
      </c>
      <c r="C119" s="371">
        <v>45323</v>
      </c>
      <c r="D119" s="375">
        <f>10000</f>
        <v>10000</v>
      </c>
      <c r="E119" s="375"/>
      <c r="F119" s="377">
        <f>5000+5000</f>
        <v>10000</v>
      </c>
      <c r="G119" s="375">
        <f>13125+2500</f>
        <v>15625</v>
      </c>
      <c r="H119" s="373">
        <f t="shared" si="1"/>
        <v>35625</v>
      </c>
      <c r="I119" s="386"/>
    </row>
    <row r="120" spans="1:15" ht="16.5">
      <c r="A120" s="757" t="s">
        <v>792</v>
      </c>
      <c r="B120" s="369" t="s">
        <v>793</v>
      </c>
      <c r="C120" s="371">
        <v>45323</v>
      </c>
      <c r="D120" s="375">
        <f>10000</f>
        <v>10000</v>
      </c>
      <c r="E120" s="375"/>
      <c r="F120" s="377">
        <f>10000</f>
        <v>10000</v>
      </c>
      <c r="G120" s="375">
        <f>10000</f>
        <v>10000</v>
      </c>
      <c r="H120" s="373">
        <f t="shared" si="1"/>
        <v>30000</v>
      </c>
      <c r="I120" s="386"/>
    </row>
    <row r="121" spans="1:15" ht="16.5">
      <c r="A121" s="757" t="s">
        <v>794</v>
      </c>
      <c r="B121" s="369" t="s">
        <v>795</v>
      </c>
      <c r="C121" s="371">
        <v>45323</v>
      </c>
      <c r="D121" s="375">
        <v>10000</v>
      </c>
      <c r="E121" s="375"/>
      <c r="F121" s="377"/>
      <c r="G121" s="375">
        <v>63888.89</v>
      </c>
      <c r="H121" s="373">
        <f t="shared" si="1"/>
        <v>73888.89</v>
      </c>
      <c r="I121" s="386"/>
    </row>
    <row r="122" spans="1:15" ht="16.5">
      <c r="A122" s="757" t="s">
        <v>796</v>
      </c>
      <c r="B122" s="369" t="s">
        <v>797</v>
      </c>
      <c r="C122" s="371">
        <v>45323</v>
      </c>
      <c r="D122" s="375">
        <f>50000</f>
        <v>50000</v>
      </c>
      <c r="E122" s="375"/>
      <c r="F122" s="375">
        <f>50000</f>
        <v>50000</v>
      </c>
      <c r="G122" s="375"/>
      <c r="H122" s="373">
        <f t="shared" si="1"/>
        <v>100000</v>
      </c>
      <c r="I122" s="386"/>
      <c r="O122" s="385"/>
    </row>
    <row r="123" spans="1:15" ht="17.5">
      <c r="A123" s="757" t="s">
        <v>798</v>
      </c>
      <c r="B123" s="369" t="s">
        <v>368</v>
      </c>
      <c r="C123" s="371">
        <v>45323</v>
      </c>
      <c r="D123" s="375">
        <f>5000</f>
        <v>5000</v>
      </c>
      <c r="E123" s="375"/>
      <c r="F123" s="375"/>
      <c r="G123" s="396">
        <f>64806.29</f>
        <v>64806.29</v>
      </c>
      <c r="H123" s="373">
        <f t="shared" si="1"/>
        <v>69806.289999999994</v>
      </c>
      <c r="I123" s="386"/>
      <c r="O123" s="385"/>
    </row>
    <row r="124" spans="1:15" ht="17.5">
      <c r="A124" s="757" t="s">
        <v>799</v>
      </c>
      <c r="B124" s="369" t="s">
        <v>800</v>
      </c>
      <c r="C124" s="371">
        <v>45323</v>
      </c>
      <c r="D124" s="377">
        <f>30000</f>
        <v>30000</v>
      </c>
      <c r="E124" s="377">
        <f>0</f>
        <v>0</v>
      </c>
      <c r="F124" s="377">
        <f>0</f>
        <v>0</v>
      </c>
      <c r="G124" s="400">
        <f>60000</f>
        <v>60000</v>
      </c>
      <c r="H124" s="373">
        <f t="shared" si="1"/>
        <v>90000</v>
      </c>
      <c r="I124" s="386"/>
      <c r="N124" s="385"/>
      <c r="O124" s="385"/>
    </row>
    <row r="125" spans="1:15" ht="17.5">
      <c r="A125" s="762" t="s">
        <v>801</v>
      </c>
      <c r="B125" s="369" t="s">
        <v>802</v>
      </c>
      <c r="C125" s="371">
        <v>45323</v>
      </c>
      <c r="D125" s="377">
        <f>20000</f>
        <v>20000</v>
      </c>
      <c r="E125" s="377"/>
      <c r="F125" s="394"/>
      <c r="G125" s="401">
        <f>17500</f>
        <v>17500</v>
      </c>
      <c r="H125" s="373">
        <f t="shared" si="1"/>
        <v>37500</v>
      </c>
      <c r="I125" s="386"/>
      <c r="N125" s="385"/>
      <c r="O125" s="385"/>
    </row>
    <row r="126" spans="1:15" ht="16.5">
      <c r="A126" s="762" t="s">
        <v>803</v>
      </c>
      <c r="B126" s="369" t="s">
        <v>418</v>
      </c>
      <c r="C126" s="371">
        <v>45323</v>
      </c>
      <c r="D126" s="375">
        <v>0</v>
      </c>
      <c r="E126" s="375">
        <v>0</v>
      </c>
      <c r="F126" s="375">
        <v>0</v>
      </c>
      <c r="G126" s="375">
        <f>100000</f>
        <v>100000</v>
      </c>
      <c r="H126" s="373">
        <f t="shared" si="1"/>
        <v>100000</v>
      </c>
      <c r="I126" s="386"/>
      <c r="N126" s="385"/>
      <c r="O126" s="389"/>
    </row>
    <row r="127" spans="1:15" ht="16">
      <c r="A127" s="762" t="s">
        <v>804</v>
      </c>
      <c r="B127" s="369" t="s">
        <v>805</v>
      </c>
      <c r="C127" s="371">
        <v>45323</v>
      </c>
      <c r="D127" s="375"/>
      <c r="E127" s="375"/>
      <c r="F127" s="375"/>
      <c r="G127" s="375"/>
      <c r="H127" s="373">
        <f t="shared" si="1"/>
        <v>0</v>
      </c>
      <c r="I127" s="385"/>
      <c r="N127" s="385"/>
      <c r="O127" s="387"/>
    </row>
    <row r="128" spans="1:15" ht="16">
      <c r="A128" s="762" t="s">
        <v>806</v>
      </c>
      <c r="B128" s="369" t="s">
        <v>807</v>
      </c>
      <c r="C128" s="371">
        <v>45323</v>
      </c>
      <c r="D128" s="373">
        <f>0</f>
        <v>0</v>
      </c>
      <c r="E128" s="375"/>
      <c r="F128" s="375"/>
      <c r="G128" s="375">
        <f>0</f>
        <v>0</v>
      </c>
      <c r="H128" s="373">
        <f t="shared" si="1"/>
        <v>0</v>
      </c>
      <c r="I128" s="385"/>
      <c r="N128" s="385"/>
    </row>
    <row r="129" spans="1:15" ht="16.5">
      <c r="A129" s="762" t="s">
        <v>808</v>
      </c>
      <c r="B129" s="369" t="s">
        <v>809</v>
      </c>
      <c r="C129" s="371">
        <v>45323</v>
      </c>
      <c r="D129" s="373">
        <f>50000</f>
        <v>50000</v>
      </c>
      <c r="E129" s="375"/>
      <c r="F129" s="375">
        <f>0</f>
        <v>0</v>
      </c>
      <c r="G129" s="375"/>
      <c r="H129" s="373">
        <f t="shared" si="1"/>
        <v>50000</v>
      </c>
      <c r="I129" s="386"/>
      <c r="K129" s="385"/>
    </row>
    <row r="130" spans="1:15" ht="16.5">
      <c r="A130" s="762" t="s">
        <v>808</v>
      </c>
      <c r="B130" s="369" t="s">
        <v>810</v>
      </c>
      <c r="C130" s="371">
        <v>45323</v>
      </c>
      <c r="D130" s="373"/>
      <c r="E130" s="375"/>
      <c r="F130" s="375"/>
      <c r="G130" s="375"/>
      <c r="H130" s="373">
        <f t="shared" si="1"/>
        <v>0</v>
      </c>
      <c r="I130" s="386"/>
      <c r="K130" s="385"/>
      <c r="O130" s="387"/>
    </row>
    <row r="131" spans="1:15" ht="16.5">
      <c r="A131" s="762" t="s">
        <v>811</v>
      </c>
      <c r="B131" s="369" t="s">
        <v>352</v>
      </c>
      <c r="C131" s="371">
        <v>45323</v>
      </c>
      <c r="D131" s="375">
        <f>50000</f>
        <v>50000</v>
      </c>
      <c r="E131" s="375">
        <f>0</f>
        <v>0</v>
      </c>
      <c r="F131" s="375">
        <v>0</v>
      </c>
      <c r="G131" s="375">
        <f>0</f>
        <v>0</v>
      </c>
      <c r="H131" s="373">
        <f t="shared" si="1"/>
        <v>50000</v>
      </c>
      <c r="I131" s="386"/>
      <c r="K131" s="385"/>
      <c r="L131" s="387"/>
    </row>
    <row r="132" spans="1:15" ht="16">
      <c r="A132" s="762" t="s">
        <v>812</v>
      </c>
      <c r="B132" s="369" t="s">
        <v>813</v>
      </c>
      <c r="C132" s="371">
        <v>45323</v>
      </c>
      <c r="D132" s="375">
        <f>0</f>
        <v>0</v>
      </c>
      <c r="E132" s="375">
        <f>0</f>
        <v>0</v>
      </c>
      <c r="F132" s="375">
        <f>0</f>
        <v>0</v>
      </c>
      <c r="G132" s="375">
        <v>0</v>
      </c>
      <c r="H132" s="373">
        <f t="shared" si="1"/>
        <v>0</v>
      </c>
      <c r="I132" s="385"/>
      <c r="K132" s="387"/>
      <c r="L132" s="387"/>
      <c r="N132" s="385"/>
    </row>
    <row r="133" spans="1:15" ht="16.5">
      <c r="A133" s="762" t="s">
        <v>814</v>
      </c>
      <c r="B133" s="369" t="s">
        <v>815</v>
      </c>
      <c r="C133" s="371">
        <v>45323</v>
      </c>
      <c r="D133" s="373">
        <f>50000</f>
        <v>50000</v>
      </c>
      <c r="E133" s="375"/>
      <c r="F133" s="375"/>
      <c r="G133" s="375">
        <v>59583.333333333299</v>
      </c>
      <c r="H133" s="373">
        <f t="shared" si="1"/>
        <v>109583.33333333299</v>
      </c>
      <c r="I133" s="386"/>
      <c r="L133" s="387"/>
      <c r="N133" s="385"/>
    </row>
    <row r="134" spans="1:15" ht="16">
      <c r="A134" s="762" t="s">
        <v>816</v>
      </c>
      <c r="B134" s="369" t="s">
        <v>817</v>
      </c>
      <c r="C134" s="371">
        <v>45323</v>
      </c>
      <c r="D134" s="376"/>
      <c r="E134" s="376"/>
      <c r="F134" s="375"/>
      <c r="G134" s="375"/>
      <c r="H134" s="373">
        <f t="shared" ref="H134:H184" si="2">D134+E134+F134+G134</f>
        <v>0</v>
      </c>
      <c r="I134" s="385"/>
      <c r="N134" s="385"/>
    </row>
    <row r="135" spans="1:15" ht="16.5">
      <c r="A135" s="762" t="s">
        <v>818</v>
      </c>
      <c r="B135" s="369" t="s">
        <v>819</v>
      </c>
      <c r="C135" s="371">
        <v>45323</v>
      </c>
      <c r="D135" s="375">
        <f>10000</f>
        <v>10000</v>
      </c>
      <c r="E135" s="375">
        <f>0</f>
        <v>0</v>
      </c>
      <c r="F135" s="375"/>
      <c r="G135" s="375">
        <f>95833.33</f>
        <v>95833.33</v>
      </c>
      <c r="H135" s="373">
        <f t="shared" si="2"/>
        <v>105833.33</v>
      </c>
      <c r="I135" s="386"/>
      <c r="J135" s="385"/>
      <c r="L135" s="387"/>
      <c r="M135" s="385"/>
      <c r="N135" s="385"/>
    </row>
    <row r="136" spans="1:15" ht="16.5">
      <c r="A136" s="762" t="s">
        <v>820</v>
      </c>
      <c r="B136" s="369" t="s">
        <v>821</v>
      </c>
      <c r="C136" s="371">
        <v>45323</v>
      </c>
      <c r="D136" s="375">
        <f>10000</f>
        <v>10000</v>
      </c>
      <c r="E136" s="375">
        <v>0</v>
      </c>
      <c r="F136" s="375">
        <f>5000+5000</f>
        <v>10000</v>
      </c>
      <c r="G136" s="377">
        <f>22916.67+10000</f>
        <v>32916.67</v>
      </c>
      <c r="H136" s="373">
        <f t="shared" si="2"/>
        <v>52916.67</v>
      </c>
      <c r="I136" s="386"/>
      <c r="J136" s="385"/>
      <c r="M136" s="385"/>
      <c r="N136" s="385"/>
    </row>
    <row r="137" spans="1:15" ht="16.5">
      <c r="A137" s="762" t="s">
        <v>822</v>
      </c>
      <c r="B137" s="369" t="s">
        <v>823</v>
      </c>
      <c r="C137" s="371">
        <v>45323</v>
      </c>
      <c r="D137" s="377">
        <f>100000</f>
        <v>100000</v>
      </c>
      <c r="E137" s="375"/>
      <c r="F137" s="375"/>
      <c r="G137" s="377">
        <f>131250</f>
        <v>131250</v>
      </c>
      <c r="H137" s="373">
        <f t="shared" si="2"/>
        <v>231250</v>
      </c>
      <c r="I137" s="386"/>
      <c r="J137" s="385"/>
      <c r="M137" s="385"/>
    </row>
    <row r="138" spans="1:15" ht="16.5">
      <c r="A138" s="762" t="s">
        <v>824</v>
      </c>
      <c r="B138" s="369" t="s">
        <v>825</v>
      </c>
      <c r="C138" s="371">
        <v>45323</v>
      </c>
      <c r="D138" s="377">
        <f>50000</f>
        <v>50000</v>
      </c>
      <c r="E138" s="377">
        <f>0</f>
        <v>0</v>
      </c>
      <c r="F138" s="377"/>
      <c r="G138" s="377"/>
      <c r="H138" s="373">
        <f t="shared" si="2"/>
        <v>50000</v>
      </c>
      <c r="I138" s="386"/>
      <c r="J138" s="385"/>
      <c r="M138" s="385"/>
    </row>
    <row r="139" spans="1:15" ht="16.5">
      <c r="A139" s="762" t="s">
        <v>826</v>
      </c>
      <c r="B139" s="369" t="s">
        <v>442</v>
      </c>
      <c r="C139" s="371">
        <v>45323</v>
      </c>
      <c r="D139" s="377">
        <f>10000</f>
        <v>10000</v>
      </c>
      <c r="E139" s="377">
        <f>0</f>
        <v>0</v>
      </c>
      <c r="F139" s="377"/>
      <c r="G139" s="373">
        <f>90000</f>
        <v>90000</v>
      </c>
      <c r="H139" s="373">
        <f t="shared" si="2"/>
        <v>100000</v>
      </c>
      <c r="I139" s="386"/>
      <c r="J139" s="385"/>
      <c r="M139" s="385"/>
    </row>
    <row r="140" spans="1:15" ht="16.5">
      <c r="A140" s="762" t="s">
        <v>827</v>
      </c>
      <c r="B140" s="369" t="s">
        <v>343</v>
      </c>
      <c r="C140" s="371">
        <v>45323</v>
      </c>
      <c r="D140" s="377">
        <f>50000</f>
        <v>50000</v>
      </c>
      <c r="E140" s="377"/>
      <c r="F140" s="377"/>
      <c r="G140" s="373">
        <f>50000</f>
        <v>50000</v>
      </c>
      <c r="H140" s="373">
        <f t="shared" si="2"/>
        <v>100000</v>
      </c>
      <c r="I140" s="386"/>
      <c r="M140" s="385"/>
    </row>
    <row r="141" spans="1:15" ht="16.5">
      <c r="A141" s="762" t="s">
        <v>828</v>
      </c>
      <c r="B141" s="369" t="s">
        <v>829</v>
      </c>
      <c r="C141" s="371">
        <v>45323</v>
      </c>
      <c r="D141" s="377">
        <f>100000</f>
        <v>100000</v>
      </c>
      <c r="E141" s="377">
        <f>0</f>
        <v>0</v>
      </c>
      <c r="F141" s="377">
        <f>100000</f>
        <v>100000</v>
      </c>
      <c r="G141" s="377">
        <f>223611.11</f>
        <v>223611.11</v>
      </c>
      <c r="H141" s="373">
        <f t="shared" si="2"/>
        <v>423611.11</v>
      </c>
      <c r="I141" s="386"/>
      <c r="J141" s="385"/>
      <c r="M141" s="385"/>
      <c r="N141" s="387"/>
    </row>
    <row r="142" spans="1:15" ht="16.5">
      <c r="A142" s="762" t="s">
        <v>830</v>
      </c>
      <c r="B142" s="369" t="s">
        <v>831</v>
      </c>
      <c r="C142" s="371">
        <v>45323</v>
      </c>
      <c r="D142" s="377">
        <f>10000</f>
        <v>10000</v>
      </c>
      <c r="E142" s="377">
        <f>0</f>
        <v>0</v>
      </c>
      <c r="F142" s="377"/>
      <c r="G142" s="377">
        <f>70000</f>
        <v>70000</v>
      </c>
      <c r="H142" s="373">
        <f t="shared" si="2"/>
        <v>80000</v>
      </c>
      <c r="I142" s="386"/>
      <c r="J142" s="385"/>
      <c r="M142" s="385"/>
    </row>
    <row r="143" spans="1:15" ht="16.5">
      <c r="A143" s="762" t="s">
        <v>832</v>
      </c>
      <c r="B143" s="369" t="s">
        <v>480</v>
      </c>
      <c r="C143" s="371">
        <v>45323</v>
      </c>
      <c r="D143" s="377">
        <f>5000</f>
        <v>5000</v>
      </c>
      <c r="E143" s="377">
        <f>0</f>
        <v>0</v>
      </c>
      <c r="F143" s="377">
        <f>5000+5000</f>
        <v>10000</v>
      </c>
      <c r="G143" s="377">
        <f>15000</f>
        <v>15000</v>
      </c>
      <c r="H143" s="373">
        <f t="shared" si="2"/>
        <v>30000</v>
      </c>
      <c r="I143" s="386"/>
      <c r="M143" s="385"/>
    </row>
    <row r="144" spans="1:15" ht="16">
      <c r="A144" s="762" t="s">
        <v>833</v>
      </c>
      <c r="B144" s="369" t="s">
        <v>834</v>
      </c>
      <c r="C144" s="371">
        <v>45323</v>
      </c>
      <c r="D144" s="377">
        <f>0</f>
        <v>0</v>
      </c>
      <c r="E144" s="377">
        <v>0</v>
      </c>
      <c r="F144" s="377"/>
      <c r="G144" s="377">
        <f>0</f>
        <v>0</v>
      </c>
      <c r="H144" s="373">
        <f t="shared" si="2"/>
        <v>0</v>
      </c>
      <c r="I144" s="385"/>
      <c r="L144" s="385"/>
      <c r="M144" s="385"/>
    </row>
    <row r="145" spans="1:13" ht="17.5">
      <c r="A145" s="762" t="s">
        <v>835</v>
      </c>
      <c r="B145" s="369" t="s">
        <v>836</v>
      </c>
      <c r="C145" s="371">
        <v>45323</v>
      </c>
      <c r="D145" s="377"/>
      <c r="E145" s="377"/>
      <c r="F145" s="377"/>
      <c r="G145" s="396"/>
      <c r="H145" s="373">
        <f t="shared" si="2"/>
        <v>0</v>
      </c>
      <c r="I145" s="386"/>
      <c r="L145" s="385"/>
      <c r="M145" s="385"/>
    </row>
    <row r="146" spans="1:13" ht="16.5">
      <c r="A146" s="762" t="s">
        <v>837</v>
      </c>
      <c r="B146" s="369" t="s">
        <v>838</v>
      </c>
      <c r="C146" s="371">
        <v>45323</v>
      </c>
      <c r="D146" s="377">
        <f>200000</f>
        <v>200000</v>
      </c>
      <c r="E146" s="377">
        <f>0</f>
        <v>0</v>
      </c>
      <c r="F146" s="377"/>
      <c r="G146" s="377">
        <f>52500*2+275000</f>
        <v>380000</v>
      </c>
      <c r="H146" s="373">
        <f t="shared" si="2"/>
        <v>580000</v>
      </c>
      <c r="I146" s="386"/>
      <c r="L146" s="385"/>
    </row>
    <row r="147" spans="1:13" ht="16.5">
      <c r="A147" s="762" t="s">
        <v>839</v>
      </c>
      <c r="B147" s="369" t="s">
        <v>840</v>
      </c>
      <c r="C147" s="371">
        <v>45323</v>
      </c>
      <c r="D147" s="377">
        <f>25000</f>
        <v>25000</v>
      </c>
      <c r="E147" s="377"/>
      <c r="F147" s="377"/>
      <c r="G147" s="379"/>
      <c r="H147" s="373">
        <f t="shared" si="2"/>
        <v>25000</v>
      </c>
      <c r="I147" s="386"/>
      <c r="L147" s="385"/>
    </row>
    <row r="148" spans="1:13" ht="16.5">
      <c r="A148" s="762" t="s">
        <v>841</v>
      </c>
      <c r="B148" s="369" t="s">
        <v>842</v>
      </c>
      <c r="C148" s="371">
        <v>45323</v>
      </c>
      <c r="D148" s="377">
        <f>0</f>
        <v>0</v>
      </c>
      <c r="E148" s="377"/>
      <c r="F148" s="377"/>
      <c r="G148" s="377"/>
      <c r="H148" s="373">
        <f t="shared" si="2"/>
        <v>0</v>
      </c>
      <c r="I148" s="386"/>
      <c r="L148" s="385"/>
    </row>
    <row r="149" spans="1:13" ht="16.5">
      <c r="A149" s="762" t="s">
        <v>843</v>
      </c>
      <c r="B149" s="369" t="s">
        <v>321</v>
      </c>
      <c r="C149" s="371">
        <v>45323</v>
      </c>
      <c r="D149" s="377">
        <v>50000</v>
      </c>
      <c r="E149" s="377"/>
      <c r="F149" s="377"/>
      <c r="G149" s="377">
        <v>145000</v>
      </c>
      <c r="H149" s="373">
        <f t="shared" si="2"/>
        <v>195000</v>
      </c>
      <c r="I149" s="386"/>
    </row>
    <row r="150" spans="1:13" ht="16">
      <c r="A150" s="762" t="s">
        <v>844</v>
      </c>
      <c r="B150" s="369" t="s">
        <v>370</v>
      </c>
      <c r="C150" s="371">
        <v>45323</v>
      </c>
      <c r="D150" s="377">
        <f>10000</f>
        <v>10000</v>
      </c>
      <c r="E150" s="377">
        <f>0</f>
        <v>0</v>
      </c>
      <c r="F150" s="377"/>
      <c r="G150" s="375">
        <v>19583.330000000002</v>
      </c>
      <c r="H150" s="373">
        <f t="shared" si="2"/>
        <v>29583.33</v>
      </c>
      <c r="I150" s="385"/>
      <c r="L150" s="385"/>
    </row>
    <row r="151" spans="1:13" ht="16.5">
      <c r="A151" s="762" t="s">
        <v>845</v>
      </c>
      <c r="B151" s="369" t="s">
        <v>846</v>
      </c>
      <c r="C151" s="371">
        <v>45323</v>
      </c>
      <c r="D151" s="377">
        <f>10000</f>
        <v>10000</v>
      </c>
      <c r="E151" s="377"/>
      <c r="F151" s="377"/>
      <c r="G151" s="377">
        <f>95833.33</f>
        <v>95833.33</v>
      </c>
      <c r="H151" s="373">
        <f t="shared" si="2"/>
        <v>105833.33</v>
      </c>
      <c r="I151" s="386"/>
    </row>
    <row r="152" spans="1:13" ht="16.5">
      <c r="A152" s="762" t="s">
        <v>847</v>
      </c>
      <c r="B152" s="369" t="s">
        <v>289</v>
      </c>
      <c r="C152" s="371">
        <v>45323</v>
      </c>
      <c r="D152" s="377">
        <f>0</f>
        <v>0</v>
      </c>
      <c r="E152" s="377"/>
      <c r="F152" s="377"/>
      <c r="G152" s="377">
        <f>26666.67</f>
        <v>26666.67</v>
      </c>
      <c r="H152" s="373">
        <f t="shared" si="2"/>
        <v>26666.67</v>
      </c>
      <c r="I152" s="386"/>
    </row>
    <row r="153" spans="1:13" ht="16.5">
      <c r="A153" s="762" t="s">
        <v>848</v>
      </c>
      <c r="B153" s="369" t="s">
        <v>287</v>
      </c>
      <c r="C153" s="371">
        <v>45323</v>
      </c>
      <c r="D153" s="377">
        <f>50000</f>
        <v>50000</v>
      </c>
      <c r="E153" s="377"/>
      <c r="F153" s="377"/>
      <c r="G153" s="377">
        <f>50000</f>
        <v>50000</v>
      </c>
      <c r="H153" s="373">
        <f t="shared" si="2"/>
        <v>100000</v>
      </c>
      <c r="I153" s="386"/>
    </row>
    <row r="154" spans="1:13" ht="16.5">
      <c r="A154" s="762" t="s">
        <v>849</v>
      </c>
      <c r="B154" s="369" t="s">
        <v>850</v>
      </c>
      <c r="C154" s="371">
        <v>45323</v>
      </c>
      <c r="D154" s="377">
        <f>30000</f>
        <v>30000</v>
      </c>
      <c r="E154" s="377"/>
      <c r="F154" s="377"/>
      <c r="G154" s="377"/>
      <c r="H154" s="373">
        <f t="shared" si="2"/>
        <v>30000</v>
      </c>
      <c r="I154" s="386"/>
    </row>
    <row r="155" spans="1:13" ht="16">
      <c r="A155" s="762" t="s">
        <v>851</v>
      </c>
      <c r="B155" s="369" t="s">
        <v>852</v>
      </c>
      <c r="C155" s="371">
        <v>45323</v>
      </c>
      <c r="D155" s="377">
        <f>0</f>
        <v>0</v>
      </c>
      <c r="E155" s="377"/>
      <c r="F155" s="377"/>
      <c r="G155" s="377"/>
      <c r="H155" s="373">
        <f t="shared" si="2"/>
        <v>0</v>
      </c>
      <c r="I155" s="385"/>
    </row>
    <row r="156" spans="1:13" ht="16.5">
      <c r="A156" s="762" t="s">
        <v>853</v>
      </c>
      <c r="B156" s="369" t="s">
        <v>854</v>
      </c>
      <c r="C156" s="371">
        <v>45323</v>
      </c>
      <c r="D156" s="377">
        <f>100000</f>
        <v>100000</v>
      </c>
      <c r="E156" s="377"/>
      <c r="F156" s="377"/>
      <c r="G156" s="377">
        <f>51500</f>
        <v>51500</v>
      </c>
      <c r="H156" s="373">
        <f t="shared" si="2"/>
        <v>151500</v>
      </c>
      <c r="I156" s="386"/>
    </row>
    <row r="157" spans="1:13" ht="16.5">
      <c r="A157" s="762" t="s">
        <v>855</v>
      </c>
      <c r="B157" s="369" t="s">
        <v>856</v>
      </c>
      <c r="C157" s="371">
        <v>45323</v>
      </c>
      <c r="D157" s="377">
        <f>10000</f>
        <v>10000</v>
      </c>
      <c r="E157" s="377"/>
      <c r="F157" s="377">
        <f>10000</f>
        <v>10000</v>
      </c>
      <c r="G157" s="377">
        <f>11518</f>
        <v>11518</v>
      </c>
      <c r="H157" s="373">
        <f t="shared" si="2"/>
        <v>31518</v>
      </c>
      <c r="I157" s="386"/>
    </row>
    <row r="158" spans="1:13" ht="16.5">
      <c r="A158" s="762" t="s">
        <v>857</v>
      </c>
      <c r="B158" s="369" t="s">
        <v>858</v>
      </c>
      <c r="C158" s="371">
        <v>45323</v>
      </c>
      <c r="D158" s="377">
        <f>20000</f>
        <v>20000</v>
      </c>
      <c r="E158" s="377"/>
      <c r="F158" s="377"/>
      <c r="G158" s="377"/>
      <c r="H158" s="373">
        <f t="shared" si="2"/>
        <v>20000</v>
      </c>
      <c r="I158" s="386"/>
    </row>
    <row r="159" spans="1:13" ht="16.5">
      <c r="A159" s="762" t="s">
        <v>859</v>
      </c>
      <c r="B159" s="369" t="s">
        <v>488</v>
      </c>
      <c r="C159" s="371">
        <v>45323</v>
      </c>
      <c r="D159" s="377">
        <v>10000</v>
      </c>
      <c r="E159" s="377"/>
      <c r="F159" s="377">
        <f>5000+5000</f>
        <v>10000</v>
      </c>
      <c r="G159" s="377"/>
      <c r="H159" s="373">
        <f t="shared" si="2"/>
        <v>20000</v>
      </c>
      <c r="I159" s="386"/>
    </row>
    <row r="160" spans="1:13" ht="16.5">
      <c r="A160" s="762" t="s">
        <v>860</v>
      </c>
      <c r="B160" s="369" t="s">
        <v>861</v>
      </c>
      <c r="C160" s="371">
        <v>45323</v>
      </c>
      <c r="D160" s="377">
        <v>200000</v>
      </c>
      <c r="E160" s="377"/>
      <c r="F160" s="377"/>
      <c r="G160" s="402">
        <f>0</f>
        <v>0</v>
      </c>
      <c r="H160" s="373">
        <f t="shared" si="2"/>
        <v>200000</v>
      </c>
      <c r="I160" s="386"/>
    </row>
    <row r="161" spans="1:9" ht="16">
      <c r="A161" s="762" t="s">
        <v>862</v>
      </c>
      <c r="B161" s="369" t="s">
        <v>863</v>
      </c>
      <c r="C161" s="371">
        <v>45323</v>
      </c>
      <c r="D161" s="377">
        <f>0</f>
        <v>0</v>
      </c>
      <c r="E161" s="377"/>
      <c r="F161" s="377"/>
      <c r="G161" s="377">
        <f>0</f>
        <v>0</v>
      </c>
      <c r="H161" s="373">
        <f t="shared" si="2"/>
        <v>0</v>
      </c>
      <c r="I161" s="385"/>
    </row>
    <row r="162" spans="1:9" ht="16.5">
      <c r="A162" s="762" t="s">
        <v>864</v>
      </c>
      <c r="B162" s="369" t="s">
        <v>865</v>
      </c>
      <c r="C162" s="371">
        <v>45323</v>
      </c>
      <c r="D162" s="377">
        <f>100000</f>
        <v>100000</v>
      </c>
      <c r="E162" s="377"/>
      <c r="F162" s="377"/>
      <c r="G162" s="377"/>
      <c r="H162" s="373">
        <f t="shared" si="2"/>
        <v>100000</v>
      </c>
      <c r="I162" s="386"/>
    </row>
    <row r="163" spans="1:9" ht="16.5">
      <c r="A163" s="762" t="s">
        <v>866</v>
      </c>
      <c r="B163" s="369" t="s">
        <v>867</v>
      </c>
      <c r="C163" s="371">
        <v>45323</v>
      </c>
      <c r="D163" s="377">
        <f>5000</f>
        <v>5000</v>
      </c>
      <c r="E163" s="377">
        <f>0</f>
        <v>0</v>
      </c>
      <c r="F163" s="377">
        <f>10000</f>
        <v>10000</v>
      </c>
      <c r="G163" s="377">
        <v>20000</v>
      </c>
      <c r="H163" s="373">
        <f t="shared" si="2"/>
        <v>35000</v>
      </c>
      <c r="I163" s="386"/>
    </row>
    <row r="164" spans="1:9" ht="16.5">
      <c r="A164" s="762" t="s">
        <v>868</v>
      </c>
      <c r="B164" s="369" t="s">
        <v>869</v>
      </c>
      <c r="C164" s="371">
        <v>45323</v>
      </c>
      <c r="D164" s="377">
        <f>20000</f>
        <v>20000</v>
      </c>
      <c r="E164" s="377"/>
      <c r="F164" s="377"/>
      <c r="G164" s="377"/>
      <c r="H164" s="373">
        <f t="shared" si="2"/>
        <v>20000</v>
      </c>
      <c r="I164" s="386"/>
    </row>
    <row r="165" spans="1:9" ht="16.5">
      <c r="A165" s="762" t="s">
        <v>870</v>
      </c>
      <c r="B165" s="369" t="s">
        <v>871</v>
      </c>
      <c r="C165" s="371">
        <v>45323</v>
      </c>
      <c r="D165" s="377">
        <f>50000</f>
        <v>50000</v>
      </c>
      <c r="E165" s="377"/>
      <c r="F165" s="377"/>
      <c r="G165" s="377">
        <f>91666.67</f>
        <v>91666.67</v>
      </c>
      <c r="H165" s="373">
        <f t="shared" si="2"/>
        <v>141666.67000000001</v>
      </c>
      <c r="I165" s="386"/>
    </row>
    <row r="166" spans="1:9" ht="16.5">
      <c r="A166" s="762" t="s">
        <v>872</v>
      </c>
      <c r="B166" s="369" t="s">
        <v>357</v>
      </c>
      <c r="C166" s="371">
        <v>45323</v>
      </c>
      <c r="D166" s="377">
        <f>20000</f>
        <v>20000</v>
      </c>
      <c r="E166" s="377">
        <f>0</f>
        <v>0</v>
      </c>
      <c r="F166" s="377"/>
      <c r="G166" s="377">
        <f>43750</f>
        <v>43750</v>
      </c>
      <c r="H166" s="373">
        <f t="shared" si="2"/>
        <v>63750</v>
      </c>
      <c r="I166" s="386"/>
    </row>
    <row r="167" spans="1:9" ht="16.5">
      <c r="A167" s="762" t="s">
        <v>873</v>
      </c>
      <c r="B167" s="369" t="s">
        <v>874</v>
      </c>
      <c r="C167" s="371">
        <v>45323</v>
      </c>
      <c r="D167" s="377">
        <f>10000</f>
        <v>10000</v>
      </c>
      <c r="E167" s="377">
        <f>0</f>
        <v>0</v>
      </c>
      <c r="F167" s="377"/>
      <c r="G167" s="377"/>
      <c r="H167" s="373">
        <f t="shared" si="2"/>
        <v>10000</v>
      </c>
      <c r="I167" s="386"/>
    </row>
    <row r="168" spans="1:9" ht="16.5">
      <c r="A168" s="762" t="s">
        <v>875</v>
      </c>
      <c r="B168" s="369" t="s">
        <v>278</v>
      </c>
      <c r="C168" s="371">
        <v>45323</v>
      </c>
      <c r="D168" s="377">
        <f>10000</f>
        <v>10000</v>
      </c>
      <c r="E168" s="377">
        <f>0</f>
        <v>0</v>
      </c>
      <c r="F168" s="377"/>
      <c r="G168" s="377">
        <f>20000</f>
        <v>20000</v>
      </c>
      <c r="H168" s="373">
        <f t="shared" si="2"/>
        <v>30000</v>
      </c>
      <c r="I168" s="386"/>
    </row>
    <row r="169" spans="1:9" ht="16.5">
      <c r="A169" s="762" t="s">
        <v>876</v>
      </c>
      <c r="B169" s="369" t="s">
        <v>877</v>
      </c>
      <c r="C169" s="371">
        <v>45323</v>
      </c>
      <c r="D169" s="377">
        <v>20000</v>
      </c>
      <c r="E169" s="377">
        <f>0</f>
        <v>0</v>
      </c>
      <c r="F169" s="377"/>
      <c r="G169" s="377"/>
      <c r="H169" s="373">
        <f t="shared" si="2"/>
        <v>20000</v>
      </c>
      <c r="I169" s="386"/>
    </row>
    <row r="170" spans="1:9" ht="16.5">
      <c r="A170" s="762" t="s">
        <v>878</v>
      </c>
      <c r="B170" s="369" t="s">
        <v>879</v>
      </c>
      <c r="C170" s="371">
        <v>45323</v>
      </c>
      <c r="D170" s="377">
        <f>0</f>
        <v>0</v>
      </c>
      <c r="E170" s="377">
        <f>0</f>
        <v>0</v>
      </c>
      <c r="F170" s="377">
        <f>120000</f>
        <v>120000</v>
      </c>
      <c r="G170" s="377"/>
      <c r="H170" s="373">
        <f t="shared" si="2"/>
        <v>120000</v>
      </c>
      <c r="I170" s="386"/>
    </row>
    <row r="171" spans="1:9" ht="16.5">
      <c r="A171" s="762" t="s">
        <v>880</v>
      </c>
      <c r="B171" s="369" t="s">
        <v>881</v>
      </c>
      <c r="C171" s="371">
        <v>45323</v>
      </c>
      <c r="D171" s="377">
        <f>50000</f>
        <v>50000</v>
      </c>
      <c r="E171" s="377"/>
      <c r="F171" s="377"/>
      <c r="G171" s="377"/>
      <c r="H171" s="373">
        <f t="shared" si="2"/>
        <v>50000</v>
      </c>
      <c r="I171" s="386"/>
    </row>
    <row r="172" spans="1:9" ht="16.5">
      <c r="A172" s="762" t="s">
        <v>882</v>
      </c>
      <c r="B172" s="369" t="s">
        <v>334</v>
      </c>
      <c r="C172" s="371">
        <v>45323</v>
      </c>
      <c r="D172" s="377">
        <f>65000</f>
        <v>65000</v>
      </c>
      <c r="E172" s="377"/>
      <c r="F172" s="377"/>
      <c r="G172" s="377"/>
      <c r="H172" s="373">
        <f t="shared" si="2"/>
        <v>65000</v>
      </c>
      <c r="I172" s="386"/>
    </row>
    <row r="173" spans="1:9" ht="16.5">
      <c r="A173" s="762" t="s">
        <v>883</v>
      </c>
      <c r="B173" s="369" t="s">
        <v>450</v>
      </c>
      <c r="C173" s="371">
        <v>45323</v>
      </c>
      <c r="D173" s="377">
        <f>10000</f>
        <v>10000</v>
      </c>
      <c r="E173" s="377"/>
      <c r="F173" s="377"/>
      <c r="G173" s="377"/>
      <c r="H173" s="373">
        <f t="shared" si="2"/>
        <v>10000</v>
      </c>
      <c r="I173" s="386"/>
    </row>
    <row r="174" spans="1:9" ht="16.5">
      <c r="A174" s="762" t="s">
        <v>884</v>
      </c>
      <c r="B174" s="369" t="s">
        <v>885</v>
      </c>
      <c r="C174" s="371">
        <v>45323</v>
      </c>
      <c r="D174" s="377">
        <f>10000</f>
        <v>10000</v>
      </c>
      <c r="E174" s="377"/>
      <c r="F174" s="377"/>
      <c r="G174" s="377"/>
      <c r="H174" s="373">
        <f t="shared" si="2"/>
        <v>10000</v>
      </c>
      <c r="I174" s="386"/>
    </row>
    <row r="175" spans="1:9" ht="16.5">
      <c r="A175" s="762" t="s">
        <v>886</v>
      </c>
      <c r="B175" s="369" t="s">
        <v>887</v>
      </c>
      <c r="C175" s="371">
        <v>45323</v>
      </c>
      <c r="D175" s="377">
        <f>30000</f>
        <v>30000</v>
      </c>
      <c r="E175" s="377"/>
      <c r="F175" s="377"/>
      <c r="G175" s="377"/>
      <c r="H175" s="373">
        <f t="shared" si="2"/>
        <v>30000</v>
      </c>
      <c r="I175" s="386"/>
    </row>
    <row r="176" spans="1:9" ht="16.5">
      <c r="A176" s="762" t="s">
        <v>888</v>
      </c>
      <c r="B176" s="369" t="s">
        <v>292</v>
      </c>
      <c r="C176" s="371">
        <v>45323</v>
      </c>
      <c r="D176" s="377">
        <f>20000</f>
        <v>20000</v>
      </c>
      <c r="E176" s="377"/>
      <c r="F176" s="377"/>
      <c r="G176" s="377"/>
      <c r="H176" s="373">
        <f t="shared" si="2"/>
        <v>20000</v>
      </c>
      <c r="I176" s="386"/>
    </row>
    <row r="177" spans="1:12" ht="16.5">
      <c r="A177" s="762" t="s">
        <v>889</v>
      </c>
      <c r="B177" s="369" t="s">
        <v>890</v>
      </c>
      <c r="C177" s="371">
        <v>45323</v>
      </c>
      <c r="D177" s="377">
        <f>30000</f>
        <v>30000</v>
      </c>
      <c r="E177" s="377"/>
      <c r="F177" s="377"/>
      <c r="G177" s="377"/>
      <c r="H177" s="373">
        <f t="shared" si="2"/>
        <v>30000</v>
      </c>
      <c r="I177" s="386"/>
    </row>
    <row r="178" spans="1:12" ht="16.5">
      <c r="A178" s="762" t="s">
        <v>891</v>
      </c>
      <c r="B178" s="369" t="s">
        <v>892</v>
      </c>
      <c r="C178" s="371">
        <v>45323</v>
      </c>
      <c r="D178" s="377">
        <v>30000</v>
      </c>
      <c r="E178" s="377"/>
      <c r="F178" s="377"/>
      <c r="G178" s="377"/>
      <c r="H178" s="373">
        <f t="shared" si="2"/>
        <v>30000</v>
      </c>
      <c r="I178" s="386"/>
    </row>
    <row r="179" spans="1:12" ht="16.5">
      <c r="A179" s="762" t="s">
        <v>893</v>
      </c>
      <c r="B179" s="369" t="s">
        <v>894</v>
      </c>
      <c r="C179" s="371">
        <v>45323</v>
      </c>
      <c r="D179" s="377">
        <f>50000</f>
        <v>50000</v>
      </c>
      <c r="E179" s="377"/>
      <c r="F179" s="377"/>
      <c r="G179" s="377"/>
      <c r="H179" s="373">
        <f t="shared" si="2"/>
        <v>50000</v>
      </c>
      <c r="I179" s="386"/>
    </row>
    <row r="180" spans="1:12" ht="16.5">
      <c r="A180" s="762" t="s">
        <v>895</v>
      </c>
      <c r="B180" s="369" t="s">
        <v>896</v>
      </c>
      <c r="C180" s="371">
        <v>45323</v>
      </c>
      <c r="D180" s="377">
        <v>5000</v>
      </c>
      <c r="E180" s="377"/>
      <c r="F180" s="377">
        <f>10000</f>
        <v>10000</v>
      </c>
      <c r="G180" s="377"/>
      <c r="H180" s="373">
        <f t="shared" si="2"/>
        <v>15000</v>
      </c>
      <c r="I180" s="386"/>
    </row>
    <row r="181" spans="1:12" ht="16.5">
      <c r="A181" s="762" t="s">
        <v>897</v>
      </c>
      <c r="B181" s="369" t="s">
        <v>500</v>
      </c>
      <c r="C181" s="371">
        <v>45323</v>
      </c>
      <c r="D181" s="377">
        <f>10000</f>
        <v>10000</v>
      </c>
      <c r="E181" s="377"/>
      <c r="F181" s="377">
        <f>10000</f>
        <v>10000</v>
      </c>
      <c r="G181" s="377"/>
      <c r="H181" s="373">
        <f t="shared" si="2"/>
        <v>20000</v>
      </c>
      <c r="I181" s="386"/>
    </row>
    <row r="182" spans="1:12" ht="16.5">
      <c r="A182" s="762" t="s">
        <v>895</v>
      </c>
      <c r="B182" s="369" t="s">
        <v>898</v>
      </c>
      <c r="C182" s="371">
        <v>45323</v>
      </c>
      <c r="D182" s="377">
        <f>10000</f>
        <v>10000</v>
      </c>
      <c r="E182" s="377"/>
      <c r="F182" s="377"/>
      <c r="G182" s="377"/>
      <c r="H182" s="373">
        <f t="shared" si="2"/>
        <v>10000</v>
      </c>
      <c r="I182" s="386"/>
    </row>
    <row r="183" spans="1:12" ht="16.5">
      <c r="A183" s="762" t="s">
        <v>895</v>
      </c>
      <c r="B183" s="369" t="s">
        <v>495</v>
      </c>
      <c r="C183" s="371">
        <v>45323</v>
      </c>
      <c r="D183" s="377">
        <f>10000</f>
        <v>10000</v>
      </c>
      <c r="E183" s="377"/>
      <c r="F183" s="377"/>
      <c r="G183" s="377"/>
      <c r="H183" s="373">
        <f t="shared" si="2"/>
        <v>10000</v>
      </c>
      <c r="I183" s="386"/>
    </row>
    <row r="184" spans="1:12" ht="16.5">
      <c r="A184" s="762" t="s">
        <v>895</v>
      </c>
      <c r="B184" s="369" t="s">
        <v>899</v>
      </c>
      <c r="C184" s="371">
        <v>45323</v>
      </c>
      <c r="D184" s="377">
        <f>10000</f>
        <v>10000</v>
      </c>
      <c r="E184" s="377"/>
      <c r="F184" s="377"/>
      <c r="G184" s="377"/>
      <c r="H184" s="373">
        <f t="shared" si="2"/>
        <v>10000</v>
      </c>
      <c r="I184" s="386"/>
    </row>
    <row r="185" spans="1:12" ht="16">
      <c r="A185" s="369"/>
      <c r="B185" s="369"/>
      <c r="C185" s="403"/>
      <c r="D185" s="404">
        <f>SUM(D5:D184)</f>
        <v>4415500</v>
      </c>
      <c r="E185" s="404">
        <f>SUM(E5:E184)</f>
        <v>0</v>
      </c>
      <c r="F185" s="404">
        <f>SUM(F5:F184)</f>
        <v>708000</v>
      </c>
      <c r="G185" s="404">
        <f>SUM(G5:G184)</f>
        <v>7015945.6884722197</v>
      </c>
      <c r="H185" s="405">
        <f>SUM(H5:H184)</f>
        <v>12139445.6884722</v>
      </c>
      <c r="I185" s="385"/>
      <c r="J185" s="385"/>
      <c r="L185" s="385"/>
    </row>
    <row r="186" spans="1:12" ht="22">
      <c r="A186" s="406"/>
      <c r="B186" s="407" t="s">
        <v>34</v>
      </c>
      <c r="C186" s="370"/>
      <c r="D186" s="408">
        <f>D185+E185+F185</f>
        <v>5123500</v>
      </c>
      <c r="E186" s="409"/>
      <c r="F186" s="409"/>
      <c r="G186" s="409"/>
      <c r="H186" s="409"/>
      <c r="I186" s="387"/>
      <c r="J186" s="387"/>
      <c r="L186" s="385"/>
    </row>
    <row r="187" spans="1:12" ht="15.5">
      <c r="A187" s="410"/>
      <c r="B187" s="364" t="s">
        <v>900</v>
      </c>
      <c r="C187" s="364"/>
      <c r="D187" s="411"/>
      <c r="E187" s="369"/>
      <c r="F187" s="387"/>
      <c r="G187" s="412"/>
      <c r="H187" s="385"/>
      <c r="I187" s="385"/>
      <c r="L187" s="413"/>
    </row>
    <row r="188" spans="1:12" ht="15.5">
      <c r="A188" s="410"/>
      <c r="B188" s="369"/>
      <c r="C188" s="364" t="s">
        <v>901</v>
      </c>
      <c r="D188" s="364" t="s">
        <v>902</v>
      </c>
      <c r="E188" s="369"/>
      <c r="F188" s="412"/>
      <c r="G188" s="412"/>
      <c r="H188" s="413"/>
      <c r="I188" s="385"/>
    </row>
    <row r="189" spans="1:12" ht="17.5">
      <c r="A189" s="369"/>
      <c r="B189" s="369" t="s">
        <v>903</v>
      </c>
      <c r="C189" s="393">
        <f>22000</f>
        <v>22000</v>
      </c>
      <c r="D189" s="414">
        <f>20000</f>
        <v>20000</v>
      </c>
      <c r="E189" s="415">
        <f>D189-C189</f>
        <v>-2000</v>
      </c>
      <c r="F189" s="416" t="s">
        <v>904</v>
      </c>
      <c r="G189" s="385"/>
      <c r="H189" s="385"/>
      <c r="I189" s="385"/>
      <c r="K189" s="385"/>
    </row>
    <row r="190" spans="1:12" ht="17.5">
      <c r="A190" s="369"/>
      <c r="B190" s="369" t="s">
        <v>905</v>
      </c>
      <c r="C190" s="393">
        <f>52000</f>
        <v>52000</v>
      </c>
      <c r="D190" s="417">
        <f>50000</f>
        <v>50000</v>
      </c>
      <c r="E190" s="393">
        <f t="shared" ref="E190:E191" si="3">D190-C190</f>
        <v>-2000</v>
      </c>
      <c r="G190" s="385"/>
      <c r="H190" s="385"/>
      <c r="I190" s="385"/>
      <c r="K190" s="385"/>
    </row>
    <row r="191" spans="1:12" ht="17.5">
      <c r="A191" s="369"/>
      <c r="B191" s="369" t="s">
        <v>906</v>
      </c>
      <c r="C191" s="393">
        <f>17000</f>
        <v>17000</v>
      </c>
      <c r="D191" s="417">
        <f>15000</f>
        <v>15000</v>
      </c>
      <c r="E191" s="393">
        <f t="shared" si="3"/>
        <v>-2000</v>
      </c>
      <c r="F191" s="386"/>
      <c r="G191" s="385"/>
      <c r="H191" s="385"/>
      <c r="I191" s="385"/>
      <c r="K191" s="385"/>
    </row>
    <row r="192" spans="1:12" ht="17.5">
      <c r="A192" s="369"/>
      <c r="B192" s="369" t="s">
        <v>500</v>
      </c>
      <c r="C192" s="393">
        <v>22000</v>
      </c>
      <c r="D192" s="417">
        <f>20000</f>
        <v>20000</v>
      </c>
      <c r="E192" s="393">
        <f t="shared" ref="E192:E195" si="4">D192-C192</f>
        <v>-2000</v>
      </c>
      <c r="F192" s="386"/>
      <c r="G192" s="385"/>
      <c r="H192" s="385"/>
      <c r="I192" s="385"/>
      <c r="K192" s="385"/>
    </row>
    <row r="193" spans="1:11" ht="17.5">
      <c r="A193" s="369"/>
      <c r="B193" s="369" t="s">
        <v>898</v>
      </c>
      <c r="C193" s="393">
        <v>12000</v>
      </c>
      <c r="D193" s="417">
        <f>10000</f>
        <v>10000</v>
      </c>
      <c r="E193" s="393">
        <f t="shared" si="4"/>
        <v>-2000</v>
      </c>
      <c r="F193" s="386"/>
      <c r="G193" s="385"/>
      <c r="H193" s="385"/>
      <c r="I193" s="385"/>
      <c r="K193" s="385"/>
    </row>
    <row r="194" spans="1:11" ht="17.5">
      <c r="A194" s="369"/>
      <c r="B194" s="369" t="s">
        <v>495</v>
      </c>
      <c r="C194" s="393">
        <v>12000</v>
      </c>
      <c r="D194" s="417">
        <f>10000</f>
        <v>10000</v>
      </c>
      <c r="E194" s="393">
        <f t="shared" si="4"/>
        <v>-2000</v>
      </c>
      <c r="F194" s="386"/>
      <c r="G194" s="385"/>
      <c r="H194" s="385"/>
      <c r="I194" s="385"/>
      <c r="K194" s="385"/>
    </row>
    <row r="195" spans="1:11" ht="17.5">
      <c r="A195" s="369"/>
      <c r="B195" s="369" t="s">
        <v>899</v>
      </c>
      <c r="C195" s="393">
        <v>12000</v>
      </c>
      <c r="D195" s="417">
        <f>10000</f>
        <v>10000</v>
      </c>
      <c r="E195" s="393">
        <f t="shared" si="4"/>
        <v>-2000</v>
      </c>
      <c r="F195" s="386"/>
      <c r="G195" s="385"/>
      <c r="H195" s="385"/>
      <c r="I195" s="385"/>
      <c r="K195" s="385"/>
    </row>
    <row r="196" spans="1:11" ht="17.5">
      <c r="A196" s="418"/>
      <c r="B196" s="419" t="s">
        <v>167</v>
      </c>
      <c r="C196" s="380"/>
      <c r="D196" s="420">
        <f>0</f>
        <v>0</v>
      </c>
      <c r="E196" s="421">
        <f>SUM(E190:E195)</f>
        <v>-12000</v>
      </c>
      <c r="I196" s="389"/>
      <c r="K196" s="385"/>
    </row>
    <row r="197" spans="1:11" ht="15">
      <c r="A197" s="369"/>
      <c r="B197" s="369"/>
      <c r="C197" s="364"/>
      <c r="D197" s="369"/>
      <c r="E197" s="369"/>
      <c r="K197" s="385"/>
    </row>
    <row r="198" spans="1:11" ht="15">
      <c r="A198" s="369"/>
      <c r="B198" s="364" t="s">
        <v>907</v>
      </c>
      <c r="C198" s="364"/>
      <c r="D198" s="369"/>
      <c r="E198" s="369"/>
      <c r="K198" s="385"/>
    </row>
    <row r="199" spans="1:11" ht="15">
      <c r="A199" s="369"/>
      <c r="B199" s="364"/>
      <c r="C199" s="364" t="s">
        <v>901</v>
      </c>
      <c r="D199" s="364" t="s">
        <v>902</v>
      </c>
      <c r="E199" s="369"/>
      <c r="K199" s="385"/>
    </row>
    <row r="200" spans="1:11" ht="17.5">
      <c r="A200" s="422"/>
      <c r="B200" s="422" t="s">
        <v>908</v>
      </c>
      <c r="C200" s="373">
        <f>20000</f>
        <v>20000</v>
      </c>
      <c r="D200" s="375">
        <f>0</f>
        <v>0</v>
      </c>
      <c r="E200" s="393">
        <f>D200-C200</f>
        <v>-20000</v>
      </c>
      <c r="G200" s="385"/>
      <c r="K200" s="385"/>
    </row>
    <row r="201" spans="1:11" ht="17.5">
      <c r="A201" s="422"/>
      <c r="B201" s="422" t="s">
        <v>909</v>
      </c>
      <c r="C201" s="373">
        <v>120000</v>
      </c>
      <c r="D201" s="375"/>
      <c r="E201" s="393">
        <f>D201-C201</f>
        <v>-120000</v>
      </c>
      <c r="G201" s="385"/>
      <c r="K201" s="385"/>
    </row>
    <row r="202" spans="1:11" ht="17.5">
      <c r="A202" s="422"/>
      <c r="B202" s="422"/>
      <c r="C202" s="373"/>
      <c r="D202" s="375"/>
      <c r="E202" s="393"/>
      <c r="G202" s="385"/>
      <c r="K202" s="385"/>
    </row>
    <row r="203" spans="1:11" ht="17.5">
      <c r="A203" s="422"/>
      <c r="B203" s="422"/>
      <c r="C203" s="393"/>
      <c r="D203" s="393"/>
      <c r="E203" s="393"/>
      <c r="G203" s="385"/>
      <c r="K203" s="385"/>
    </row>
    <row r="204" spans="1:11" ht="17.5">
      <c r="A204" s="422"/>
      <c r="B204" s="422"/>
      <c r="C204" s="373"/>
      <c r="D204" s="375"/>
      <c r="E204" s="393"/>
      <c r="G204" s="385"/>
      <c r="H204" s="385"/>
      <c r="K204" s="385"/>
    </row>
    <row r="205" spans="1:11" ht="17.5">
      <c r="A205" s="410"/>
      <c r="B205" s="410"/>
      <c r="C205" s="410"/>
      <c r="D205" s="410"/>
      <c r="E205" s="421">
        <f>SUM(E200:E204)</f>
        <v>-140000</v>
      </c>
      <c r="G205" s="385"/>
      <c r="K205" s="385"/>
    </row>
    <row r="206" spans="1:11" ht="30" customHeight="1">
      <c r="A206" s="410"/>
      <c r="B206" s="419" t="s">
        <v>910</v>
      </c>
      <c r="C206" s="410"/>
      <c r="D206" s="410"/>
      <c r="E206" s="423">
        <f>E196+E205</f>
        <v>-152000</v>
      </c>
      <c r="G206" s="385"/>
      <c r="K206" s="385"/>
    </row>
    <row r="207" spans="1:11" ht="18.5">
      <c r="E207" s="424"/>
      <c r="K207" s="385"/>
    </row>
    <row r="208" spans="1:11" ht="16">
      <c r="A208" s="761" t="s">
        <v>637</v>
      </c>
      <c r="B208" s="369" t="s">
        <v>638</v>
      </c>
      <c r="C208" s="371">
        <v>45292</v>
      </c>
      <c r="D208" s="375">
        <v>10000</v>
      </c>
      <c r="E208" s="375">
        <v>0</v>
      </c>
      <c r="F208" s="375">
        <v>0</v>
      </c>
      <c r="G208" s="375">
        <f>40000</f>
        <v>40000</v>
      </c>
      <c r="H208" s="373">
        <f t="shared" ref="H208:H223" si="5">D208+E208+F208+G208</f>
        <v>50000</v>
      </c>
      <c r="I208" s="385"/>
      <c r="K208" s="385"/>
    </row>
    <row r="209" spans="1:14" ht="16">
      <c r="A209" s="762" t="s">
        <v>685</v>
      </c>
      <c r="B209" s="369" t="s">
        <v>686</v>
      </c>
      <c r="C209" s="371">
        <v>45292</v>
      </c>
      <c r="D209" s="377">
        <v>30000</v>
      </c>
      <c r="E209" s="377">
        <v>0</v>
      </c>
      <c r="F209" s="377">
        <v>0</v>
      </c>
      <c r="G209" s="377">
        <f>0</f>
        <v>0</v>
      </c>
      <c r="H209" s="373">
        <f t="shared" si="5"/>
        <v>30000</v>
      </c>
      <c r="K209" s="385"/>
    </row>
    <row r="210" spans="1:14" ht="16">
      <c r="A210" s="761" t="s">
        <v>720</v>
      </c>
      <c r="B210" s="369" t="s">
        <v>721</v>
      </c>
      <c r="C210" s="371">
        <v>45292</v>
      </c>
      <c r="D210" s="377">
        <v>10000</v>
      </c>
      <c r="E210" s="377">
        <v>0</v>
      </c>
      <c r="F210" s="377"/>
      <c r="G210" s="377">
        <f>20000</f>
        <v>20000</v>
      </c>
      <c r="H210" s="373">
        <f t="shared" si="5"/>
        <v>30000</v>
      </c>
      <c r="K210" s="385"/>
      <c r="N210" s="385"/>
    </row>
    <row r="211" spans="1:14" ht="16">
      <c r="A211" s="761" t="s">
        <v>794</v>
      </c>
      <c r="B211" s="369" t="s">
        <v>795</v>
      </c>
      <c r="C211" s="371">
        <v>45292</v>
      </c>
      <c r="D211" s="377"/>
      <c r="E211" s="377"/>
      <c r="F211" s="377"/>
      <c r="G211" s="377"/>
      <c r="H211" s="373">
        <f t="shared" si="5"/>
        <v>0</v>
      </c>
      <c r="I211" s="385"/>
      <c r="K211" s="385"/>
      <c r="N211" s="385"/>
    </row>
    <row r="212" spans="1:14" ht="16">
      <c r="A212" s="762" t="s">
        <v>911</v>
      </c>
      <c r="B212" s="369" t="s">
        <v>912</v>
      </c>
      <c r="C212" s="371">
        <v>45292</v>
      </c>
      <c r="D212" s="377">
        <f>5000</f>
        <v>5000</v>
      </c>
      <c r="E212" s="377">
        <f>0</f>
        <v>0</v>
      </c>
      <c r="F212" s="377">
        <f>5000+5000</f>
        <v>10000</v>
      </c>
      <c r="G212" s="377">
        <f>14350</f>
        <v>14350</v>
      </c>
      <c r="H212" s="373">
        <f t="shared" si="5"/>
        <v>29350</v>
      </c>
      <c r="I212" s="387"/>
      <c r="K212" s="385"/>
      <c r="N212" s="385"/>
    </row>
    <row r="213" spans="1:14" ht="16">
      <c r="A213" s="762" t="s">
        <v>913</v>
      </c>
      <c r="B213" s="369" t="s">
        <v>914</v>
      </c>
      <c r="C213" s="371">
        <v>45292</v>
      </c>
      <c r="D213" s="377">
        <f>0</f>
        <v>0</v>
      </c>
      <c r="E213" s="377"/>
      <c r="F213" s="377"/>
      <c r="G213" s="377"/>
      <c r="H213" s="373">
        <f t="shared" si="5"/>
        <v>0</v>
      </c>
      <c r="K213" s="385"/>
      <c r="N213" s="385"/>
    </row>
    <row r="214" spans="1:14" ht="16">
      <c r="A214" s="762" t="s">
        <v>915</v>
      </c>
      <c r="B214" s="369" t="s">
        <v>916</v>
      </c>
      <c r="C214" s="371">
        <v>45292</v>
      </c>
      <c r="D214" s="377">
        <f>5000</f>
        <v>5000</v>
      </c>
      <c r="E214" s="377"/>
      <c r="F214" s="377"/>
      <c r="G214" s="377">
        <f>0</f>
        <v>0</v>
      </c>
      <c r="H214" s="373">
        <f t="shared" si="5"/>
        <v>5000</v>
      </c>
      <c r="K214" s="385"/>
      <c r="N214" s="385"/>
    </row>
    <row r="215" spans="1:14" ht="16">
      <c r="A215" s="762" t="s">
        <v>917</v>
      </c>
      <c r="B215" s="369" t="s">
        <v>918</v>
      </c>
      <c r="C215" s="371">
        <v>45292</v>
      </c>
      <c r="D215" s="377">
        <f>10000</f>
        <v>10000</v>
      </c>
      <c r="E215" s="377">
        <f>0</f>
        <v>0</v>
      </c>
      <c r="F215" s="377"/>
      <c r="G215" s="377">
        <f>20000</f>
        <v>20000</v>
      </c>
      <c r="H215" s="373">
        <f t="shared" si="5"/>
        <v>30000</v>
      </c>
      <c r="J215" s="385"/>
      <c r="K215" s="385"/>
      <c r="N215" s="385"/>
    </row>
    <row r="216" spans="1:14" ht="16">
      <c r="A216" s="762" t="s">
        <v>919</v>
      </c>
      <c r="B216" s="369" t="s">
        <v>920</v>
      </c>
      <c r="C216" s="371">
        <v>45292</v>
      </c>
      <c r="D216" s="377">
        <f>25000</f>
        <v>25000</v>
      </c>
      <c r="E216" s="377"/>
      <c r="F216" s="377"/>
      <c r="G216" s="377">
        <f>60640</f>
        <v>60640</v>
      </c>
      <c r="H216" s="373">
        <f t="shared" si="5"/>
        <v>85640</v>
      </c>
      <c r="J216" s="385"/>
      <c r="K216" s="385"/>
      <c r="N216" s="385"/>
    </row>
    <row r="217" spans="1:14" ht="17.5">
      <c r="A217" s="762" t="s">
        <v>921</v>
      </c>
      <c r="B217" s="369" t="s">
        <v>922</v>
      </c>
      <c r="C217" s="371">
        <v>45292</v>
      </c>
      <c r="D217" s="377">
        <v>10000</v>
      </c>
      <c r="E217" s="377"/>
      <c r="F217" s="377"/>
      <c r="G217" s="378">
        <f>0</f>
        <v>0</v>
      </c>
      <c r="H217" s="373">
        <f t="shared" si="5"/>
        <v>10000</v>
      </c>
      <c r="J217" s="385"/>
      <c r="K217" s="385"/>
      <c r="N217" s="385"/>
    </row>
    <row r="218" spans="1:14" ht="16">
      <c r="A218" s="762" t="s">
        <v>876</v>
      </c>
      <c r="B218" s="369" t="s">
        <v>877</v>
      </c>
      <c r="C218" s="371">
        <v>45292</v>
      </c>
      <c r="D218" s="377"/>
      <c r="E218" s="377">
        <f>0</f>
        <v>0</v>
      </c>
      <c r="F218" s="377"/>
      <c r="G218" s="377"/>
      <c r="H218" s="373">
        <f t="shared" si="5"/>
        <v>0</v>
      </c>
      <c r="J218" s="385"/>
      <c r="K218" s="385"/>
      <c r="N218" s="387"/>
    </row>
    <row r="219" spans="1:14" ht="16">
      <c r="A219" s="762" t="s">
        <v>891</v>
      </c>
      <c r="B219" s="369" t="s">
        <v>892</v>
      </c>
      <c r="C219" s="371">
        <v>45292</v>
      </c>
      <c r="D219" s="377"/>
      <c r="E219" s="377">
        <f>0</f>
        <v>0</v>
      </c>
      <c r="F219" s="377"/>
      <c r="G219" s="377"/>
      <c r="H219" s="373">
        <f t="shared" si="5"/>
        <v>0</v>
      </c>
      <c r="J219" s="385"/>
      <c r="K219" s="385"/>
      <c r="N219" s="387"/>
    </row>
    <row r="220" spans="1:14" ht="16">
      <c r="A220" s="762" t="s">
        <v>923</v>
      </c>
      <c r="B220" s="369" t="s">
        <v>924</v>
      </c>
      <c r="C220" s="371">
        <v>45292</v>
      </c>
      <c r="D220" s="377">
        <f>20000</f>
        <v>20000</v>
      </c>
      <c r="E220" s="377"/>
      <c r="F220" s="377"/>
      <c r="G220" s="377"/>
      <c r="H220" s="373">
        <f t="shared" si="5"/>
        <v>20000</v>
      </c>
      <c r="J220" s="385"/>
      <c r="K220" s="385"/>
      <c r="N220" s="387"/>
    </row>
    <row r="221" spans="1:14" ht="16">
      <c r="A221" s="762" t="s">
        <v>925</v>
      </c>
      <c r="B221" s="369" t="s">
        <v>926</v>
      </c>
      <c r="C221" s="371">
        <v>45292</v>
      </c>
      <c r="D221" s="377">
        <f>20000</f>
        <v>20000</v>
      </c>
      <c r="E221" s="377"/>
      <c r="F221" s="377"/>
      <c r="G221" s="377"/>
      <c r="H221" s="373">
        <f t="shared" si="5"/>
        <v>20000</v>
      </c>
      <c r="J221" s="385"/>
      <c r="K221" s="385"/>
      <c r="N221" s="387"/>
    </row>
    <row r="222" spans="1:14" ht="16">
      <c r="A222" s="762" t="s">
        <v>927</v>
      </c>
      <c r="B222" s="369" t="s">
        <v>928</v>
      </c>
      <c r="C222" s="371">
        <v>45292</v>
      </c>
      <c r="D222" s="377">
        <f>50000</f>
        <v>50000</v>
      </c>
      <c r="E222" s="377"/>
      <c r="F222" s="377"/>
      <c r="G222" s="377"/>
      <c r="H222" s="373">
        <f t="shared" si="5"/>
        <v>50000</v>
      </c>
      <c r="J222" s="385"/>
      <c r="K222" s="385"/>
      <c r="N222" s="387"/>
    </row>
    <row r="223" spans="1:14" ht="16">
      <c r="A223" s="762" t="s">
        <v>929</v>
      </c>
      <c r="B223" s="369" t="s">
        <v>903</v>
      </c>
      <c r="C223" s="371">
        <v>45292</v>
      </c>
      <c r="D223" s="377">
        <f>20000</f>
        <v>20000</v>
      </c>
      <c r="E223" s="377">
        <f>2000</f>
        <v>2000</v>
      </c>
      <c r="F223" s="377"/>
      <c r="G223" s="377"/>
      <c r="H223" s="373">
        <f t="shared" si="5"/>
        <v>22000</v>
      </c>
      <c r="J223" s="385"/>
      <c r="K223" s="385"/>
      <c r="N223" s="387"/>
    </row>
    <row r="224" spans="1:14" ht="16">
      <c r="A224" s="410"/>
      <c r="B224" s="410"/>
      <c r="C224" s="425"/>
      <c r="D224" s="405">
        <f>SUM(D208:D223)</f>
        <v>215000</v>
      </c>
      <c r="E224" s="405">
        <f>SUM(E208:E223)</f>
        <v>2000</v>
      </c>
      <c r="F224" s="405">
        <f>SUM(F208:F223)</f>
        <v>10000</v>
      </c>
      <c r="G224" s="405">
        <f>SUM(G208:G223)</f>
        <v>154990</v>
      </c>
      <c r="H224" s="405">
        <f>SUM(H208:H223)</f>
        <v>381990</v>
      </c>
      <c r="I224" s="389"/>
      <c r="J224" s="385"/>
      <c r="K224" s="385"/>
      <c r="N224" s="387"/>
    </row>
    <row r="225" spans="1:13" ht="15">
      <c r="A225" s="395"/>
      <c r="B225" s="363"/>
      <c r="C225" s="395"/>
      <c r="D225" s="426"/>
      <c r="E225" s="426"/>
      <c r="F225" s="426"/>
      <c r="G225" s="426"/>
      <c r="H225" s="426"/>
      <c r="I225" s="385"/>
      <c r="J225" s="385"/>
      <c r="K225" s="385"/>
      <c r="L225" s="385"/>
      <c r="M225" s="385"/>
    </row>
    <row r="226" spans="1:13" ht="15">
      <c r="A226" s="363"/>
      <c r="B226" s="395"/>
      <c r="C226" s="363"/>
      <c r="D226" s="427">
        <f>D185+D224</f>
        <v>4630500</v>
      </c>
      <c r="E226" s="427">
        <f>E185+E224</f>
        <v>2000</v>
      </c>
      <c r="F226" s="427">
        <f>F185+F224</f>
        <v>718000</v>
      </c>
      <c r="G226" s="427">
        <f>G185+G224</f>
        <v>7170935.6884722197</v>
      </c>
      <c r="H226" s="427">
        <f>H185+H224</f>
        <v>12521435.6884722</v>
      </c>
      <c r="I226" s="385"/>
      <c r="J226" s="385"/>
      <c r="K226" s="385"/>
      <c r="L226" s="385"/>
      <c r="M226" s="385"/>
    </row>
    <row r="227" spans="1:13" ht="16.5">
      <c r="B227" s="428"/>
      <c r="E227" s="387"/>
      <c r="F227" s="412"/>
      <c r="H227" s="412"/>
      <c r="I227" s="385"/>
      <c r="J227" s="413"/>
      <c r="K227" s="385"/>
      <c r="M227" s="385"/>
    </row>
    <row r="228" spans="1:13">
      <c r="H228" s="385"/>
      <c r="I228" s="389"/>
      <c r="J228" s="385"/>
      <c r="K228" s="385"/>
      <c r="L228" s="389"/>
      <c r="M228" s="385"/>
    </row>
    <row r="229" spans="1:13">
      <c r="D229" s="387"/>
      <c r="G229" s="387"/>
      <c r="H229" s="385"/>
      <c r="I229" s="387"/>
      <c r="J229" s="385"/>
      <c r="K229" s="385"/>
      <c r="M229" s="385"/>
    </row>
    <row r="230" spans="1:13">
      <c r="E230" s="387"/>
      <c r="H230" s="385"/>
      <c r="K230" s="385"/>
      <c r="M230" s="385"/>
    </row>
    <row r="231" spans="1:13">
      <c r="H231" s="385"/>
      <c r="K231" s="385"/>
      <c r="M231" s="385"/>
    </row>
    <row r="232" spans="1:13" ht="14.5">
      <c r="H232" s="385"/>
      <c r="K232" s="385"/>
      <c r="M232" s="413"/>
    </row>
    <row r="233" spans="1:13">
      <c r="H233" s="385"/>
      <c r="K233" s="385"/>
    </row>
    <row r="234" spans="1:13">
      <c r="H234" s="385"/>
      <c r="K234" s="385"/>
    </row>
    <row r="235" spans="1:13">
      <c r="H235" s="385"/>
      <c r="K235" s="385"/>
      <c r="M235" s="387"/>
    </row>
    <row r="236" spans="1:13">
      <c r="H236" s="385"/>
      <c r="K236" s="385"/>
    </row>
    <row r="237" spans="1:13">
      <c r="K237" s="385"/>
    </row>
    <row r="238" spans="1:13" ht="14.5">
      <c r="K238" s="41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2.7265625" style="1" customWidth="1"/>
    <col min="5" max="5" width="18.7265625" style="1" customWidth="1"/>
    <col min="6" max="6" width="16.1796875" style="1" customWidth="1"/>
    <col min="7" max="7" width="18.1796875" style="1" customWidth="1"/>
    <col min="8" max="16384" width="9.1796875" style="1"/>
  </cols>
  <sheetData>
    <row r="1" spans="1:7" ht="27" customHeight="1">
      <c r="A1" s="791" t="s">
        <v>0</v>
      </c>
      <c r="B1" s="791"/>
      <c r="C1" s="791"/>
      <c r="D1" s="791"/>
      <c r="E1" s="791"/>
    </row>
    <row r="2" spans="1:7" ht="33.75" customHeight="1">
      <c r="A2" s="217" t="s">
        <v>930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5" t="s">
        <v>4</v>
      </c>
      <c r="E4" s="66" t="s">
        <v>134</v>
      </c>
      <c r="F4" s="66" t="s">
        <v>931</v>
      </c>
      <c r="G4" s="66" t="s">
        <v>932</v>
      </c>
    </row>
    <row r="5" spans="1:7" ht="17.25" customHeight="1">
      <c r="C5" s="67"/>
      <c r="D5" s="7"/>
      <c r="E5" s="68" t="s">
        <v>20</v>
      </c>
      <c r="F5" s="68" t="s">
        <v>20</v>
      </c>
      <c r="G5" s="68" t="s">
        <v>20</v>
      </c>
    </row>
    <row r="6" spans="1:7" ht="20.149999999999999" customHeight="1">
      <c r="A6" s="8" t="s">
        <v>21</v>
      </c>
      <c r="B6" s="7" t="s">
        <v>22</v>
      </c>
      <c r="C6" s="7"/>
      <c r="D6" s="7"/>
      <c r="E6" s="68"/>
      <c r="F6" s="20"/>
      <c r="G6" s="68"/>
    </row>
    <row r="7" spans="1:7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70">
        <v>2000000</v>
      </c>
      <c r="F7" s="70"/>
      <c r="G7" s="70">
        <f>E7</f>
        <v>2000000</v>
      </c>
    </row>
    <row r="8" spans="1:7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70">
        <v>350000</v>
      </c>
      <c r="F8" s="70"/>
      <c r="G8" s="70">
        <f t="shared" ref="G8:G16" si="0">E8</f>
        <v>350000</v>
      </c>
    </row>
    <row r="9" spans="1:7" ht="20.149999999999999" customHeight="1">
      <c r="A9" s="9">
        <v>3</v>
      </c>
      <c r="B9" s="13" t="s">
        <v>241</v>
      </c>
      <c r="C9" s="3" t="s">
        <v>242</v>
      </c>
      <c r="D9" s="9" t="s">
        <v>234</v>
      </c>
      <c r="E9" s="70">
        <v>700000</v>
      </c>
      <c r="F9" s="70"/>
      <c r="G9" s="70">
        <f t="shared" si="0"/>
        <v>700000</v>
      </c>
    </row>
    <row r="10" spans="1:7" ht="20.149999999999999" customHeight="1">
      <c r="A10" s="9">
        <v>4</v>
      </c>
      <c r="B10" s="10" t="s">
        <v>243</v>
      </c>
      <c r="C10" s="16" t="s">
        <v>244</v>
      </c>
      <c r="D10" s="9" t="s">
        <v>234</v>
      </c>
      <c r="E10" s="70">
        <v>700000</v>
      </c>
      <c r="F10" s="70"/>
      <c r="G10" s="70">
        <f t="shared" si="0"/>
        <v>700000</v>
      </c>
    </row>
    <row r="11" spans="1:7" ht="20.149999999999999" customHeight="1">
      <c r="A11" s="9">
        <v>5</v>
      </c>
      <c r="B11" s="13" t="s">
        <v>245</v>
      </c>
      <c r="C11" s="3" t="s">
        <v>246</v>
      </c>
      <c r="D11" s="9" t="s">
        <v>234</v>
      </c>
      <c r="E11" s="70">
        <v>700000</v>
      </c>
      <c r="F11" s="70"/>
      <c r="G11" s="70">
        <f t="shared" si="0"/>
        <v>700000</v>
      </c>
    </row>
    <row r="12" spans="1:7" ht="20.149999999999999" customHeight="1">
      <c r="A12" s="9">
        <v>6</v>
      </c>
      <c r="B12" s="17" t="s">
        <v>232</v>
      </c>
      <c r="C12" s="9" t="s">
        <v>233</v>
      </c>
      <c r="D12" s="9" t="s">
        <v>234</v>
      </c>
      <c r="E12" s="70">
        <v>700000</v>
      </c>
      <c r="F12" s="70"/>
      <c r="G12" s="70">
        <f t="shared" si="0"/>
        <v>700000</v>
      </c>
    </row>
    <row r="13" spans="1:7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70">
        <v>700000</v>
      </c>
      <c r="F13" s="70"/>
      <c r="G13" s="70">
        <f t="shared" si="0"/>
        <v>700000</v>
      </c>
    </row>
    <row r="14" spans="1:7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70">
        <v>700000</v>
      </c>
      <c r="F14" s="70"/>
      <c r="G14" s="70">
        <f t="shared" si="0"/>
        <v>700000</v>
      </c>
    </row>
    <row r="15" spans="1:7" ht="20.149999999999999" customHeight="1">
      <c r="A15" s="9">
        <v>9</v>
      </c>
      <c r="B15" s="10" t="s">
        <v>252</v>
      </c>
      <c r="C15" s="3" t="s">
        <v>253</v>
      </c>
      <c r="D15" s="14" t="s">
        <v>254</v>
      </c>
      <c r="E15" s="70">
        <v>500000</v>
      </c>
      <c r="F15" s="70"/>
      <c r="G15" s="70">
        <f t="shared" si="0"/>
        <v>500000</v>
      </c>
    </row>
    <row r="16" spans="1:7" ht="20.149999999999999" customHeight="1">
      <c r="A16" s="9">
        <v>10</v>
      </c>
      <c r="B16" s="13" t="s">
        <v>255</v>
      </c>
      <c r="C16" s="16" t="s">
        <v>256</v>
      </c>
      <c r="D16" s="14" t="s">
        <v>257</v>
      </c>
      <c r="E16" s="70">
        <v>500000</v>
      </c>
      <c r="F16" s="70"/>
      <c r="G16" s="70">
        <f t="shared" si="0"/>
        <v>500000</v>
      </c>
    </row>
    <row r="17" spans="1:7" ht="20.149999999999999" customHeight="1">
      <c r="A17" s="9">
        <v>11</v>
      </c>
      <c r="B17" s="10" t="s">
        <v>261</v>
      </c>
      <c r="C17" s="3" t="s">
        <v>262</v>
      </c>
      <c r="D17" s="9" t="s">
        <v>263</v>
      </c>
      <c r="E17" s="70">
        <v>500000</v>
      </c>
      <c r="F17" s="70">
        <f>E17</f>
        <v>500000</v>
      </c>
      <c r="G17" s="70"/>
    </row>
    <row r="18" spans="1:7" ht="20.149999999999999" customHeight="1">
      <c r="A18" s="9">
        <v>12</v>
      </c>
      <c r="B18" s="10" t="s">
        <v>264</v>
      </c>
      <c r="C18" s="11" t="s">
        <v>265</v>
      </c>
      <c r="D18" s="14" t="s">
        <v>266</v>
      </c>
      <c r="E18" s="70">
        <v>500000</v>
      </c>
      <c r="F18" s="70">
        <f t="shared" ref="F18:F30" si="1">E18</f>
        <v>500000</v>
      </c>
      <c r="G18" s="70"/>
    </row>
    <row r="19" spans="1:7" ht="20.149999999999999" customHeight="1">
      <c r="A19" s="9">
        <v>13</v>
      </c>
      <c r="B19" s="17" t="s">
        <v>267</v>
      </c>
      <c r="C19" s="3" t="s">
        <v>268</v>
      </c>
      <c r="D19" s="14" t="s">
        <v>269</v>
      </c>
      <c r="E19" s="70">
        <v>500000</v>
      </c>
      <c r="F19" s="70">
        <f t="shared" si="1"/>
        <v>500000</v>
      </c>
      <c r="G19" s="70"/>
    </row>
    <row r="20" spans="1:7" ht="18.75" customHeight="1">
      <c r="A20" s="9">
        <v>14</v>
      </c>
      <c r="B20" s="10" t="s">
        <v>270</v>
      </c>
      <c r="C20" s="11" t="s">
        <v>50</v>
      </c>
      <c r="D20" s="14" t="s">
        <v>271</v>
      </c>
      <c r="E20" s="70">
        <v>400000</v>
      </c>
      <c r="F20" s="70">
        <f t="shared" si="1"/>
        <v>400000</v>
      </c>
      <c r="G20" s="70"/>
    </row>
    <row r="21" spans="1:7" ht="20.149999999999999" customHeight="1">
      <c r="A21" s="9">
        <v>15</v>
      </c>
      <c r="B21" s="13" t="s">
        <v>272</v>
      </c>
      <c r="C21" s="16" t="s">
        <v>273</v>
      </c>
      <c r="D21" s="9" t="s">
        <v>42</v>
      </c>
      <c r="E21" s="70">
        <v>400000</v>
      </c>
      <c r="F21" s="70">
        <f t="shared" si="1"/>
        <v>400000</v>
      </c>
      <c r="G21" s="70"/>
    </row>
    <row r="22" spans="1:7" ht="20.149999999999999" customHeight="1">
      <c r="A22" s="9">
        <v>16</v>
      </c>
      <c r="B22" s="13" t="s">
        <v>276</v>
      </c>
      <c r="C22" s="16" t="s">
        <v>277</v>
      </c>
      <c r="D22" s="9" t="s">
        <v>38</v>
      </c>
      <c r="E22" s="70">
        <v>300000</v>
      </c>
      <c r="F22" s="70">
        <f t="shared" si="1"/>
        <v>300000</v>
      </c>
      <c r="G22" s="70"/>
    </row>
    <row r="23" spans="1:7" ht="18.75" customHeight="1">
      <c r="A23" s="9">
        <v>17</v>
      </c>
      <c r="B23" s="3" t="s">
        <v>278</v>
      </c>
      <c r="C23" s="3" t="s">
        <v>176</v>
      </c>
      <c r="D23" s="9" t="s">
        <v>279</v>
      </c>
      <c r="E23" s="70">
        <v>300000</v>
      </c>
      <c r="F23" s="70">
        <f t="shared" si="1"/>
        <v>300000</v>
      </c>
      <c r="G23" s="70"/>
    </row>
    <row r="24" spans="1:7" ht="18.75" customHeight="1">
      <c r="A24" s="9">
        <v>18</v>
      </c>
      <c r="B24" s="17" t="s">
        <v>280</v>
      </c>
      <c r="C24" s="11" t="s">
        <v>176</v>
      </c>
      <c r="D24" s="14" t="s">
        <v>279</v>
      </c>
      <c r="E24" s="70">
        <v>300000</v>
      </c>
      <c r="F24" s="70">
        <f t="shared" si="1"/>
        <v>300000</v>
      </c>
      <c r="G24" s="70"/>
    </row>
    <row r="25" spans="1:7" ht="18.75" customHeight="1">
      <c r="A25" s="9">
        <v>19</v>
      </c>
      <c r="B25" s="17" t="s">
        <v>282</v>
      </c>
      <c r="C25" s="11" t="s">
        <v>28</v>
      </c>
      <c r="D25" s="14" t="s">
        <v>283</v>
      </c>
      <c r="E25" s="70">
        <v>300000</v>
      </c>
      <c r="F25" s="70">
        <f t="shared" si="1"/>
        <v>300000</v>
      </c>
      <c r="G25" s="70"/>
    </row>
    <row r="26" spans="1:7" ht="18.75" customHeight="1">
      <c r="A26" s="9">
        <v>20</v>
      </c>
      <c r="B26" s="17" t="s">
        <v>284</v>
      </c>
      <c r="C26" s="3" t="s">
        <v>285</v>
      </c>
      <c r="D26" s="9" t="s">
        <v>25</v>
      </c>
      <c r="E26" s="70">
        <v>300000</v>
      </c>
      <c r="F26" s="70">
        <f t="shared" si="1"/>
        <v>300000</v>
      </c>
      <c r="G26" s="70"/>
    </row>
    <row r="27" spans="1:7" ht="18.75" customHeight="1">
      <c r="A27" s="9">
        <v>21</v>
      </c>
      <c r="B27" s="17" t="s">
        <v>287</v>
      </c>
      <c r="C27" s="16" t="s">
        <v>288</v>
      </c>
      <c r="D27" s="14" t="s">
        <v>283</v>
      </c>
      <c r="E27" s="70">
        <v>300000</v>
      </c>
      <c r="F27" s="70">
        <f t="shared" si="1"/>
        <v>300000</v>
      </c>
      <c r="G27" s="70"/>
    </row>
    <row r="28" spans="1:7" ht="18.75" customHeight="1">
      <c r="A28" s="9">
        <v>22</v>
      </c>
      <c r="B28" s="17" t="s">
        <v>289</v>
      </c>
      <c r="C28" s="3" t="s">
        <v>290</v>
      </c>
      <c r="D28" s="9" t="s">
        <v>291</v>
      </c>
      <c r="E28" s="70">
        <v>300000</v>
      </c>
      <c r="F28" s="70">
        <f t="shared" si="1"/>
        <v>300000</v>
      </c>
      <c r="G28" s="70"/>
    </row>
    <row r="29" spans="1:7" ht="18.75" customHeight="1">
      <c r="A29" s="9">
        <v>23</v>
      </c>
      <c r="B29" s="17" t="s">
        <v>933</v>
      </c>
      <c r="C29" s="11" t="s">
        <v>293</v>
      </c>
      <c r="D29" s="9" t="s">
        <v>291</v>
      </c>
      <c r="E29" s="70">
        <v>300000</v>
      </c>
      <c r="F29" s="70">
        <f t="shared" si="1"/>
        <v>300000</v>
      </c>
      <c r="G29" s="70"/>
    </row>
    <row r="30" spans="1:7" ht="18.75" customHeight="1">
      <c r="A30" s="9">
        <v>24</v>
      </c>
      <c r="B30" s="17" t="s">
        <v>292</v>
      </c>
      <c r="C30" s="11" t="s">
        <v>293</v>
      </c>
      <c r="D30" s="14" t="s">
        <v>294</v>
      </c>
      <c r="E30" s="70">
        <v>300000</v>
      </c>
      <c r="F30" s="70">
        <f t="shared" si="1"/>
        <v>300000</v>
      </c>
      <c r="G30" s="70"/>
    </row>
    <row r="31" spans="1:7" ht="26.25" customHeight="1">
      <c r="A31" s="9"/>
      <c r="B31" s="19" t="s">
        <v>34</v>
      </c>
      <c r="C31" s="20">
        <v>24</v>
      </c>
      <c r="D31" s="14"/>
      <c r="E31" s="75">
        <f>SUM(E7:E30)</f>
        <v>12550000</v>
      </c>
      <c r="F31" s="75">
        <f>SUM(F7:F30)</f>
        <v>5000000</v>
      </c>
      <c r="G31" s="75">
        <f>SUM(G7:G30)</f>
        <v>7550000</v>
      </c>
    </row>
    <row r="32" spans="1:7" ht="18.75" customHeight="1">
      <c r="A32" s="9"/>
      <c r="B32" s="21"/>
      <c r="C32" s="3"/>
      <c r="D32" s="14"/>
      <c r="E32" s="70"/>
      <c r="F32" s="75"/>
      <c r="G32" s="75"/>
    </row>
    <row r="33" spans="1:7" ht="18.75" customHeight="1">
      <c r="A33" s="9"/>
      <c r="B33" s="19" t="s">
        <v>35</v>
      </c>
      <c r="C33" s="3"/>
      <c r="D33" s="14"/>
      <c r="E33" s="70"/>
      <c r="F33" s="70"/>
      <c r="G33" s="70"/>
    </row>
    <row r="34" spans="1:7" ht="18.75" customHeight="1">
      <c r="A34" s="9">
        <v>1</v>
      </c>
      <c r="B34" s="17" t="s">
        <v>295</v>
      </c>
      <c r="C34" s="3" t="s">
        <v>296</v>
      </c>
      <c r="D34" s="9" t="s">
        <v>297</v>
      </c>
      <c r="E34" s="70">
        <v>1000000</v>
      </c>
      <c r="F34" s="70"/>
      <c r="G34" s="70">
        <f>E34</f>
        <v>1000000</v>
      </c>
    </row>
    <row r="35" spans="1:7" ht="18.75" customHeight="1">
      <c r="A35" s="9">
        <v>2</v>
      </c>
      <c r="B35" s="17" t="s">
        <v>298</v>
      </c>
      <c r="C35" s="3" t="s">
        <v>537</v>
      </c>
      <c r="D35" s="9" t="s">
        <v>294</v>
      </c>
      <c r="E35" s="70">
        <v>300000</v>
      </c>
      <c r="F35" s="70">
        <f>E35</f>
        <v>300000</v>
      </c>
      <c r="G35" s="70"/>
    </row>
    <row r="36" spans="1:7" ht="18.75" customHeight="1">
      <c r="A36" s="9">
        <v>3</v>
      </c>
      <c r="B36" s="10" t="s">
        <v>300</v>
      </c>
      <c r="C36" s="11" t="s">
        <v>534</v>
      </c>
      <c r="D36" s="14" t="s">
        <v>301</v>
      </c>
      <c r="E36" s="70">
        <v>300000</v>
      </c>
      <c r="F36" s="70">
        <f>E36</f>
        <v>300000</v>
      </c>
      <c r="G36" s="70"/>
    </row>
    <row r="37" spans="1:7" ht="19.5" customHeight="1">
      <c r="A37" s="9"/>
      <c r="B37" s="13"/>
      <c r="C37" s="20">
        <v>3</v>
      </c>
      <c r="D37" s="9"/>
      <c r="E37" s="75">
        <f>SUM(E34:E36)</f>
        <v>1600000</v>
      </c>
      <c r="F37" s="75">
        <f t="shared" ref="F37:G37" si="2">SUM(F34:F36)</f>
        <v>600000</v>
      </c>
      <c r="G37" s="75">
        <f t="shared" si="2"/>
        <v>1000000</v>
      </c>
    </row>
    <row r="38" spans="1:7" ht="20.149999999999999" customHeight="1">
      <c r="A38" s="9"/>
      <c r="B38" s="13"/>
      <c r="C38" s="3"/>
      <c r="D38" s="9"/>
      <c r="E38" s="70"/>
      <c r="F38" s="75"/>
      <c r="G38" s="75"/>
    </row>
    <row r="39" spans="1:7" ht="20.149999999999999" customHeight="1">
      <c r="A39" s="9"/>
      <c r="B39" s="22" t="s">
        <v>39</v>
      </c>
      <c r="C39" s="4"/>
      <c r="D39" s="23"/>
      <c r="E39" s="70"/>
      <c r="F39" s="75"/>
      <c r="G39" s="75"/>
    </row>
    <row r="40" spans="1:7" ht="20.149999999999999" customHeight="1">
      <c r="A40" s="9">
        <v>1</v>
      </c>
      <c r="B40" s="10" t="s">
        <v>302</v>
      </c>
      <c r="C40" s="3" t="s">
        <v>303</v>
      </c>
      <c r="D40" s="9" t="s">
        <v>297</v>
      </c>
      <c r="E40" s="70">
        <v>1000000</v>
      </c>
      <c r="F40" s="70"/>
      <c r="G40" s="70">
        <f>E40</f>
        <v>1000000</v>
      </c>
    </row>
    <row r="41" spans="1:7" ht="20.149999999999999" customHeight="1">
      <c r="A41" s="9">
        <v>2</v>
      </c>
      <c r="B41" s="10" t="s">
        <v>304</v>
      </c>
      <c r="C41" s="3" t="s">
        <v>305</v>
      </c>
      <c r="D41" s="9" t="s">
        <v>249</v>
      </c>
      <c r="E41" s="70">
        <v>700000</v>
      </c>
      <c r="F41" s="70"/>
      <c r="G41" s="70">
        <f t="shared" ref="G41:G47" si="3">E41</f>
        <v>700000</v>
      </c>
    </row>
    <row r="42" spans="1:7" ht="20.149999999999999" customHeight="1">
      <c r="A42" s="9">
        <v>3</v>
      </c>
      <c r="B42" s="10" t="s">
        <v>306</v>
      </c>
      <c r="C42" s="3" t="s">
        <v>307</v>
      </c>
      <c r="D42" s="9" t="s">
        <v>308</v>
      </c>
      <c r="E42" s="70">
        <v>700000</v>
      </c>
      <c r="F42" s="70"/>
      <c r="G42" s="70">
        <f t="shared" si="3"/>
        <v>700000</v>
      </c>
    </row>
    <row r="43" spans="1:7" ht="20.149999999999999" customHeight="1">
      <c r="A43" s="9">
        <v>4</v>
      </c>
      <c r="B43" s="10" t="s">
        <v>309</v>
      </c>
      <c r="C43" s="3" t="s">
        <v>310</v>
      </c>
      <c r="D43" s="9" t="s">
        <v>249</v>
      </c>
      <c r="E43" s="70">
        <v>700000</v>
      </c>
      <c r="F43" s="70"/>
      <c r="G43" s="70">
        <f t="shared" si="3"/>
        <v>700000</v>
      </c>
    </row>
    <row r="44" spans="1:7" ht="20.149999999999999" customHeight="1">
      <c r="A44" s="9">
        <v>5</v>
      </c>
      <c r="B44" s="10" t="s">
        <v>311</v>
      </c>
      <c r="C44" s="3" t="s">
        <v>310</v>
      </c>
      <c r="D44" s="9" t="s">
        <v>249</v>
      </c>
      <c r="E44" s="70">
        <v>700000</v>
      </c>
      <c r="F44" s="70"/>
      <c r="G44" s="70">
        <f t="shared" si="3"/>
        <v>700000</v>
      </c>
    </row>
    <row r="45" spans="1:7" ht="20.149999999999999" customHeight="1">
      <c r="A45" s="9">
        <v>6</v>
      </c>
      <c r="B45" s="10" t="s">
        <v>312</v>
      </c>
      <c r="C45" s="3" t="s">
        <v>310</v>
      </c>
      <c r="D45" s="9" t="s">
        <v>228</v>
      </c>
      <c r="E45" s="70">
        <v>700000</v>
      </c>
      <c r="F45" s="70"/>
      <c r="G45" s="70">
        <f t="shared" si="3"/>
        <v>700000</v>
      </c>
    </row>
    <row r="46" spans="1:7" ht="20.149999999999999" customHeight="1">
      <c r="A46" s="9">
        <v>7</v>
      </c>
      <c r="B46" s="13" t="s">
        <v>313</v>
      </c>
      <c r="C46" s="3" t="s">
        <v>256</v>
      </c>
      <c r="D46" s="15" t="s">
        <v>257</v>
      </c>
      <c r="E46" s="70">
        <v>500000</v>
      </c>
      <c r="F46" s="70"/>
      <c r="G46" s="70">
        <f t="shared" si="3"/>
        <v>500000</v>
      </c>
    </row>
    <row r="47" spans="1:7" ht="20.149999999999999" customHeight="1">
      <c r="A47" s="9">
        <v>8</v>
      </c>
      <c r="B47" s="10" t="s">
        <v>258</v>
      </c>
      <c r="C47" s="3" t="s">
        <v>259</v>
      </c>
      <c r="D47" s="9" t="s">
        <v>260</v>
      </c>
      <c r="E47" s="70">
        <v>500000</v>
      </c>
      <c r="F47" s="70"/>
      <c r="G47" s="70">
        <f t="shared" si="3"/>
        <v>500000</v>
      </c>
    </row>
    <row r="48" spans="1:7" ht="20.149999999999999" customHeight="1">
      <c r="A48" s="9">
        <v>9</v>
      </c>
      <c r="B48" s="10" t="s">
        <v>314</v>
      </c>
      <c r="C48" s="3" t="s">
        <v>63</v>
      </c>
      <c r="D48" s="9" t="s">
        <v>301</v>
      </c>
      <c r="E48" s="70">
        <v>300000</v>
      </c>
      <c r="F48" s="70">
        <f>E48</f>
        <v>300000</v>
      </c>
      <c r="G48" s="70"/>
    </row>
    <row r="49" spans="1:7" ht="20.149999999999999" customHeight="1">
      <c r="A49" s="9">
        <v>10</v>
      </c>
      <c r="B49" s="10" t="s">
        <v>315</v>
      </c>
      <c r="C49" s="3" t="s">
        <v>63</v>
      </c>
      <c r="D49" s="9" t="s">
        <v>283</v>
      </c>
      <c r="E49" s="70">
        <v>300000</v>
      </c>
      <c r="F49" s="70">
        <f t="shared" ref="F49:F51" si="4">E49</f>
        <v>300000</v>
      </c>
      <c r="G49" s="70"/>
    </row>
    <row r="50" spans="1:7" ht="20.149999999999999" customHeight="1">
      <c r="A50" s="9">
        <v>11</v>
      </c>
      <c r="B50" s="10" t="s">
        <v>316</v>
      </c>
      <c r="C50" s="3" t="s">
        <v>63</v>
      </c>
      <c r="D50" s="9" t="s">
        <v>283</v>
      </c>
      <c r="E50" s="70">
        <v>300000</v>
      </c>
      <c r="F50" s="70">
        <f t="shared" si="4"/>
        <v>300000</v>
      </c>
      <c r="G50" s="70"/>
    </row>
    <row r="51" spans="1:7" ht="20.149999999999999" customHeight="1">
      <c r="A51" s="9">
        <v>12</v>
      </c>
      <c r="B51" s="10" t="s">
        <v>317</v>
      </c>
      <c r="C51" s="3" t="s">
        <v>63</v>
      </c>
      <c r="D51" s="9" t="s">
        <v>283</v>
      </c>
      <c r="E51" s="70">
        <v>300000</v>
      </c>
      <c r="F51" s="70">
        <f t="shared" si="4"/>
        <v>300000</v>
      </c>
      <c r="G51" s="70"/>
    </row>
    <row r="52" spans="1:7" ht="25.5" customHeight="1">
      <c r="A52" s="9"/>
      <c r="B52" s="19" t="s">
        <v>34</v>
      </c>
      <c r="C52" s="20">
        <v>12</v>
      </c>
      <c r="D52" s="20"/>
      <c r="E52" s="75">
        <f>SUM(E40:E51)</f>
        <v>6700000</v>
      </c>
      <c r="F52" s="77">
        <f t="shared" ref="F52:G52" si="5">SUM(F40:F51)</f>
        <v>1200000</v>
      </c>
      <c r="G52" s="77">
        <f t="shared" si="5"/>
        <v>5500000</v>
      </c>
    </row>
    <row r="53" spans="1:7" ht="20.149999999999999" customHeight="1">
      <c r="A53" s="9"/>
      <c r="B53" s="21"/>
      <c r="C53" s="20"/>
      <c r="D53" s="20"/>
      <c r="E53" s="70"/>
      <c r="F53" s="78"/>
      <c r="G53" s="78"/>
    </row>
    <row r="54" spans="1:7" ht="20.149999999999999" customHeight="1">
      <c r="A54" s="9"/>
      <c r="B54" s="19" t="s">
        <v>318</v>
      </c>
      <c r="C54" s="20"/>
      <c r="D54" s="20"/>
      <c r="E54" s="70"/>
      <c r="F54" s="78"/>
      <c r="G54" s="78"/>
    </row>
    <row r="55" spans="1:7" ht="20.149999999999999" customHeight="1">
      <c r="A55" s="9">
        <v>1</v>
      </c>
      <c r="B55" s="10" t="s">
        <v>319</v>
      </c>
      <c r="C55" s="11" t="s">
        <v>320</v>
      </c>
      <c r="D55" s="14" t="s">
        <v>297</v>
      </c>
      <c r="E55" s="70">
        <v>500000</v>
      </c>
      <c r="F55" s="70"/>
      <c r="G55" s="70">
        <f>E55</f>
        <v>500000</v>
      </c>
    </row>
    <row r="56" spans="1:7" ht="20.149999999999999" customHeight="1">
      <c r="A56" s="9">
        <v>2</v>
      </c>
      <c r="B56" s="10" t="s">
        <v>321</v>
      </c>
      <c r="C56" s="11" t="s">
        <v>322</v>
      </c>
      <c r="D56" s="14" t="s">
        <v>225</v>
      </c>
      <c r="E56" s="70">
        <v>700000</v>
      </c>
      <c r="F56" s="70"/>
      <c r="G56" s="70">
        <f>E56</f>
        <v>700000</v>
      </c>
    </row>
    <row r="57" spans="1:7" ht="20.149999999999999" customHeight="1">
      <c r="A57" s="9"/>
      <c r="B57" s="19" t="s">
        <v>34</v>
      </c>
      <c r="C57" s="20">
        <v>2</v>
      </c>
      <c r="D57" s="20"/>
      <c r="E57" s="70">
        <f>SUM(E55:E56)</f>
        <v>1200000</v>
      </c>
      <c r="F57" s="77"/>
      <c r="G57" s="77">
        <f>SUM(G55:G56)</f>
        <v>1200000</v>
      </c>
    </row>
    <row r="58" spans="1:7" ht="20.149999999999999" customHeight="1">
      <c r="A58" s="9"/>
      <c r="B58" s="19"/>
      <c r="C58" s="20"/>
      <c r="D58" s="20"/>
      <c r="E58" s="70"/>
      <c r="F58" s="78"/>
      <c r="G58" s="78"/>
    </row>
    <row r="59" spans="1:7" ht="20.149999999999999" customHeight="1">
      <c r="A59" s="9"/>
      <c r="B59" s="19" t="s">
        <v>45</v>
      </c>
      <c r="C59" s="20"/>
      <c r="D59" s="20"/>
      <c r="E59" s="70"/>
      <c r="F59" s="78"/>
      <c r="G59" s="78"/>
    </row>
    <row r="60" spans="1:7" ht="20.149999999999999" customHeight="1">
      <c r="A60" s="9">
        <v>1</v>
      </c>
      <c r="B60" s="10" t="s">
        <v>323</v>
      </c>
      <c r="C60" s="16" t="s">
        <v>324</v>
      </c>
      <c r="D60" s="9" t="s">
        <v>297</v>
      </c>
      <c r="E60" s="70">
        <v>500000</v>
      </c>
      <c r="F60" s="70"/>
      <c r="G60" s="70">
        <f>E60</f>
        <v>500000</v>
      </c>
    </row>
    <row r="61" spans="1:7" ht="20.149999999999999" customHeight="1">
      <c r="A61" s="9">
        <v>2</v>
      </c>
      <c r="B61" s="328" t="s">
        <v>325</v>
      </c>
      <c r="C61" s="16" t="s">
        <v>326</v>
      </c>
      <c r="D61" s="14" t="s">
        <v>327</v>
      </c>
      <c r="E61" s="70">
        <v>350000</v>
      </c>
      <c r="F61" s="70"/>
      <c r="G61" s="70">
        <f t="shared" ref="G61:G62" si="6">E61</f>
        <v>350000</v>
      </c>
    </row>
    <row r="62" spans="1:7" ht="20.149999999999999" customHeight="1">
      <c r="A62" s="9">
        <v>3</v>
      </c>
      <c r="B62" s="10" t="s">
        <v>328</v>
      </c>
      <c r="C62" s="3" t="s">
        <v>256</v>
      </c>
      <c r="D62" s="9" t="s">
        <v>260</v>
      </c>
      <c r="E62" s="70">
        <v>500000</v>
      </c>
      <c r="F62" s="70"/>
      <c r="G62" s="70">
        <f t="shared" si="6"/>
        <v>500000</v>
      </c>
    </row>
    <row r="63" spans="1:7" ht="20.149999999999999" customHeight="1">
      <c r="A63" s="9">
        <v>4</v>
      </c>
      <c r="B63" s="17" t="s">
        <v>329</v>
      </c>
      <c r="C63" s="16" t="s">
        <v>47</v>
      </c>
      <c r="D63" s="14" t="s">
        <v>266</v>
      </c>
      <c r="E63" s="70">
        <v>500000</v>
      </c>
      <c r="F63" s="70">
        <f>E63</f>
        <v>500000</v>
      </c>
      <c r="G63" s="70"/>
    </row>
    <row r="64" spans="1:7" ht="20.149999999999999" customHeight="1">
      <c r="A64" s="9">
        <v>5</v>
      </c>
      <c r="B64" s="13" t="s">
        <v>330</v>
      </c>
      <c r="C64" s="16" t="s">
        <v>256</v>
      </c>
      <c r="D64" s="14" t="s">
        <v>254</v>
      </c>
      <c r="E64" s="70">
        <v>500000</v>
      </c>
      <c r="F64" s="70"/>
      <c r="G64" s="70">
        <f>E64</f>
        <v>500000</v>
      </c>
    </row>
    <row r="65" spans="1:7" ht="20.149999999999999" customHeight="1">
      <c r="A65" s="9">
        <v>7</v>
      </c>
      <c r="B65" s="10" t="s">
        <v>331</v>
      </c>
      <c r="C65" s="3" t="s">
        <v>63</v>
      </c>
      <c r="D65" s="9" t="s">
        <v>332</v>
      </c>
      <c r="E65" s="70">
        <v>400000</v>
      </c>
      <c r="F65" s="70">
        <f>E65</f>
        <v>400000</v>
      </c>
      <c r="G65" s="70"/>
    </row>
    <row r="66" spans="1:7" ht="20.149999999999999" customHeight="1">
      <c r="A66" s="9">
        <v>8</v>
      </c>
      <c r="B66" s="10" t="s">
        <v>333</v>
      </c>
      <c r="C66" s="16" t="s">
        <v>275</v>
      </c>
      <c r="D66" s="9" t="s">
        <v>332</v>
      </c>
      <c r="E66" s="70">
        <v>400000</v>
      </c>
      <c r="F66" s="70">
        <f t="shared" ref="F66:F70" si="7">E66</f>
        <v>400000</v>
      </c>
      <c r="G66" s="70"/>
    </row>
    <row r="67" spans="1:7" ht="20.149999999999999" customHeight="1">
      <c r="A67" s="9">
        <v>9</v>
      </c>
      <c r="B67" s="10" t="s">
        <v>334</v>
      </c>
      <c r="C67" s="16" t="s">
        <v>275</v>
      </c>
      <c r="D67" s="9" t="s">
        <v>332</v>
      </c>
      <c r="E67" s="70">
        <v>400000</v>
      </c>
      <c r="F67" s="70">
        <f t="shared" si="7"/>
        <v>400000</v>
      </c>
      <c r="G67" s="70"/>
    </row>
    <row r="68" spans="1:7" ht="20.149999999999999" customHeight="1">
      <c r="A68" s="9">
        <v>10</v>
      </c>
      <c r="B68" s="10" t="s">
        <v>335</v>
      </c>
      <c r="C68" s="3" t="s">
        <v>336</v>
      </c>
      <c r="D68" s="9" t="s">
        <v>271</v>
      </c>
      <c r="E68" s="70">
        <v>400000</v>
      </c>
      <c r="F68" s="70">
        <f t="shared" si="7"/>
        <v>400000</v>
      </c>
      <c r="G68" s="70"/>
    </row>
    <row r="69" spans="1:7" ht="21.65" customHeight="1">
      <c r="A69" s="9">
        <v>11</v>
      </c>
      <c r="B69" s="10" t="s">
        <v>337</v>
      </c>
      <c r="C69" s="3" t="s">
        <v>63</v>
      </c>
      <c r="D69" s="9" t="s">
        <v>301</v>
      </c>
      <c r="E69" s="70">
        <v>300000</v>
      </c>
      <c r="F69" s="70">
        <f t="shared" si="7"/>
        <v>300000</v>
      </c>
      <c r="G69" s="70"/>
    </row>
    <row r="70" spans="1:7" ht="20.149999999999999" customHeight="1">
      <c r="A70" s="9">
        <v>12</v>
      </c>
      <c r="B70" s="10" t="s">
        <v>281</v>
      </c>
      <c r="C70" s="16" t="s">
        <v>273</v>
      </c>
      <c r="D70" s="9" t="s">
        <v>279</v>
      </c>
      <c r="E70" s="70">
        <v>300000</v>
      </c>
      <c r="F70" s="70">
        <f t="shared" si="7"/>
        <v>300000</v>
      </c>
      <c r="G70" s="70"/>
    </row>
    <row r="71" spans="1:7" ht="27" customHeight="1">
      <c r="A71" s="9"/>
      <c r="B71" s="19" t="s">
        <v>34</v>
      </c>
      <c r="C71" s="20">
        <v>12</v>
      </c>
      <c r="D71" s="20"/>
      <c r="E71" s="75">
        <f>SUM(E60:E70)</f>
        <v>4550000</v>
      </c>
      <c r="F71" s="77">
        <f t="shared" ref="F71:G71" si="8">SUM(F60:F70)</f>
        <v>2700000</v>
      </c>
      <c r="G71" s="77">
        <f t="shared" si="8"/>
        <v>1850000</v>
      </c>
    </row>
    <row r="72" spans="1:7" ht="20.149999999999999" customHeight="1">
      <c r="A72" s="9"/>
      <c r="B72" s="21"/>
      <c r="C72" s="20"/>
      <c r="D72" s="20"/>
      <c r="E72" s="70"/>
      <c r="F72" s="78"/>
      <c r="G72" s="78"/>
    </row>
    <row r="73" spans="1:7" ht="20.149999999999999" customHeight="1">
      <c r="A73" s="9"/>
      <c r="B73" s="19" t="s">
        <v>51</v>
      </c>
      <c r="C73" s="20"/>
      <c r="D73" s="20"/>
      <c r="E73" s="70"/>
      <c r="F73" s="78"/>
      <c r="G73" s="78"/>
    </row>
    <row r="74" spans="1:7" ht="20.149999999999999" customHeight="1">
      <c r="A74" s="9">
        <v>1</v>
      </c>
      <c r="B74" s="10" t="s">
        <v>338</v>
      </c>
      <c r="C74" s="3" t="s">
        <v>339</v>
      </c>
      <c r="D74" s="9" t="s">
        <v>297</v>
      </c>
      <c r="E74" s="70">
        <v>1000000</v>
      </c>
      <c r="F74" s="70"/>
      <c r="G74" s="70">
        <f>E74</f>
        <v>1000000</v>
      </c>
    </row>
    <row r="75" spans="1:7" ht="20.149999999999999" customHeight="1">
      <c r="A75" s="9">
        <v>2</v>
      </c>
      <c r="B75" s="13" t="s">
        <v>220</v>
      </c>
      <c r="C75" s="3" t="s">
        <v>221</v>
      </c>
      <c r="D75" s="14" t="s">
        <v>222</v>
      </c>
      <c r="E75" s="70">
        <v>700000</v>
      </c>
      <c r="F75" s="70"/>
      <c r="G75" s="70">
        <f t="shared" ref="G75:G77" si="9">E75</f>
        <v>700000</v>
      </c>
    </row>
    <row r="76" spans="1:7" ht="20.149999999999999" customHeight="1">
      <c r="A76" s="9">
        <v>3</v>
      </c>
      <c r="B76" s="17" t="s">
        <v>223</v>
      </c>
      <c r="C76" s="11" t="s">
        <v>224</v>
      </c>
      <c r="D76" s="9" t="s">
        <v>225</v>
      </c>
      <c r="E76" s="70">
        <v>700000</v>
      </c>
      <c r="F76" s="70"/>
      <c r="G76" s="70">
        <f t="shared" si="9"/>
        <v>700000</v>
      </c>
    </row>
    <row r="77" spans="1:7" ht="20.149999999999999" customHeight="1">
      <c r="A77" s="9">
        <v>4</v>
      </c>
      <c r="B77" s="10" t="s">
        <v>340</v>
      </c>
      <c r="C77" s="3" t="s">
        <v>341</v>
      </c>
      <c r="D77" s="14" t="s">
        <v>342</v>
      </c>
      <c r="E77" s="70">
        <v>500000</v>
      </c>
      <c r="F77" s="70"/>
      <c r="G77" s="70">
        <f t="shared" si="9"/>
        <v>500000</v>
      </c>
    </row>
    <row r="78" spans="1:7" ht="20.149999999999999" customHeight="1">
      <c r="A78" s="9">
        <v>5</v>
      </c>
      <c r="B78" s="10" t="s">
        <v>343</v>
      </c>
      <c r="C78" s="3" t="s">
        <v>344</v>
      </c>
      <c r="D78" s="9" t="s">
        <v>345</v>
      </c>
      <c r="E78" s="70">
        <v>300000</v>
      </c>
      <c r="F78" s="70">
        <f>E78</f>
        <v>300000</v>
      </c>
      <c r="G78" s="70"/>
    </row>
    <row r="79" spans="1:7" ht="20.149999999999999" customHeight="1">
      <c r="A79" s="9">
        <v>6</v>
      </c>
      <c r="B79" s="10" t="s">
        <v>346</v>
      </c>
      <c r="C79" s="3" t="s">
        <v>344</v>
      </c>
      <c r="D79" s="9" t="s">
        <v>283</v>
      </c>
      <c r="E79" s="70">
        <v>300000</v>
      </c>
      <c r="F79" s="70">
        <f t="shared" ref="F79:F80" si="10">E79</f>
        <v>300000</v>
      </c>
      <c r="G79" s="70"/>
    </row>
    <row r="80" spans="1:7" ht="20.149999999999999" customHeight="1">
      <c r="A80" s="9">
        <v>7</v>
      </c>
      <c r="B80" s="10" t="s">
        <v>347</v>
      </c>
      <c r="C80" s="3" t="s">
        <v>348</v>
      </c>
      <c r="D80" s="9" t="s">
        <v>294</v>
      </c>
      <c r="E80" s="70">
        <v>300000</v>
      </c>
      <c r="F80" s="70">
        <f t="shared" si="10"/>
        <v>300000</v>
      </c>
      <c r="G80" s="70"/>
    </row>
    <row r="81" spans="1:7" ht="20.149999999999999" customHeight="1">
      <c r="A81" s="9"/>
      <c r="B81" s="19" t="s">
        <v>34</v>
      </c>
      <c r="C81" s="20">
        <v>7</v>
      </c>
      <c r="D81" s="20"/>
      <c r="E81" s="75">
        <f>SUM(E74:E80)</f>
        <v>3800000</v>
      </c>
      <c r="F81" s="77">
        <f t="shared" ref="F81:G81" si="11">SUM(F74:F80)</f>
        <v>900000</v>
      </c>
      <c r="G81" s="77">
        <f t="shared" si="11"/>
        <v>2900000</v>
      </c>
    </row>
    <row r="82" spans="1:7" ht="20.149999999999999" customHeight="1">
      <c r="A82" s="9"/>
      <c r="B82" s="19"/>
      <c r="C82" s="20"/>
      <c r="D82" s="20"/>
      <c r="E82" s="70"/>
      <c r="F82" s="78"/>
      <c r="G82" s="78"/>
    </row>
    <row r="83" spans="1:7" ht="20.149999999999999" customHeight="1">
      <c r="A83" s="9"/>
      <c r="B83" s="19" t="s">
        <v>56</v>
      </c>
      <c r="C83" s="24"/>
      <c r="D83" s="20"/>
      <c r="E83" s="70"/>
      <c r="F83" s="78"/>
      <c r="G83" s="78"/>
    </row>
    <row r="84" spans="1:7" ht="20.149999999999999" customHeight="1">
      <c r="A84" s="9">
        <v>1</v>
      </c>
      <c r="B84" s="10" t="s">
        <v>349</v>
      </c>
      <c r="C84" s="3" t="s">
        <v>310</v>
      </c>
      <c r="D84" s="9" t="s">
        <v>249</v>
      </c>
      <c r="E84" s="70">
        <f>700000</f>
        <v>700000</v>
      </c>
      <c r="F84" s="70"/>
      <c r="G84" s="70">
        <f>E84</f>
        <v>700000</v>
      </c>
    </row>
    <row r="85" spans="1:7" ht="20.149999999999999" customHeight="1">
      <c r="A85" s="9">
        <v>2</v>
      </c>
      <c r="B85" s="10" t="s">
        <v>350</v>
      </c>
      <c r="C85" s="3" t="s">
        <v>310</v>
      </c>
      <c r="D85" s="9" t="s">
        <v>249</v>
      </c>
      <c r="E85" s="70">
        <f t="shared" ref="E85:E87" si="12">700000</f>
        <v>700000</v>
      </c>
      <c r="F85" s="70"/>
      <c r="G85" s="70">
        <f t="shared" ref="G85:G87" si="13">E85</f>
        <v>700000</v>
      </c>
    </row>
    <row r="86" spans="1:7" ht="20.149999999999999" customHeight="1">
      <c r="A86" s="9">
        <v>3</v>
      </c>
      <c r="B86" s="13" t="s">
        <v>386</v>
      </c>
      <c r="C86" s="3" t="s">
        <v>310</v>
      </c>
      <c r="D86" s="9" t="s">
        <v>327</v>
      </c>
      <c r="E86" s="70">
        <f t="shared" si="12"/>
        <v>700000</v>
      </c>
      <c r="F86" s="70"/>
      <c r="G86" s="70">
        <f t="shared" si="13"/>
        <v>700000</v>
      </c>
    </row>
    <row r="87" spans="1:7" ht="20.149999999999999" customHeight="1">
      <c r="A87" s="9">
        <v>4</v>
      </c>
      <c r="B87" s="10" t="s">
        <v>351</v>
      </c>
      <c r="C87" s="3" t="s">
        <v>310</v>
      </c>
      <c r="D87" s="9" t="s">
        <v>228</v>
      </c>
      <c r="E87" s="70">
        <f t="shared" si="12"/>
        <v>700000</v>
      </c>
      <c r="F87" s="70"/>
      <c r="G87" s="70">
        <f t="shared" si="13"/>
        <v>700000</v>
      </c>
    </row>
    <row r="88" spans="1:7" ht="21.65" customHeight="1">
      <c r="A88" s="9">
        <v>5</v>
      </c>
      <c r="B88" s="10" t="s">
        <v>352</v>
      </c>
      <c r="C88" s="3" t="s">
        <v>353</v>
      </c>
      <c r="D88" s="14" t="s">
        <v>263</v>
      </c>
      <c r="E88" s="70">
        <v>500000</v>
      </c>
      <c r="F88" s="70">
        <f>E88</f>
        <v>500000</v>
      </c>
      <c r="G88" s="70"/>
    </row>
    <row r="89" spans="1:7" ht="21.65" customHeight="1">
      <c r="A89" s="9">
        <v>6</v>
      </c>
      <c r="B89" s="10" t="s">
        <v>354</v>
      </c>
      <c r="C89" s="11" t="s">
        <v>47</v>
      </c>
      <c r="D89" s="14" t="s">
        <v>266</v>
      </c>
      <c r="E89" s="70">
        <v>500000</v>
      </c>
      <c r="F89" s="70">
        <f>E89</f>
        <v>500000</v>
      </c>
      <c r="G89" s="70"/>
    </row>
    <row r="90" spans="1:7" ht="21.65" customHeight="1">
      <c r="A90" s="9">
        <v>7</v>
      </c>
      <c r="B90" s="10" t="s">
        <v>355</v>
      </c>
      <c r="C90" s="11" t="s">
        <v>256</v>
      </c>
      <c r="D90" s="14" t="s">
        <v>356</v>
      </c>
      <c r="E90" s="70">
        <v>250000</v>
      </c>
      <c r="F90" s="70"/>
      <c r="G90" s="70">
        <f>E90</f>
        <v>250000</v>
      </c>
    </row>
    <row r="91" spans="1:7" ht="21.65" customHeight="1">
      <c r="A91" s="9">
        <v>8</v>
      </c>
      <c r="B91" s="10" t="s">
        <v>357</v>
      </c>
      <c r="C91" s="16" t="s">
        <v>275</v>
      </c>
      <c r="D91" s="14" t="s">
        <v>332</v>
      </c>
      <c r="E91" s="70">
        <v>400000</v>
      </c>
      <c r="F91" s="70">
        <f>E91</f>
        <v>400000</v>
      </c>
      <c r="G91" s="70"/>
    </row>
    <row r="92" spans="1:7" ht="21.65" customHeight="1">
      <c r="A92" s="9">
        <v>9</v>
      </c>
      <c r="B92" s="10" t="s">
        <v>358</v>
      </c>
      <c r="C92" s="16" t="s">
        <v>275</v>
      </c>
      <c r="D92" s="14" t="s">
        <v>48</v>
      </c>
      <c r="E92" s="70">
        <v>500000</v>
      </c>
      <c r="F92" s="70">
        <f t="shared" ref="F92:F94" si="14">E92</f>
        <v>500000</v>
      </c>
      <c r="G92" s="70"/>
    </row>
    <row r="93" spans="1:7" ht="21.65" customHeight="1">
      <c r="A93" s="9">
        <v>10</v>
      </c>
      <c r="B93" s="10" t="s">
        <v>359</v>
      </c>
      <c r="C93" s="3" t="s">
        <v>360</v>
      </c>
      <c r="D93" s="9" t="s">
        <v>301</v>
      </c>
      <c r="E93" s="70">
        <v>300000</v>
      </c>
      <c r="F93" s="70">
        <f t="shared" si="14"/>
        <v>300000</v>
      </c>
      <c r="G93" s="70"/>
    </row>
    <row r="94" spans="1:7" ht="21.65" customHeight="1">
      <c r="A94" s="9">
        <v>11</v>
      </c>
      <c r="B94" s="10" t="s">
        <v>361</v>
      </c>
      <c r="C94" s="16" t="s">
        <v>362</v>
      </c>
      <c r="D94" s="14" t="s">
        <v>291</v>
      </c>
      <c r="E94" s="70">
        <v>300000</v>
      </c>
      <c r="F94" s="70">
        <f t="shared" si="14"/>
        <v>300000</v>
      </c>
      <c r="G94" s="70"/>
    </row>
    <row r="95" spans="1:7" ht="20.149999999999999" customHeight="1">
      <c r="A95" s="9"/>
      <c r="B95" s="19" t="s">
        <v>34</v>
      </c>
      <c r="C95" s="20">
        <v>11</v>
      </c>
      <c r="D95" s="20"/>
      <c r="E95" s="75">
        <f>SUM(E84:E94)</f>
        <v>5550000</v>
      </c>
      <c r="F95" s="77">
        <f t="shared" ref="F95:G95" si="15">SUM(F84:F94)</f>
        <v>2500000</v>
      </c>
      <c r="G95" s="77">
        <f t="shared" si="15"/>
        <v>3050000</v>
      </c>
    </row>
    <row r="96" spans="1:7" ht="20.149999999999999" customHeight="1">
      <c r="A96" s="9"/>
      <c r="B96" s="21"/>
      <c r="C96" s="20"/>
      <c r="D96" s="20"/>
      <c r="E96" s="70"/>
      <c r="F96" s="78"/>
      <c r="G96" s="78"/>
    </row>
    <row r="97" spans="1:7" ht="20.149999999999999" customHeight="1">
      <c r="A97" s="9"/>
      <c r="B97" s="19" t="s">
        <v>58</v>
      </c>
      <c r="C97" s="20"/>
      <c r="D97" s="20"/>
      <c r="E97" s="70"/>
      <c r="F97" s="78"/>
      <c r="G97" s="78"/>
    </row>
    <row r="98" spans="1:7" ht="20.149999999999999" customHeight="1">
      <c r="A98" s="9">
        <v>1</v>
      </c>
      <c r="B98" s="13" t="s">
        <v>363</v>
      </c>
      <c r="C98" s="3" t="s">
        <v>364</v>
      </c>
      <c r="D98" s="15" t="s">
        <v>231</v>
      </c>
      <c r="E98" s="70">
        <v>700000</v>
      </c>
      <c r="F98" s="70"/>
      <c r="G98" s="70">
        <v>700000</v>
      </c>
    </row>
    <row r="99" spans="1:7" ht="20.149999999999999" customHeight="1">
      <c r="A99" s="9">
        <v>2</v>
      </c>
      <c r="B99" s="10" t="s">
        <v>366</v>
      </c>
      <c r="C99" s="3" t="s">
        <v>367</v>
      </c>
      <c r="D99" s="14" t="s">
        <v>342</v>
      </c>
      <c r="E99" s="70">
        <v>500000</v>
      </c>
      <c r="F99" s="70"/>
      <c r="G99" s="70">
        <v>500000</v>
      </c>
    </row>
    <row r="100" spans="1:7" ht="20.149999999999999" customHeight="1">
      <c r="A100" s="9">
        <v>3</v>
      </c>
      <c r="B100" s="10" t="s">
        <v>368</v>
      </c>
      <c r="C100" s="3" t="s">
        <v>369</v>
      </c>
      <c r="D100" s="14" t="s">
        <v>271</v>
      </c>
      <c r="E100" s="70">
        <v>400000</v>
      </c>
      <c r="F100" s="70">
        <v>400000</v>
      </c>
      <c r="G100" s="70"/>
    </row>
    <row r="101" spans="1:7" ht="20.149999999999999" customHeight="1">
      <c r="A101" s="9">
        <v>4</v>
      </c>
      <c r="B101" s="10" t="s">
        <v>370</v>
      </c>
      <c r="C101" s="3" t="s">
        <v>371</v>
      </c>
      <c r="D101" s="14" t="s">
        <v>301</v>
      </c>
      <c r="E101" s="70">
        <v>300000</v>
      </c>
      <c r="F101" s="70">
        <v>300000</v>
      </c>
      <c r="G101" s="70"/>
    </row>
    <row r="102" spans="1:7" ht="20.149999999999999" customHeight="1">
      <c r="A102" s="3"/>
      <c r="B102" s="19" t="s">
        <v>34</v>
      </c>
      <c r="C102" s="20">
        <v>4</v>
      </c>
      <c r="D102" s="25"/>
      <c r="E102" s="77">
        <f>SUM(E98:E101)</f>
        <v>1900000</v>
      </c>
      <c r="F102" s="77">
        <f t="shared" ref="F102:G102" si="16">SUM(F98:F101)</f>
        <v>700000</v>
      </c>
      <c r="G102" s="77">
        <f t="shared" si="16"/>
        <v>1200000</v>
      </c>
    </row>
    <row r="103" spans="1:7" ht="20.149999999999999" customHeight="1">
      <c r="A103" s="3"/>
      <c r="B103" s="21"/>
      <c r="C103" s="20"/>
      <c r="D103" s="25"/>
      <c r="E103" s="78"/>
      <c r="F103" s="78"/>
      <c r="G103" s="78"/>
    </row>
    <row r="104" spans="1:7" ht="20.149999999999999" customHeight="1">
      <c r="A104" s="3"/>
      <c r="B104" s="19" t="s">
        <v>372</v>
      </c>
      <c r="C104" s="3"/>
      <c r="D104" s="3"/>
      <c r="E104" s="82"/>
      <c r="F104" s="82"/>
      <c r="G104" s="82"/>
    </row>
    <row r="105" spans="1:7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70">
        <v>1000000</v>
      </c>
      <c r="F105" s="70"/>
      <c r="G105" s="70">
        <f>E105</f>
        <v>1000000</v>
      </c>
    </row>
    <row r="106" spans="1:7" ht="20.149999999999999" customHeight="1">
      <c r="A106" s="3">
        <v>2</v>
      </c>
      <c r="B106" s="10" t="s">
        <v>375</v>
      </c>
      <c r="C106" s="3" t="s">
        <v>376</v>
      </c>
      <c r="D106" s="15" t="s">
        <v>231</v>
      </c>
      <c r="E106" s="70">
        <v>700000</v>
      </c>
      <c r="F106" s="70"/>
      <c r="G106" s="70">
        <f>E106</f>
        <v>700000</v>
      </c>
    </row>
    <row r="107" spans="1:7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70">
        <v>500000</v>
      </c>
      <c r="F107" s="70">
        <f>E107</f>
        <v>500000</v>
      </c>
      <c r="G107" s="70"/>
    </row>
    <row r="108" spans="1:7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70">
        <v>500000</v>
      </c>
      <c r="F108" s="70">
        <f>E108</f>
        <v>500000</v>
      </c>
      <c r="G108" s="70"/>
    </row>
    <row r="109" spans="1:7" ht="20.149999999999999" customHeight="1">
      <c r="A109" s="3">
        <v>5</v>
      </c>
      <c r="B109" s="10" t="s">
        <v>380</v>
      </c>
      <c r="C109" s="3" t="s">
        <v>381</v>
      </c>
      <c r="D109" s="14" t="s">
        <v>382</v>
      </c>
      <c r="E109" s="348">
        <v>300000</v>
      </c>
      <c r="F109" s="70">
        <f t="shared" ref="F109:F111" si="17">E109</f>
        <v>300000</v>
      </c>
      <c r="G109" s="70"/>
    </row>
    <row r="110" spans="1:7" ht="20.149999999999999" customHeight="1">
      <c r="A110" s="3">
        <v>6</v>
      </c>
      <c r="B110" s="17" t="s">
        <v>383</v>
      </c>
      <c r="C110" s="3" t="s">
        <v>381</v>
      </c>
      <c r="D110" s="9" t="s">
        <v>384</v>
      </c>
      <c r="E110" s="348">
        <v>300000</v>
      </c>
      <c r="F110" s="70">
        <f t="shared" si="17"/>
        <v>300000</v>
      </c>
      <c r="G110" s="70"/>
    </row>
    <row r="111" spans="1:7" ht="20.149999999999999" customHeight="1">
      <c r="A111" s="3">
        <v>7</v>
      </c>
      <c r="B111" s="17" t="s">
        <v>385</v>
      </c>
      <c r="C111" s="3" t="s">
        <v>381</v>
      </c>
      <c r="D111" s="14" t="s">
        <v>291</v>
      </c>
      <c r="E111" s="348">
        <v>300000</v>
      </c>
      <c r="F111" s="70">
        <f t="shared" si="17"/>
        <v>300000</v>
      </c>
      <c r="G111" s="70"/>
    </row>
    <row r="112" spans="1:7" ht="25.5" customHeight="1">
      <c r="A112" s="3"/>
      <c r="B112" s="19" t="s">
        <v>34</v>
      </c>
      <c r="C112" s="20">
        <v>7</v>
      </c>
      <c r="D112" s="3"/>
      <c r="E112" s="83">
        <f>SUM(E105:E111)</f>
        <v>3600000</v>
      </c>
      <c r="F112" s="83">
        <f t="shared" ref="F112:G112" si="18">SUM(F105:F111)</f>
        <v>1900000</v>
      </c>
      <c r="G112" s="83">
        <f t="shared" si="18"/>
        <v>1700000</v>
      </c>
    </row>
    <row r="113" spans="1:7" ht="20.149999999999999" customHeight="1">
      <c r="A113" s="3"/>
      <c r="B113" s="19"/>
      <c r="C113" s="20"/>
      <c r="D113" s="3"/>
      <c r="E113" s="83"/>
      <c r="F113" s="83"/>
      <c r="G113" s="83"/>
    </row>
    <row r="114" spans="1:7" ht="20.149999999999999" customHeight="1">
      <c r="A114" s="9"/>
      <c r="B114" s="19" t="s">
        <v>61</v>
      </c>
      <c r="C114" s="20"/>
      <c r="D114" s="20"/>
      <c r="E114" s="78"/>
      <c r="F114" s="78"/>
      <c r="G114" s="78"/>
    </row>
    <row r="115" spans="1:7" ht="20.149999999999999" customHeight="1">
      <c r="A115" s="9">
        <v>1</v>
      </c>
      <c r="B115" s="10" t="s">
        <v>387</v>
      </c>
      <c r="C115" s="3" t="s">
        <v>388</v>
      </c>
      <c r="D115" s="14" t="s">
        <v>271</v>
      </c>
      <c r="E115" s="349">
        <v>400000</v>
      </c>
      <c r="F115" s="349">
        <f>E115</f>
        <v>400000</v>
      </c>
      <c r="G115" s="349"/>
    </row>
    <row r="116" spans="1:7" ht="18.75" customHeight="1">
      <c r="A116" s="9">
        <v>2</v>
      </c>
      <c r="B116" s="10" t="s">
        <v>389</v>
      </c>
      <c r="C116" s="11" t="s">
        <v>390</v>
      </c>
      <c r="D116" s="14" t="s">
        <v>391</v>
      </c>
      <c r="E116" s="349">
        <v>400000</v>
      </c>
      <c r="F116" s="349">
        <f>E116</f>
        <v>400000</v>
      </c>
      <c r="G116" s="349"/>
    </row>
    <row r="117" spans="1:7" ht="20.149999999999999" customHeight="1">
      <c r="A117" s="3"/>
      <c r="B117" s="19" t="s">
        <v>34</v>
      </c>
      <c r="C117" s="20">
        <v>2</v>
      </c>
      <c r="D117" s="25"/>
      <c r="E117" s="350">
        <f>SUM(E115:E116)</f>
        <v>800000</v>
      </c>
      <c r="F117" s="350">
        <f>SUM(F115:F116)</f>
        <v>800000</v>
      </c>
      <c r="G117" s="77"/>
    </row>
    <row r="118" spans="1:7" ht="24.75" customHeight="1">
      <c r="A118" s="3"/>
      <c r="B118" s="21"/>
      <c r="C118" s="9"/>
      <c r="D118" s="3"/>
    </row>
    <row r="119" spans="1:7" ht="20.149999999999999" customHeight="1">
      <c r="A119" s="3"/>
      <c r="B119" s="19" t="s">
        <v>67</v>
      </c>
      <c r="C119" s="20"/>
      <c r="D119" s="20"/>
      <c r="E119" s="84"/>
      <c r="F119" s="84"/>
      <c r="G119" s="84"/>
    </row>
    <row r="120" spans="1:7" ht="20.149999999999999" customHeight="1">
      <c r="A120" s="3">
        <v>1</v>
      </c>
      <c r="B120" s="10" t="s">
        <v>392</v>
      </c>
      <c r="C120" s="11" t="s">
        <v>393</v>
      </c>
      <c r="D120" s="14" t="s">
        <v>297</v>
      </c>
      <c r="E120" s="70">
        <v>1000000</v>
      </c>
      <c r="F120" s="70"/>
      <c r="G120" s="70">
        <f>E120</f>
        <v>1000000</v>
      </c>
    </row>
    <row r="121" spans="1:7" ht="20.149999999999999" customHeight="1">
      <c r="A121" s="3">
        <v>2</v>
      </c>
      <c r="B121" s="10" t="s">
        <v>130</v>
      </c>
      <c r="C121" s="11" t="s">
        <v>394</v>
      </c>
      <c r="D121" s="14" t="s">
        <v>308</v>
      </c>
      <c r="E121" s="70">
        <v>700000</v>
      </c>
      <c r="F121" s="70"/>
      <c r="G121" s="70">
        <f t="shared" ref="G121:G126" si="19">E121</f>
        <v>700000</v>
      </c>
    </row>
    <row r="122" spans="1:7" ht="20.149999999999999" customHeight="1">
      <c r="A122" s="3">
        <v>3</v>
      </c>
      <c r="B122" s="13" t="s">
        <v>395</v>
      </c>
      <c r="C122" s="11" t="s">
        <v>227</v>
      </c>
      <c r="D122" s="14" t="s">
        <v>249</v>
      </c>
      <c r="E122" s="70">
        <v>700000</v>
      </c>
      <c r="F122" s="70"/>
      <c r="G122" s="70">
        <f t="shared" si="19"/>
        <v>700000</v>
      </c>
    </row>
    <row r="123" spans="1:7" ht="20.149999999999999" customHeight="1">
      <c r="A123" s="3">
        <v>4</v>
      </c>
      <c r="B123" s="13" t="s">
        <v>226</v>
      </c>
      <c r="C123" s="11" t="s">
        <v>227</v>
      </c>
      <c r="D123" s="14" t="s">
        <v>327</v>
      </c>
      <c r="E123" s="70">
        <v>700000</v>
      </c>
      <c r="F123" s="70"/>
      <c r="G123" s="70">
        <f t="shared" si="19"/>
        <v>700000</v>
      </c>
    </row>
    <row r="124" spans="1:7" ht="20.149999999999999" customHeight="1">
      <c r="A124" s="3">
        <v>5</v>
      </c>
      <c r="B124" s="10" t="s">
        <v>396</v>
      </c>
      <c r="C124" s="11" t="s">
        <v>397</v>
      </c>
      <c r="D124" s="14" t="s">
        <v>257</v>
      </c>
      <c r="E124" s="70">
        <v>500000</v>
      </c>
      <c r="F124" s="70"/>
      <c r="G124" s="70">
        <f t="shared" si="19"/>
        <v>500000</v>
      </c>
    </row>
    <row r="125" spans="1:7" ht="20.149999999999999" customHeight="1">
      <c r="A125" s="3">
        <v>6</v>
      </c>
      <c r="B125" s="10" t="s">
        <v>398</v>
      </c>
      <c r="C125" s="11" t="s">
        <v>399</v>
      </c>
      <c r="D125" s="14" t="s">
        <v>260</v>
      </c>
      <c r="E125" s="70">
        <v>500000</v>
      </c>
      <c r="F125" s="70"/>
      <c r="G125" s="70">
        <f t="shared" si="19"/>
        <v>500000</v>
      </c>
    </row>
    <row r="126" spans="1:7" ht="20.149999999999999" customHeight="1">
      <c r="A126" s="3">
        <v>7</v>
      </c>
      <c r="B126" s="10" t="s">
        <v>400</v>
      </c>
      <c r="C126" s="11" t="s">
        <v>397</v>
      </c>
      <c r="D126" s="14" t="s">
        <v>342</v>
      </c>
      <c r="E126" s="70">
        <v>500000</v>
      </c>
      <c r="F126" s="70"/>
      <c r="G126" s="70">
        <f t="shared" si="19"/>
        <v>500000</v>
      </c>
    </row>
    <row r="127" spans="1:7" ht="20.149999999999999" customHeight="1">
      <c r="A127" s="3">
        <v>8</v>
      </c>
      <c r="B127" s="10" t="s">
        <v>401</v>
      </c>
      <c r="C127" s="11" t="s">
        <v>402</v>
      </c>
      <c r="D127" s="9" t="s">
        <v>279</v>
      </c>
      <c r="E127" s="70">
        <v>300000</v>
      </c>
      <c r="F127" s="70">
        <f>E127</f>
        <v>300000</v>
      </c>
      <c r="G127" s="70"/>
    </row>
    <row r="128" spans="1:7" ht="20.149999999999999" customHeight="1">
      <c r="A128" s="3">
        <v>9</v>
      </c>
      <c r="B128" s="17" t="s">
        <v>403</v>
      </c>
      <c r="C128" s="11" t="s">
        <v>404</v>
      </c>
      <c r="D128" s="14" t="s">
        <v>294</v>
      </c>
      <c r="E128" s="70">
        <v>300000</v>
      </c>
      <c r="F128" s="70">
        <f t="shared" ref="F128:F129" si="20">E128</f>
        <v>300000</v>
      </c>
      <c r="G128" s="70"/>
    </row>
    <row r="129" spans="1:7" ht="20.149999999999999" customHeight="1">
      <c r="A129" s="3">
        <v>10</v>
      </c>
      <c r="B129" s="17" t="s">
        <v>405</v>
      </c>
      <c r="C129" s="11" t="s">
        <v>69</v>
      </c>
      <c r="D129" s="14" t="s">
        <v>294</v>
      </c>
      <c r="E129" s="70">
        <v>300000</v>
      </c>
      <c r="F129" s="70">
        <f t="shared" si="20"/>
        <v>300000</v>
      </c>
      <c r="G129" s="70"/>
    </row>
    <row r="130" spans="1:7" ht="20.149999999999999" customHeight="1">
      <c r="A130" s="3"/>
      <c r="B130" s="19" t="s">
        <v>34</v>
      </c>
      <c r="C130" s="25" t="s">
        <v>406</v>
      </c>
      <c r="D130" s="14"/>
      <c r="E130" s="78">
        <f>SUM(E120:E129)</f>
        <v>5500000</v>
      </c>
      <c r="F130" s="78">
        <f t="shared" ref="F130:G130" si="21">SUM(F120:F129)</f>
        <v>900000</v>
      </c>
      <c r="G130" s="78">
        <f t="shared" si="21"/>
        <v>4600000</v>
      </c>
    </row>
    <row r="131" spans="1:7" ht="28.5" customHeight="1">
      <c r="A131" s="3"/>
      <c r="B131" s="21"/>
      <c r="C131" s="25"/>
      <c r="D131" s="14"/>
      <c r="E131" s="3"/>
      <c r="F131" s="3"/>
      <c r="G131" s="3"/>
    </row>
    <row r="132" spans="1:7" ht="20.149999999999999" customHeight="1">
      <c r="A132" s="3"/>
      <c r="B132" s="19" t="s">
        <v>71</v>
      </c>
      <c r="C132" s="11"/>
      <c r="D132" s="14"/>
      <c r="E132" s="78"/>
      <c r="F132" s="78"/>
      <c r="G132" s="78"/>
    </row>
    <row r="133" spans="1:7" ht="20.149999999999999" customHeight="1">
      <c r="A133" s="26">
        <v>1</v>
      </c>
      <c r="B133" s="10" t="s">
        <v>407</v>
      </c>
      <c r="C133" s="11" t="s">
        <v>408</v>
      </c>
      <c r="D133" s="14" t="s">
        <v>297</v>
      </c>
      <c r="E133" s="70">
        <v>500000</v>
      </c>
      <c r="F133" s="70"/>
      <c r="G133" s="70">
        <f>E133</f>
        <v>500000</v>
      </c>
    </row>
    <row r="134" spans="1:7" ht="20.149999999999999" customHeight="1">
      <c r="A134" s="26">
        <v>2</v>
      </c>
      <c r="B134" s="10" t="s">
        <v>229</v>
      </c>
      <c r="C134" s="11" t="s">
        <v>230</v>
      </c>
      <c r="D134" s="14" t="s">
        <v>231</v>
      </c>
      <c r="E134" s="70">
        <v>700000</v>
      </c>
      <c r="F134" s="70"/>
      <c r="G134" s="70">
        <f t="shared" ref="G134:G138" si="22">E134</f>
        <v>700000</v>
      </c>
    </row>
    <row r="135" spans="1:7" ht="20.149999999999999" customHeight="1">
      <c r="A135" s="26">
        <v>3</v>
      </c>
      <c r="B135" s="13" t="s">
        <v>409</v>
      </c>
      <c r="C135" s="3" t="s">
        <v>410</v>
      </c>
      <c r="D135" s="15" t="s">
        <v>231</v>
      </c>
      <c r="E135" s="70">
        <v>700000</v>
      </c>
      <c r="F135" s="70"/>
      <c r="G135" s="70">
        <f t="shared" si="22"/>
        <v>700000</v>
      </c>
    </row>
    <row r="136" spans="1:7" ht="20.149999999999999" customHeight="1">
      <c r="A136" s="26">
        <v>4</v>
      </c>
      <c r="B136" s="10" t="s">
        <v>411</v>
      </c>
      <c r="C136" s="11" t="s">
        <v>412</v>
      </c>
      <c r="D136" s="14" t="s">
        <v>254</v>
      </c>
      <c r="E136" s="70">
        <v>500000</v>
      </c>
      <c r="F136" s="70"/>
      <c r="G136" s="70">
        <f t="shared" si="22"/>
        <v>500000</v>
      </c>
    </row>
    <row r="137" spans="1:7" ht="20.149999999999999" customHeight="1">
      <c r="A137" s="26">
        <v>5</v>
      </c>
      <c r="B137" s="10" t="s">
        <v>413</v>
      </c>
      <c r="C137" s="3" t="s">
        <v>414</v>
      </c>
      <c r="D137" s="14" t="s">
        <v>254</v>
      </c>
      <c r="E137" s="70">
        <v>500000</v>
      </c>
      <c r="F137" s="70"/>
      <c r="G137" s="70">
        <f t="shared" si="22"/>
        <v>500000</v>
      </c>
    </row>
    <row r="138" spans="1:7" ht="20.149999999999999" customHeight="1">
      <c r="A138" s="26">
        <v>6</v>
      </c>
      <c r="B138" s="10" t="s">
        <v>415</v>
      </c>
      <c r="C138" s="3" t="s">
        <v>414</v>
      </c>
      <c r="D138" s="14" t="s">
        <v>254</v>
      </c>
      <c r="E138" s="70">
        <v>500000</v>
      </c>
      <c r="F138" s="70"/>
      <c r="G138" s="70">
        <f t="shared" si="22"/>
        <v>500000</v>
      </c>
    </row>
    <row r="139" spans="1:7" ht="20.149999999999999" customHeight="1">
      <c r="A139" s="26">
        <v>7</v>
      </c>
      <c r="B139" s="10" t="s">
        <v>416</v>
      </c>
      <c r="C139" s="11" t="s">
        <v>417</v>
      </c>
      <c r="D139" s="14" t="s">
        <v>391</v>
      </c>
      <c r="E139" s="70">
        <v>400000</v>
      </c>
      <c r="F139" s="70">
        <f>E139</f>
        <v>400000</v>
      </c>
      <c r="G139" s="70"/>
    </row>
    <row r="140" spans="1:7" ht="20.149999999999999" customHeight="1">
      <c r="A140" s="26">
        <v>8</v>
      </c>
      <c r="B140" s="10" t="s">
        <v>418</v>
      </c>
      <c r="C140" s="11" t="s">
        <v>417</v>
      </c>
      <c r="D140" s="14" t="s">
        <v>391</v>
      </c>
      <c r="E140" s="70">
        <v>400000</v>
      </c>
      <c r="F140" s="70">
        <f t="shared" ref="F140:F191" si="23">E140</f>
        <v>400000</v>
      </c>
      <c r="G140" s="70"/>
    </row>
    <row r="141" spans="1:7" ht="20.149999999999999" customHeight="1">
      <c r="A141" s="26">
        <v>9</v>
      </c>
      <c r="B141" s="10" t="s">
        <v>419</v>
      </c>
      <c r="C141" s="3" t="s">
        <v>420</v>
      </c>
      <c r="D141" s="14" t="s">
        <v>391</v>
      </c>
      <c r="E141" s="70">
        <v>400000</v>
      </c>
      <c r="F141" s="70">
        <f t="shared" si="23"/>
        <v>400000</v>
      </c>
      <c r="G141" s="70"/>
    </row>
    <row r="142" spans="1:7" ht="20.149999999999999" customHeight="1">
      <c r="A142" s="26">
        <v>10</v>
      </c>
      <c r="B142" s="10" t="s">
        <v>421</v>
      </c>
      <c r="C142" s="11" t="s">
        <v>422</v>
      </c>
      <c r="D142" s="14" t="s">
        <v>271</v>
      </c>
      <c r="E142" s="70">
        <v>400000</v>
      </c>
      <c r="F142" s="70">
        <f t="shared" si="23"/>
        <v>400000</v>
      </c>
      <c r="G142" s="70"/>
    </row>
    <row r="143" spans="1:7" ht="20.149999999999999" customHeight="1">
      <c r="A143" s="26">
        <v>11</v>
      </c>
      <c r="B143" s="10" t="s">
        <v>423</v>
      </c>
      <c r="C143" s="11" t="s">
        <v>424</v>
      </c>
      <c r="D143" s="14" t="s">
        <v>332</v>
      </c>
      <c r="E143" s="70">
        <v>400000</v>
      </c>
      <c r="F143" s="70">
        <f t="shared" si="23"/>
        <v>400000</v>
      </c>
      <c r="G143" s="70"/>
    </row>
    <row r="144" spans="1:7" ht="20.149999999999999" customHeight="1">
      <c r="A144" s="26">
        <v>12</v>
      </c>
      <c r="B144" s="10" t="s">
        <v>425</v>
      </c>
      <c r="C144" s="11" t="s">
        <v>426</v>
      </c>
      <c r="D144" s="14" t="s">
        <v>391</v>
      </c>
      <c r="E144" s="70">
        <v>400000</v>
      </c>
      <c r="F144" s="70">
        <f t="shared" si="23"/>
        <v>400000</v>
      </c>
      <c r="G144" s="70"/>
    </row>
    <row r="145" spans="1:7" ht="20.149999999999999" customHeight="1">
      <c r="A145" s="26">
        <v>13</v>
      </c>
      <c r="B145" s="17" t="s">
        <v>427</v>
      </c>
      <c r="C145" s="3" t="s">
        <v>428</v>
      </c>
      <c r="D145" s="14" t="s">
        <v>42</v>
      </c>
      <c r="E145" s="70">
        <v>400000</v>
      </c>
      <c r="F145" s="70">
        <f t="shared" si="23"/>
        <v>400000</v>
      </c>
      <c r="G145" s="70"/>
    </row>
    <row r="146" spans="1:7" ht="20.149999999999999" customHeight="1">
      <c r="A146" s="26">
        <v>14</v>
      </c>
      <c r="B146" s="10" t="s">
        <v>429</v>
      </c>
      <c r="C146" s="3" t="s">
        <v>430</v>
      </c>
      <c r="D146" s="14" t="s">
        <v>345</v>
      </c>
      <c r="E146" s="348">
        <v>300000</v>
      </c>
      <c r="F146" s="70">
        <f t="shared" si="23"/>
        <v>300000</v>
      </c>
      <c r="G146" s="70"/>
    </row>
    <row r="147" spans="1:7" ht="20.149999999999999" customHeight="1">
      <c r="A147" s="26">
        <v>15</v>
      </c>
      <c r="B147" s="10" t="s">
        <v>431</v>
      </c>
      <c r="C147" s="3" t="s">
        <v>430</v>
      </c>
      <c r="D147" s="14" t="s">
        <v>432</v>
      </c>
      <c r="E147" s="348">
        <v>300000</v>
      </c>
      <c r="F147" s="70">
        <f t="shared" si="23"/>
        <v>300000</v>
      </c>
      <c r="G147" s="70"/>
    </row>
    <row r="148" spans="1:7" ht="20.149999999999999" customHeight="1">
      <c r="A148" s="26">
        <v>16</v>
      </c>
      <c r="B148" s="10" t="s">
        <v>433</v>
      </c>
      <c r="C148" s="3" t="s">
        <v>430</v>
      </c>
      <c r="D148" s="14" t="s">
        <v>432</v>
      </c>
      <c r="E148" s="348">
        <v>300000</v>
      </c>
      <c r="F148" s="70">
        <f t="shared" si="23"/>
        <v>300000</v>
      </c>
      <c r="G148" s="70"/>
    </row>
    <row r="149" spans="1:7" ht="20.149999999999999" customHeight="1">
      <c r="A149" s="26">
        <v>17</v>
      </c>
      <c r="B149" s="10" t="s">
        <v>434</v>
      </c>
      <c r="C149" s="11" t="s">
        <v>435</v>
      </c>
      <c r="D149" s="14" t="s">
        <v>301</v>
      </c>
      <c r="E149" s="348">
        <v>300000</v>
      </c>
      <c r="F149" s="70">
        <f t="shared" si="23"/>
        <v>300000</v>
      </c>
      <c r="G149" s="70"/>
    </row>
    <row r="150" spans="1:7" ht="20.149999999999999" customHeight="1">
      <c r="A150" s="26">
        <v>18</v>
      </c>
      <c r="B150" s="10" t="s">
        <v>436</v>
      </c>
      <c r="C150" s="11" t="s">
        <v>437</v>
      </c>
      <c r="D150" s="9" t="s">
        <v>283</v>
      </c>
      <c r="E150" s="348">
        <v>300000</v>
      </c>
      <c r="F150" s="70">
        <f t="shared" si="23"/>
        <v>300000</v>
      </c>
      <c r="G150" s="70"/>
    </row>
    <row r="151" spans="1:7" ht="20.149999999999999" customHeight="1">
      <c r="A151" s="26">
        <v>19</v>
      </c>
      <c r="B151" s="10" t="s">
        <v>438</v>
      </c>
      <c r="C151" s="11" t="s">
        <v>439</v>
      </c>
      <c r="D151" s="14" t="s">
        <v>345</v>
      </c>
      <c r="E151" s="348">
        <v>300000</v>
      </c>
      <c r="F151" s="70">
        <f t="shared" si="23"/>
        <v>300000</v>
      </c>
      <c r="G151" s="70"/>
    </row>
    <row r="152" spans="1:7" ht="20.149999999999999" customHeight="1">
      <c r="A152" s="26">
        <v>20</v>
      </c>
      <c r="B152" s="10" t="s">
        <v>440</v>
      </c>
      <c r="C152" s="11" t="s">
        <v>441</v>
      </c>
      <c r="D152" s="14" t="s">
        <v>279</v>
      </c>
      <c r="E152" s="348">
        <v>300000</v>
      </c>
      <c r="F152" s="70">
        <f t="shared" si="23"/>
        <v>300000</v>
      </c>
      <c r="G152" s="70"/>
    </row>
    <row r="153" spans="1:7" ht="20.149999999999999" customHeight="1">
      <c r="A153" s="26">
        <v>21</v>
      </c>
      <c r="B153" s="10" t="s">
        <v>442</v>
      </c>
      <c r="C153" s="11" t="s">
        <v>443</v>
      </c>
      <c r="D153" s="14" t="s">
        <v>345</v>
      </c>
      <c r="E153" s="348">
        <v>300000</v>
      </c>
      <c r="F153" s="70">
        <f t="shared" si="23"/>
        <v>300000</v>
      </c>
      <c r="G153" s="70"/>
    </row>
    <row r="154" spans="1:7" ht="20.149999999999999" customHeight="1">
      <c r="A154" s="26">
        <v>22</v>
      </c>
      <c r="B154" s="10" t="s">
        <v>444</v>
      </c>
      <c r="C154" s="11" t="s">
        <v>445</v>
      </c>
      <c r="D154" s="14" t="s">
        <v>279</v>
      </c>
      <c r="E154" s="348">
        <v>300000</v>
      </c>
      <c r="F154" s="70">
        <f t="shared" si="23"/>
        <v>300000</v>
      </c>
      <c r="G154" s="70"/>
    </row>
    <row r="155" spans="1:7" ht="20.149999999999999" customHeight="1">
      <c r="A155" s="26">
        <v>23</v>
      </c>
      <c r="B155" s="17" t="s">
        <v>446</v>
      </c>
      <c r="C155" s="11" t="s">
        <v>447</v>
      </c>
      <c r="D155" s="14" t="s">
        <v>25</v>
      </c>
      <c r="E155" s="348">
        <v>300000</v>
      </c>
      <c r="F155" s="70">
        <f t="shared" si="23"/>
        <v>300000</v>
      </c>
      <c r="G155" s="70"/>
    </row>
    <row r="156" spans="1:7" ht="20.149999999999999" customHeight="1">
      <c r="A156" s="26">
        <v>24</v>
      </c>
      <c r="B156" s="17" t="s">
        <v>448</v>
      </c>
      <c r="C156" s="11" t="s">
        <v>449</v>
      </c>
      <c r="D156" s="14" t="s">
        <v>294</v>
      </c>
      <c r="E156" s="348">
        <v>300000</v>
      </c>
      <c r="F156" s="70">
        <f t="shared" si="23"/>
        <v>300000</v>
      </c>
      <c r="G156" s="70"/>
    </row>
    <row r="157" spans="1:7" ht="20.149999999999999" customHeight="1">
      <c r="A157" s="26">
        <v>25</v>
      </c>
      <c r="B157" s="17" t="s">
        <v>450</v>
      </c>
      <c r="C157" s="11" t="s">
        <v>451</v>
      </c>
      <c r="D157" s="14" t="s">
        <v>294</v>
      </c>
      <c r="E157" s="348">
        <v>300000</v>
      </c>
      <c r="F157" s="70">
        <f t="shared" si="23"/>
        <v>300000</v>
      </c>
      <c r="G157" s="70"/>
    </row>
    <row r="158" spans="1:7" ht="20.149999999999999" customHeight="1">
      <c r="A158" s="26">
        <v>26</v>
      </c>
      <c r="B158" s="17" t="s">
        <v>452</v>
      </c>
      <c r="C158" s="11" t="s">
        <v>453</v>
      </c>
      <c r="D158" s="14" t="s">
        <v>294</v>
      </c>
      <c r="E158" s="348">
        <v>300000</v>
      </c>
      <c r="F158" s="70">
        <f t="shared" si="23"/>
        <v>300000</v>
      </c>
      <c r="G158" s="70"/>
    </row>
    <row r="159" spans="1:7" ht="20.149999999999999" customHeight="1">
      <c r="A159" s="26">
        <v>27</v>
      </c>
      <c r="B159" s="17" t="s">
        <v>454</v>
      </c>
      <c r="C159" s="11" t="s">
        <v>455</v>
      </c>
      <c r="D159" s="14" t="s">
        <v>291</v>
      </c>
      <c r="E159" s="348">
        <v>300000</v>
      </c>
      <c r="F159" s="70">
        <f t="shared" si="23"/>
        <v>300000</v>
      </c>
      <c r="G159" s="70"/>
    </row>
    <row r="160" spans="1:7" ht="20.149999999999999" customHeight="1">
      <c r="A160" s="26">
        <v>28</v>
      </c>
      <c r="B160" s="17" t="s">
        <v>456</v>
      </c>
      <c r="C160" s="11" t="s">
        <v>451</v>
      </c>
      <c r="D160" s="14" t="s">
        <v>294</v>
      </c>
      <c r="E160" s="348">
        <v>300000</v>
      </c>
      <c r="F160" s="70">
        <f t="shared" si="23"/>
        <v>300000</v>
      </c>
      <c r="G160" s="70"/>
    </row>
    <row r="161" spans="1:7" ht="20.149999999999999" customHeight="1">
      <c r="A161" s="26">
        <v>29</v>
      </c>
      <c r="B161" s="10" t="s">
        <v>457</v>
      </c>
      <c r="C161" s="11" t="s">
        <v>458</v>
      </c>
      <c r="D161" s="14" t="s">
        <v>459</v>
      </c>
      <c r="E161" s="351">
        <v>100000</v>
      </c>
      <c r="F161" s="70">
        <f t="shared" si="23"/>
        <v>100000</v>
      </c>
      <c r="G161" s="70"/>
    </row>
    <row r="162" spans="1:7" ht="20.149999999999999" customHeight="1">
      <c r="A162" s="26">
        <v>30</v>
      </c>
      <c r="B162" s="10" t="s">
        <v>460</v>
      </c>
      <c r="C162" s="11" t="s">
        <v>458</v>
      </c>
      <c r="D162" s="14" t="s">
        <v>459</v>
      </c>
      <c r="E162" s="351">
        <v>100000</v>
      </c>
      <c r="F162" s="70">
        <f t="shared" si="23"/>
        <v>100000</v>
      </c>
      <c r="G162" s="70"/>
    </row>
    <row r="163" spans="1:7" ht="20.149999999999999" customHeight="1">
      <c r="A163" s="26">
        <v>31</v>
      </c>
      <c r="B163" s="10" t="s">
        <v>461</v>
      </c>
      <c r="C163" s="11" t="s">
        <v>458</v>
      </c>
      <c r="D163" s="14" t="s">
        <v>459</v>
      </c>
      <c r="E163" s="351">
        <v>100000</v>
      </c>
      <c r="F163" s="70">
        <f t="shared" si="23"/>
        <v>100000</v>
      </c>
      <c r="G163" s="70"/>
    </row>
    <row r="164" spans="1:7" ht="20.149999999999999" customHeight="1">
      <c r="A164" s="26">
        <v>32</v>
      </c>
      <c r="B164" s="10" t="s">
        <v>462</v>
      </c>
      <c r="C164" s="11" t="s">
        <v>458</v>
      </c>
      <c r="D164" s="14" t="s">
        <v>459</v>
      </c>
      <c r="E164" s="351">
        <v>100000</v>
      </c>
      <c r="F164" s="70">
        <f t="shared" si="23"/>
        <v>100000</v>
      </c>
      <c r="G164" s="70"/>
    </row>
    <row r="165" spans="1:7" ht="20.149999999999999" customHeight="1">
      <c r="A165" s="26">
        <v>33</v>
      </c>
      <c r="B165" s="10" t="s">
        <v>463</v>
      </c>
      <c r="C165" s="11" t="s">
        <v>458</v>
      </c>
      <c r="D165" s="14" t="s">
        <v>459</v>
      </c>
      <c r="E165" s="351">
        <v>100000</v>
      </c>
      <c r="F165" s="70">
        <f t="shared" si="23"/>
        <v>100000</v>
      </c>
      <c r="G165" s="70"/>
    </row>
    <row r="166" spans="1:7" ht="20.149999999999999" customHeight="1">
      <c r="A166" s="26">
        <v>34</v>
      </c>
      <c r="B166" s="10" t="s">
        <v>464</v>
      </c>
      <c r="C166" s="11" t="s">
        <v>458</v>
      </c>
      <c r="D166" s="14" t="s">
        <v>465</v>
      </c>
      <c r="E166" s="351">
        <v>100000</v>
      </c>
      <c r="F166" s="70">
        <f t="shared" si="23"/>
        <v>100000</v>
      </c>
      <c r="G166" s="70"/>
    </row>
    <row r="167" spans="1:7" ht="20.149999999999999" customHeight="1">
      <c r="A167" s="26">
        <v>35</v>
      </c>
      <c r="B167" s="10" t="s">
        <v>466</v>
      </c>
      <c r="C167" s="11" t="s">
        <v>458</v>
      </c>
      <c r="D167" s="14" t="s">
        <v>465</v>
      </c>
      <c r="E167" s="351">
        <v>100000</v>
      </c>
      <c r="F167" s="70">
        <f t="shared" si="23"/>
        <v>100000</v>
      </c>
      <c r="G167" s="70"/>
    </row>
    <row r="168" spans="1:7" ht="20.149999999999999" customHeight="1">
      <c r="A168" s="26">
        <v>36</v>
      </c>
      <c r="B168" s="13" t="s">
        <v>467</v>
      </c>
      <c r="C168" s="11" t="s">
        <v>458</v>
      </c>
      <c r="D168" s="14" t="s">
        <v>465</v>
      </c>
      <c r="E168" s="351">
        <v>100000</v>
      </c>
      <c r="F168" s="70">
        <f t="shared" si="23"/>
        <v>100000</v>
      </c>
      <c r="G168" s="70"/>
    </row>
    <row r="169" spans="1:7" ht="20.149999999999999" customHeight="1">
      <c r="A169" s="26">
        <v>37</v>
      </c>
      <c r="B169" s="10" t="s">
        <v>468</v>
      </c>
      <c r="C169" s="11" t="s">
        <v>458</v>
      </c>
      <c r="D169" s="14" t="s">
        <v>465</v>
      </c>
      <c r="E169" s="351">
        <v>100000</v>
      </c>
      <c r="F169" s="70">
        <f t="shared" si="23"/>
        <v>100000</v>
      </c>
      <c r="G169" s="70"/>
    </row>
    <row r="170" spans="1:7" ht="20.149999999999999" customHeight="1">
      <c r="A170" s="26">
        <v>38</v>
      </c>
      <c r="B170" s="17" t="s">
        <v>469</v>
      </c>
      <c r="C170" s="11" t="s">
        <v>458</v>
      </c>
      <c r="D170" s="14" t="s">
        <v>465</v>
      </c>
      <c r="E170" s="351">
        <v>100000</v>
      </c>
      <c r="F170" s="70">
        <f t="shared" si="23"/>
        <v>100000</v>
      </c>
      <c r="G170" s="70"/>
    </row>
    <row r="171" spans="1:7" ht="20.149999999999999" customHeight="1">
      <c r="A171" s="26">
        <v>39</v>
      </c>
      <c r="B171" s="17" t="s">
        <v>470</v>
      </c>
      <c r="C171" s="11" t="s">
        <v>458</v>
      </c>
      <c r="D171" s="14" t="s">
        <v>465</v>
      </c>
      <c r="E171" s="351">
        <v>100000</v>
      </c>
      <c r="F171" s="70">
        <f t="shared" si="23"/>
        <v>100000</v>
      </c>
      <c r="G171" s="70"/>
    </row>
    <row r="172" spans="1:7" ht="20.149999999999999" customHeight="1">
      <c r="A172" s="26">
        <v>40</v>
      </c>
      <c r="B172" s="10" t="s">
        <v>471</v>
      </c>
      <c r="C172" s="11" t="s">
        <v>472</v>
      </c>
      <c r="D172" s="14" t="s">
        <v>473</v>
      </c>
      <c r="E172" s="351">
        <v>100000</v>
      </c>
      <c r="F172" s="70">
        <f t="shared" si="23"/>
        <v>100000</v>
      </c>
      <c r="G172" s="70"/>
    </row>
    <row r="173" spans="1:7" ht="20.149999999999999" customHeight="1">
      <c r="A173" s="26">
        <v>41</v>
      </c>
      <c r="B173" s="10" t="s">
        <v>474</v>
      </c>
      <c r="C173" s="11" t="s">
        <v>472</v>
      </c>
      <c r="D173" s="14" t="s">
        <v>473</v>
      </c>
      <c r="E173" s="351">
        <v>100000</v>
      </c>
      <c r="F173" s="70">
        <f t="shared" si="23"/>
        <v>100000</v>
      </c>
      <c r="G173" s="70"/>
    </row>
    <row r="174" spans="1:7" ht="20.149999999999999" customHeight="1">
      <c r="A174" s="26">
        <v>42</v>
      </c>
      <c r="B174" s="17" t="s">
        <v>475</v>
      </c>
      <c r="C174" s="11" t="s">
        <v>472</v>
      </c>
      <c r="D174" s="14" t="s">
        <v>476</v>
      </c>
      <c r="E174" s="351">
        <v>100000</v>
      </c>
      <c r="F174" s="70">
        <f t="shared" si="23"/>
        <v>100000</v>
      </c>
      <c r="G174" s="70"/>
    </row>
    <row r="175" spans="1:7" ht="20.149999999999999" customHeight="1">
      <c r="A175" s="26">
        <v>43</v>
      </c>
      <c r="B175" s="10" t="s">
        <v>477</v>
      </c>
      <c r="C175" s="11" t="s">
        <v>478</v>
      </c>
      <c r="D175" s="14" t="s">
        <v>479</v>
      </c>
      <c r="E175" s="351">
        <v>100000</v>
      </c>
      <c r="F175" s="70">
        <f t="shared" si="23"/>
        <v>100000</v>
      </c>
      <c r="G175" s="70"/>
    </row>
    <row r="176" spans="1:7" ht="20.149999999999999" customHeight="1">
      <c r="A176" s="26">
        <v>44</v>
      </c>
      <c r="B176" s="10" t="s">
        <v>480</v>
      </c>
      <c r="C176" s="11" t="s">
        <v>481</v>
      </c>
      <c r="D176" s="14" t="s">
        <v>482</v>
      </c>
      <c r="E176" s="351">
        <v>100000</v>
      </c>
      <c r="F176" s="70">
        <f t="shared" si="23"/>
        <v>100000</v>
      </c>
      <c r="G176" s="70"/>
    </row>
    <row r="177" spans="1:7" ht="20.149999999999999" customHeight="1">
      <c r="A177" s="26">
        <v>45</v>
      </c>
      <c r="B177" s="10" t="s">
        <v>483</v>
      </c>
      <c r="C177" s="11" t="s">
        <v>481</v>
      </c>
      <c r="D177" s="14" t="s">
        <v>482</v>
      </c>
      <c r="E177" s="351">
        <v>100000</v>
      </c>
      <c r="F177" s="70">
        <f t="shared" si="23"/>
        <v>100000</v>
      </c>
      <c r="G177" s="70"/>
    </row>
    <row r="178" spans="1:7" ht="20.149999999999999" customHeight="1">
      <c r="A178" s="26">
        <v>46</v>
      </c>
      <c r="B178" s="10" t="s">
        <v>484</v>
      </c>
      <c r="C178" s="11" t="s">
        <v>481</v>
      </c>
      <c r="D178" s="14" t="s">
        <v>482</v>
      </c>
      <c r="E178" s="351">
        <v>100000</v>
      </c>
      <c r="F178" s="70">
        <f t="shared" si="23"/>
        <v>100000</v>
      </c>
      <c r="G178" s="70"/>
    </row>
    <row r="179" spans="1:7" ht="20.149999999999999" customHeight="1">
      <c r="A179" s="26">
        <v>47</v>
      </c>
      <c r="B179" s="10" t="s">
        <v>485</v>
      </c>
      <c r="C179" s="11" t="s">
        <v>481</v>
      </c>
      <c r="D179" s="14" t="s">
        <v>482</v>
      </c>
      <c r="E179" s="351">
        <v>100000</v>
      </c>
      <c r="F179" s="70">
        <f t="shared" si="23"/>
        <v>100000</v>
      </c>
      <c r="G179" s="70"/>
    </row>
    <row r="180" spans="1:7" ht="20.149999999999999" customHeight="1">
      <c r="A180" s="26">
        <v>48</v>
      </c>
      <c r="B180" s="10" t="s">
        <v>486</v>
      </c>
      <c r="C180" s="11" t="s">
        <v>481</v>
      </c>
      <c r="D180" s="14" t="s">
        <v>482</v>
      </c>
      <c r="E180" s="351">
        <v>100000</v>
      </c>
      <c r="F180" s="70">
        <f t="shared" si="23"/>
        <v>100000</v>
      </c>
      <c r="G180" s="70"/>
    </row>
    <row r="181" spans="1:7" ht="20.149999999999999" customHeight="1">
      <c r="A181" s="26">
        <v>49</v>
      </c>
      <c r="B181" s="17" t="s">
        <v>487</v>
      </c>
      <c r="C181" s="11" t="s">
        <v>481</v>
      </c>
      <c r="D181" s="14" t="s">
        <v>482</v>
      </c>
      <c r="E181" s="351">
        <v>100000</v>
      </c>
      <c r="F181" s="70">
        <f t="shared" si="23"/>
        <v>100000</v>
      </c>
      <c r="G181" s="70"/>
    </row>
    <row r="182" spans="1:7" ht="20.149999999999999" customHeight="1">
      <c r="A182" s="26">
        <v>50</v>
      </c>
      <c r="B182" s="17" t="s">
        <v>488</v>
      </c>
      <c r="C182" s="11" t="s">
        <v>481</v>
      </c>
      <c r="D182" s="14" t="s">
        <v>482</v>
      </c>
      <c r="E182" s="351">
        <v>100000</v>
      </c>
      <c r="F182" s="70">
        <f t="shared" si="23"/>
        <v>100000</v>
      </c>
      <c r="G182" s="70"/>
    </row>
    <row r="183" spans="1:7" ht="20.149999999999999" customHeight="1">
      <c r="A183" s="26">
        <v>51</v>
      </c>
      <c r="B183" s="10" t="s">
        <v>489</v>
      </c>
      <c r="C183" s="11" t="s">
        <v>478</v>
      </c>
      <c r="D183" s="14" t="s">
        <v>482</v>
      </c>
      <c r="E183" s="351">
        <v>100000</v>
      </c>
      <c r="F183" s="70">
        <f t="shared" si="23"/>
        <v>100000</v>
      </c>
      <c r="G183" s="70"/>
    </row>
    <row r="184" spans="1:7" ht="20.149999999999999" customHeight="1">
      <c r="A184" s="26">
        <v>52</v>
      </c>
      <c r="B184" s="10" t="s">
        <v>490</v>
      </c>
      <c r="C184" s="11" t="s">
        <v>478</v>
      </c>
      <c r="D184" s="14" t="s">
        <v>482</v>
      </c>
      <c r="E184" s="351">
        <v>100000</v>
      </c>
      <c r="F184" s="70">
        <f t="shared" si="23"/>
        <v>100000</v>
      </c>
      <c r="G184" s="70"/>
    </row>
    <row r="185" spans="1:7" ht="20.149999999999999" customHeight="1">
      <c r="A185" s="26">
        <v>53</v>
      </c>
      <c r="B185" s="17" t="s">
        <v>491</v>
      </c>
      <c r="C185" s="11" t="s">
        <v>172</v>
      </c>
      <c r="D185" s="14" t="s">
        <v>492</v>
      </c>
      <c r="E185" s="351">
        <v>100000</v>
      </c>
      <c r="F185" s="70">
        <f t="shared" si="23"/>
        <v>100000</v>
      </c>
      <c r="G185" s="70"/>
    </row>
    <row r="186" spans="1:7" ht="20.149999999999999" customHeight="1">
      <c r="A186" s="26">
        <v>54</v>
      </c>
      <c r="B186" s="17" t="s">
        <v>493</v>
      </c>
      <c r="C186" s="11" t="s">
        <v>481</v>
      </c>
      <c r="D186" s="14" t="s">
        <v>494</v>
      </c>
      <c r="E186" s="351">
        <v>100000</v>
      </c>
      <c r="F186" s="70">
        <f t="shared" si="23"/>
        <v>100000</v>
      </c>
      <c r="G186" s="70"/>
    </row>
    <row r="187" spans="1:7" ht="20.149999999999999" customHeight="1">
      <c r="A187" s="26">
        <v>55</v>
      </c>
      <c r="B187" s="17" t="s">
        <v>495</v>
      </c>
      <c r="C187" s="11" t="s">
        <v>496</v>
      </c>
      <c r="D187" s="14" t="s">
        <v>497</v>
      </c>
      <c r="E187" s="351">
        <v>100000</v>
      </c>
      <c r="F187" s="70">
        <f t="shared" si="23"/>
        <v>100000</v>
      </c>
      <c r="G187" s="352"/>
    </row>
    <row r="188" spans="1:7" ht="20.149999999999999" customHeight="1">
      <c r="A188" s="26">
        <v>56</v>
      </c>
      <c r="B188" s="17" t="s">
        <v>498</v>
      </c>
      <c r="C188" s="11" t="s">
        <v>496</v>
      </c>
      <c r="D188" s="14" t="s">
        <v>497</v>
      </c>
      <c r="E188" s="351">
        <v>100000</v>
      </c>
      <c r="F188" s="70">
        <f t="shared" si="23"/>
        <v>100000</v>
      </c>
      <c r="G188" s="352"/>
    </row>
    <row r="189" spans="1:7" ht="20.149999999999999" customHeight="1">
      <c r="A189" s="26">
        <v>57</v>
      </c>
      <c r="B189" s="17" t="s">
        <v>499</v>
      </c>
      <c r="C189" s="11" t="s">
        <v>496</v>
      </c>
      <c r="D189" s="14" t="s">
        <v>497</v>
      </c>
      <c r="E189" s="351">
        <v>100000</v>
      </c>
      <c r="F189" s="70">
        <f t="shared" si="23"/>
        <v>100000</v>
      </c>
      <c r="G189" s="352"/>
    </row>
    <row r="190" spans="1:7" ht="20.149999999999999" customHeight="1">
      <c r="A190" s="26">
        <v>58</v>
      </c>
      <c r="B190" s="17" t="s">
        <v>500</v>
      </c>
      <c r="C190" s="11" t="s">
        <v>501</v>
      </c>
      <c r="D190" s="14" t="s">
        <v>502</v>
      </c>
      <c r="E190" s="351">
        <v>100000</v>
      </c>
      <c r="F190" s="70">
        <f t="shared" si="23"/>
        <v>100000</v>
      </c>
      <c r="G190" s="70"/>
    </row>
    <row r="191" spans="1:7" ht="20.149999999999999" customHeight="1">
      <c r="A191" s="26">
        <v>59</v>
      </c>
      <c r="B191" s="17" t="s">
        <v>503</v>
      </c>
      <c r="C191" s="11" t="s">
        <v>501</v>
      </c>
      <c r="D191" s="14" t="s">
        <v>502</v>
      </c>
      <c r="E191" s="351">
        <v>100000</v>
      </c>
      <c r="F191" s="70">
        <f t="shared" si="23"/>
        <v>100000</v>
      </c>
      <c r="G191" s="70"/>
    </row>
    <row r="192" spans="1:7" ht="20.149999999999999" customHeight="1">
      <c r="A192" s="26"/>
      <c r="B192" s="7" t="s">
        <v>34</v>
      </c>
      <c r="C192" s="27" t="s">
        <v>504</v>
      </c>
      <c r="D192" s="28"/>
      <c r="E192" s="77">
        <f>SUM(E133:E191)</f>
        <v>13800000</v>
      </c>
      <c r="F192" s="77">
        <f t="shared" ref="F192:G192" si="24">SUM(F133:F191)</f>
        <v>10400000</v>
      </c>
      <c r="G192" s="77">
        <f t="shared" si="24"/>
        <v>3400000</v>
      </c>
    </row>
    <row r="193" spans="1:7" ht="20.149999999999999" customHeight="1">
      <c r="A193" s="3"/>
      <c r="B193" s="29"/>
      <c r="C193" s="30"/>
      <c r="D193" s="31"/>
    </row>
    <row r="194" spans="1:7" ht="33" customHeight="1">
      <c r="A194" s="3"/>
      <c r="B194" s="29" t="s">
        <v>80</v>
      </c>
      <c r="C194" s="30">
        <f>C192+C130+C117+C112+C102+C95+C81+C71+C57+C52+J1+C37+C31</f>
        <v>153</v>
      </c>
      <c r="D194" s="30"/>
      <c r="E194" s="353">
        <f>E192+E130+E117+E112+E102+E95+E81+E71+E57+E52+E37+E31</f>
        <v>61550000</v>
      </c>
      <c r="F194" s="353">
        <f t="shared" ref="F194:G194" si="25">F192+F130+F117+F112+F102+F95+F81+F71+F57+F52+F37+F31</f>
        <v>27600000</v>
      </c>
      <c r="G194" s="353">
        <f t="shared" si="25"/>
        <v>33950000</v>
      </c>
    </row>
    <row r="195" spans="1:7" ht="20.149999999999999" customHeight="1">
      <c r="A195" s="2"/>
      <c r="B195" s="32"/>
      <c r="C195" s="2"/>
      <c r="D195" s="33"/>
      <c r="E195" s="354"/>
      <c r="F195" s="354"/>
      <c r="G195" s="354"/>
    </row>
    <row r="196" spans="1:7" ht="36.75" customHeight="1">
      <c r="A196" s="355"/>
      <c r="B196" s="356"/>
      <c r="C196" s="357"/>
      <c r="D196" s="357"/>
      <c r="E196" s="358"/>
      <c r="F196" s="358"/>
      <c r="G196" s="359"/>
    </row>
    <row r="197" spans="1:7" ht="20.149999999999999" customHeight="1">
      <c r="E197" s="90"/>
      <c r="F197" s="90"/>
      <c r="G197" s="90"/>
    </row>
    <row r="198" spans="1:7" ht="20.149999999999999" customHeight="1">
      <c r="E198" s="90"/>
      <c r="F198" s="90"/>
      <c r="G198" s="90"/>
    </row>
    <row r="199" spans="1:7" ht="20.149999999999999" customHeight="1">
      <c r="E199" s="90"/>
      <c r="F199" s="90"/>
      <c r="G199" s="90"/>
    </row>
    <row r="200" spans="1:7" ht="20.149999999999999" customHeight="1">
      <c r="E200" s="90"/>
      <c r="F200" s="90"/>
      <c r="G200" s="90"/>
    </row>
    <row r="201" spans="1:7" ht="20.149999999999999" customHeight="1">
      <c r="E201" s="90"/>
      <c r="F201" s="90"/>
      <c r="G201" s="90"/>
    </row>
    <row r="202" spans="1:7" ht="20.149999999999999" customHeight="1">
      <c r="E202" s="90"/>
      <c r="F202" s="90"/>
      <c r="G202" s="90"/>
    </row>
    <row r="203" spans="1:7" ht="20.149999999999999" customHeight="1">
      <c r="E203" s="90"/>
      <c r="F203" s="90"/>
      <c r="G203" s="90"/>
    </row>
    <row r="204" spans="1:7" ht="20.149999999999999" customHeight="1">
      <c r="E204" s="90"/>
      <c r="F204" s="90"/>
      <c r="G204" s="90"/>
    </row>
    <row r="205" spans="1:7" ht="20.149999999999999" customHeight="1">
      <c r="E205" s="90"/>
      <c r="F205" s="90"/>
      <c r="G205" s="90"/>
    </row>
    <row r="206" spans="1:7" ht="20.149999999999999" customHeight="1">
      <c r="E206" s="90"/>
      <c r="F206" s="90"/>
      <c r="G206" s="90"/>
    </row>
    <row r="207" spans="1:7" ht="20.149999999999999" customHeight="1">
      <c r="E207" s="90"/>
      <c r="F207" s="90"/>
      <c r="G207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X14" activePane="bottomRight" state="frozen"/>
      <selection pane="topRight"/>
      <selection pane="bottomLeft"/>
      <selection pane="bottomRight" activeCell="X12" sqref="X12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20" width="19.26953125" style="1" customWidth="1"/>
    <col min="21" max="21" width="14.81640625" style="1" customWidth="1"/>
    <col min="22" max="22" width="13.54296875" style="1" customWidth="1"/>
    <col min="23" max="23" width="20.453125" style="276" customWidth="1"/>
    <col min="24" max="24" width="16.453125" style="1" customWidth="1"/>
    <col min="25" max="26" width="17.7265625" style="1" customWidth="1"/>
    <col min="27" max="27" width="11.1796875" style="1" customWidth="1"/>
    <col min="28" max="28" width="17.81640625" style="1" customWidth="1"/>
    <col min="29" max="29" width="21.7265625" style="1" customWidth="1"/>
    <col min="30" max="30" width="14.26953125" style="1" customWidth="1"/>
    <col min="31" max="16384" width="9.1796875" style="1"/>
  </cols>
  <sheetData>
    <row r="1" spans="1:30" ht="27" customHeight="1">
      <c r="A1" s="764" t="s">
        <v>0</v>
      </c>
      <c r="B1" s="764"/>
      <c r="C1" s="764"/>
      <c r="D1" s="764"/>
      <c r="E1" s="764"/>
      <c r="F1" s="764"/>
      <c r="G1" s="198">
        <f>'[1]FEB 08'!F8/'[1]FEB 08'!Q8</f>
        <v>0.3</v>
      </c>
      <c r="H1" s="198"/>
      <c r="I1" s="198"/>
      <c r="J1" s="198"/>
      <c r="K1" s="198"/>
      <c r="L1" s="198"/>
      <c r="M1" s="198"/>
      <c r="N1" s="198"/>
      <c r="O1" s="198"/>
      <c r="P1" s="198"/>
    </row>
    <row r="2" spans="1:30" ht="33.75" customHeight="1">
      <c r="A2" s="62" t="s">
        <v>934</v>
      </c>
      <c r="B2" s="63"/>
      <c r="C2" s="62"/>
      <c r="D2" s="62"/>
      <c r="E2" s="197"/>
      <c r="F2" s="19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64"/>
      <c r="R2" s="64"/>
      <c r="S2" s="64"/>
      <c r="T2" s="64"/>
      <c r="U2" s="64"/>
      <c r="V2" s="64"/>
      <c r="W2" s="283"/>
      <c r="X2" s="64"/>
      <c r="Y2" s="64"/>
      <c r="Z2" s="64"/>
      <c r="AA2" s="64"/>
      <c r="AB2" s="64"/>
    </row>
    <row r="3" spans="1:30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 t="e">
        <f>'[1]FEB 08'!F11/'[1]FEB 08'!Q11</f>
        <v>#REF!</v>
      </c>
      <c r="H3" s="198"/>
      <c r="I3" s="198"/>
      <c r="J3" s="198"/>
      <c r="K3" s="198"/>
      <c r="L3" s="198"/>
      <c r="M3" s="198"/>
      <c r="N3" s="198"/>
      <c r="O3" s="198"/>
      <c r="P3" s="198"/>
    </row>
    <row r="4" spans="1:30" ht="60" customHeight="1">
      <c r="A4" s="3"/>
      <c r="B4" s="5" t="s">
        <v>2</v>
      </c>
      <c r="C4" s="5" t="s">
        <v>3</v>
      </c>
      <c r="D4" s="6" t="s">
        <v>935</v>
      </c>
      <c r="E4" s="66" t="s">
        <v>5</v>
      </c>
      <c r="F4" s="20" t="s">
        <v>566</v>
      </c>
      <c r="G4" s="20" t="s">
        <v>567</v>
      </c>
      <c r="H4" s="66" t="s">
        <v>568</v>
      </c>
      <c r="I4" s="20" t="s">
        <v>569</v>
      </c>
      <c r="J4" s="20" t="s">
        <v>570</v>
      </c>
      <c r="K4" s="20" t="s">
        <v>571</v>
      </c>
      <c r="L4" s="66" t="s">
        <v>7</v>
      </c>
      <c r="M4" s="66" t="s">
        <v>7</v>
      </c>
      <c r="N4" s="20" t="s">
        <v>572</v>
      </c>
      <c r="O4" s="20" t="s">
        <v>572</v>
      </c>
      <c r="P4" s="66" t="s">
        <v>8</v>
      </c>
      <c r="Q4" s="284" t="s">
        <v>140</v>
      </c>
      <c r="R4" s="6" t="s">
        <v>936</v>
      </c>
      <c r="S4" s="284" t="s">
        <v>542</v>
      </c>
      <c r="T4" s="66" t="s">
        <v>937</v>
      </c>
      <c r="U4" s="66" t="s">
        <v>938</v>
      </c>
      <c r="V4" s="66" t="s">
        <v>939</v>
      </c>
      <c r="W4" s="66" t="s">
        <v>940</v>
      </c>
      <c r="X4" s="66" t="s">
        <v>516</v>
      </c>
      <c r="Y4" s="297" t="s">
        <v>941</v>
      </c>
      <c r="Z4" s="298" t="s">
        <v>942</v>
      </c>
      <c r="AA4" s="66" t="s">
        <v>148</v>
      </c>
      <c r="AB4" s="299" t="s">
        <v>197</v>
      </c>
    </row>
    <row r="5" spans="1:30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68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285" t="s">
        <v>20</v>
      </c>
      <c r="R5" s="7"/>
      <c r="S5" s="285" t="s">
        <v>20</v>
      </c>
      <c r="T5" s="68"/>
      <c r="U5" s="68" t="s">
        <v>20</v>
      </c>
      <c r="V5" s="68"/>
      <c r="W5" s="286" t="s">
        <v>20</v>
      </c>
      <c r="X5" s="68"/>
      <c r="Y5" s="68"/>
      <c r="Z5" s="211"/>
      <c r="AA5" s="68"/>
      <c r="AB5" s="211"/>
    </row>
    <row r="6" spans="1:30" ht="20.149999999999999" customHeight="1">
      <c r="A6" s="8" t="s">
        <v>21</v>
      </c>
      <c r="B6" s="7" t="s">
        <v>22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5"/>
      <c r="R6" s="7"/>
      <c r="S6" s="285"/>
      <c r="T6" s="68"/>
      <c r="U6" s="68"/>
      <c r="V6" s="68"/>
      <c r="W6" s="286"/>
      <c r="X6" s="68"/>
      <c r="Y6" s="68"/>
      <c r="Z6" s="211"/>
      <c r="AA6" s="68"/>
      <c r="AB6" s="211"/>
    </row>
    <row r="7" spans="1:30" ht="18.75" customHeight="1">
      <c r="A7" s="9">
        <v>1</v>
      </c>
      <c r="B7" s="11" t="s">
        <v>943</v>
      </c>
      <c r="C7" s="1" t="s">
        <v>944</v>
      </c>
      <c r="D7" s="14" t="s">
        <v>945</v>
      </c>
      <c r="E7" s="71">
        <v>13492.21</v>
      </c>
      <c r="F7" s="71"/>
      <c r="G7" s="71">
        <f t="shared" ref="G7" si="0">E7*300%</f>
        <v>40476.629999999997</v>
      </c>
      <c r="H7" s="71">
        <f t="shared" ref="H7" si="1">E7*7.5%</f>
        <v>1011.91575</v>
      </c>
      <c r="I7" s="71"/>
      <c r="J7" s="71">
        <f>E7*50%</f>
        <v>6746.1049999999996</v>
      </c>
      <c r="K7" s="71">
        <f t="shared" ref="K7" si="2">E7*350%</f>
        <v>47222.735000000001</v>
      </c>
      <c r="L7" s="71">
        <f>E7*100%</f>
        <v>13492.21</v>
      </c>
      <c r="M7" s="201"/>
      <c r="N7" s="201">
        <f>50000</f>
        <v>50000</v>
      </c>
      <c r="O7" s="71">
        <f>E7*10%</f>
        <v>1349.221</v>
      </c>
      <c r="P7" s="71">
        <v>10000</v>
      </c>
      <c r="Q7" s="200">
        <f ca="1">SUM(E7:Q7)</f>
        <v>183791.02674999999</v>
      </c>
      <c r="R7" s="347" t="s">
        <v>25</v>
      </c>
      <c r="S7" s="200">
        <f>205204.08</f>
        <v>205204.08</v>
      </c>
      <c r="T7" s="71">
        <f>205204.08-183791.03</f>
        <v>21413.05</v>
      </c>
      <c r="U7" s="71"/>
      <c r="V7" s="71"/>
      <c r="W7" s="287">
        <v>18102.900000000001</v>
      </c>
      <c r="X7" s="71">
        <f>21640.88</f>
        <v>21640.880000000001</v>
      </c>
      <c r="Y7" s="71">
        <f>X7-W7</f>
        <v>3537.98</v>
      </c>
      <c r="Z7" s="212">
        <f>T7-Y7</f>
        <v>17875.07</v>
      </c>
      <c r="AA7" s="71">
        <f>8/30</f>
        <v>0.266666666666667</v>
      </c>
      <c r="AB7" s="212">
        <f>Z7*AA7</f>
        <v>4766.6853333333302</v>
      </c>
      <c r="AC7" s="12"/>
      <c r="AD7" s="34"/>
    </row>
    <row r="8" spans="1:30" ht="26.25" customHeight="1">
      <c r="A8" s="9"/>
      <c r="B8" s="19" t="s">
        <v>34</v>
      </c>
      <c r="C8" s="20"/>
      <c r="D8" s="14"/>
      <c r="E8" s="202">
        <f t="shared" ref="E8:P8" si="3">SUM(E7:E7)</f>
        <v>13492.21</v>
      </c>
      <c r="F8" s="202">
        <f t="shared" si="3"/>
        <v>0</v>
      </c>
      <c r="G8" s="202">
        <f t="shared" si="3"/>
        <v>40476.629999999997</v>
      </c>
      <c r="H8" s="202">
        <f t="shared" si="3"/>
        <v>1011.91575</v>
      </c>
      <c r="I8" s="202">
        <f t="shared" si="3"/>
        <v>0</v>
      </c>
      <c r="J8" s="202">
        <f t="shared" si="3"/>
        <v>6746.1049999999996</v>
      </c>
      <c r="K8" s="202">
        <f t="shared" si="3"/>
        <v>47222.735000000001</v>
      </c>
      <c r="L8" s="202">
        <f t="shared" si="3"/>
        <v>13492.21</v>
      </c>
      <c r="M8" s="202">
        <f t="shared" si="3"/>
        <v>0</v>
      </c>
      <c r="N8" s="202">
        <f t="shared" si="3"/>
        <v>50000</v>
      </c>
      <c r="O8" s="202">
        <f t="shared" si="3"/>
        <v>1349.221</v>
      </c>
      <c r="P8" s="202">
        <f t="shared" si="3"/>
        <v>10000</v>
      </c>
      <c r="Q8" s="326">
        <f>E8+F8+G8+H8+I8+J8+K8+L8+M8+N8+O8+P8</f>
        <v>183791.02674999999</v>
      </c>
      <c r="R8" s="14"/>
      <c r="S8" s="202">
        <f t="shared" ref="S8:Z8" si="4">SUM(S7:S7)</f>
        <v>205204.08</v>
      </c>
      <c r="T8" s="202">
        <f t="shared" si="4"/>
        <v>21413.05</v>
      </c>
      <c r="U8" s="202">
        <f t="shared" si="4"/>
        <v>0</v>
      </c>
      <c r="V8" s="202">
        <f t="shared" si="4"/>
        <v>0</v>
      </c>
      <c r="W8" s="202">
        <f t="shared" si="4"/>
        <v>18102.900000000001</v>
      </c>
      <c r="X8" s="202">
        <f t="shared" si="4"/>
        <v>21640.880000000001</v>
      </c>
      <c r="Y8" s="202">
        <f t="shared" si="4"/>
        <v>3537.98</v>
      </c>
      <c r="Z8" s="213">
        <f t="shared" si="4"/>
        <v>17875.07</v>
      </c>
      <c r="AA8" s="202"/>
      <c r="AB8" s="213">
        <f>SUM(AB7:AB7)</f>
        <v>4766.6853333333302</v>
      </c>
      <c r="AC8" s="12"/>
    </row>
    <row r="9" spans="1:30" ht="20.149999999999999" customHeight="1">
      <c r="A9" s="9"/>
      <c r="B9" s="13"/>
      <c r="C9" s="3"/>
      <c r="D9" s="9"/>
      <c r="E9" s="202"/>
      <c r="F9" s="202"/>
      <c r="G9" s="202"/>
      <c r="H9" s="202"/>
      <c r="I9" s="202"/>
      <c r="J9" s="202"/>
      <c r="K9" s="202"/>
      <c r="L9" s="201"/>
      <c r="M9" s="201"/>
      <c r="N9" s="202"/>
      <c r="O9" s="202"/>
      <c r="P9" s="202"/>
      <c r="Q9" s="288"/>
      <c r="R9" s="9"/>
      <c r="S9" s="288"/>
      <c r="T9" s="71"/>
      <c r="U9" s="202"/>
      <c r="V9" s="202"/>
      <c r="W9" s="289"/>
      <c r="X9" s="202"/>
      <c r="Y9" s="71"/>
      <c r="Z9" s="212"/>
      <c r="AA9" s="202"/>
      <c r="AB9" s="212"/>
      <c r="AC9" s="12"/>
    </row>
    <row r="10" spans="1:30" ht="20.149999999999999" customHeight="1">
      <c r="A10" s="9"/>
      <c r="B10" s="22" t="s">
        <v>39</v>
      </c>
      <c r="C10" s="4"/>
      <c r="D10" s="23"/>
      <c r="E10" s="202"/>
      <c r="F10" s="202"/>
      <c r="G10" s="71"/>
      <c r="H10" s="71"/>
      <c r="I10" s="71"/>
      <c r="J10" s="71"/>
      <c r="K10" s="71"/>
      <c r="L10" s="201"/>
      <c r="M10" s="201"/>
      <c r="N10" s="71"/>
      <c r="O10" s="71"/>
      <c r="P10" s="71"/>
      <c r="Q10" s="200"/>
      <c r="R10" s="23"/>
      <c r="S10" s="200"/>
      <c r="T10" s="71"/>
      <c r="U10" s="71"/>
      <c r="V10" s="71"/>
      <c r="W10" s="287"/>
      <c r="X10" s="71"/>
      <c r="Y10" s="71"/>
      <c r="Z10" s="212"/>
      <c r="AA10" s="71"/>
      <c r="AB10" s="212"/>
      <c r="AC10" s="12"/>
    </row>
    <row r="11" spans="1:30" ht="20.149999999999999" customHeight="1">
      <c r="A11" s="9">
        <v>2</v>
      </c>
      <c r="B11" s="10" t="s">
        <v>306</v>
      </c>
      <c r="C11" s="3" t="s">
        <v>310</v>
      </c>
      <c r="D11" s="9" t="s">
        <v>249</v>
      </c>
      <c r="E11" s="71">
        <v>33507.5</v>
      </c>
      <c r="F11" s="71"/>
      <c r="G11" s="71">
        <f>E11*300%</f>
        <v>100522.5</v>
      </c>
      <c r="H11" s="71">
        <f>E11*7.5%</f>
        <v>2513.0625</v>
      </c>
      <c r="I11" s="71">
        <v>40122.19</v>
      </c>
      <c r="J11" s="71">
        <f>E11*50%</f>
        <v>16753.75</v>
      </c>
      <c r="K11" s="71">
        <f>E11*350%</f>
        <v>117276.25</v>
      </c>
      <c r="L11" s="71">
        <f>E11*100%</f>
        <v>33507.5</v>
      </c>
      <c r="M11" s="201">
        <f>160000</f>
        <v>160000</v>
      </c>
      <c r="N11" s="201"/>
      <c r="O11" s="71">
        <f>E11*10%</f>
        <v>3350.75</v>
      </c>
      <c r="P11" s="71">
        <v>20000</v>
      </c>
      <c r="Q11" s="200">
        <f ca="1">SUM(E11:Q11)</f>
        <v>527553.50249999994</v>
      </c>
      <c r="R11" s="347" t="s">
        <v>946</v>
      </c>
      <c r="S11" s="200">
        <f>'SALARY STRUCTURE'!H19+180000</f>
        <v>604023.33333333302</v>
      </c>
      <c r="T11" s="71">
        <f>604023.33-527553.5</f>
        <v>76469.83</v>
      </c>
      <c r="U11" s="71">
        <f>837.69</f>
        <v>837.69</v>
      </c>
      <c r="V11" s="71">
        <f>1028.94</f>
        <v>1028.94</v>
      </c>
      <c r="W11" s="287">
        <f>79956.94</f>
        <v>79956.94</v>
      </c>
      <c r="X11" s="71">
        <f>94639.15</f>
        <v>94639.15</v>
      </c>
      <c r="Y11" s="71">
        <f t="shared" ref="Y11:Y18" si="5">X11-W11</f>
        <v>14682.21</v>
      </c>
      <c r="Z11" s="212">
        <f t="shared" ref="Z11:Z18" si="6">T11-Y11</f>
        <v>61787.62</v>
      </c>
      <c r="AA11" s="71">
        <v>9</v>
      </c>
      <c r="AB11" s="212">
        <f t="shared" ref="AB11:AB18" si="7">Z11*AA11</f>
        <v>556088.57999999996</v>
      </c>
      <c r="AC11" s="12"/>
    </row>
    <row r="12" spans="1:30" ht="20.149999999999999" customHeight="1">
      <c r="A12" s="9">
        <v>3</v>
      </c>
      <c r="B12" s="10" t="s">
        <v>312</v>
      </c>
      <c r="C12" s="3" t="s">
        <v>259</v>
      </c>
      <c r="D12" s="9" t="s">
        <v>257</v>
      </c>
      <c r="E12" s="71">
        <v>27611.23</v>
      </c>
      <c r="F12" s="71"/>
      <c r="G12" s="71">
        <f t="shared" ref="G12" si="8">E12*300%</f>
        <v>82833.69</v>
      </c>
      <c r="H12" s="71">
        <f t="shared" ref="H12" si="9">E12*7.5%</f>
        <v>2070.8422500000001</v>
      </c>
      <c r="I12" s="71"/>
      <c r="J12" s="71">
        <f t="shared" ref="J12" si="10">E12*50%</f>
        <v>13805.615</v>
      </c>
      <c r="K12" s="71">
        <f t="shared" ref="K12" si="11">E12*350%</f>
        <v>96639.304999999993</v>
      </c>
      <c r="L12" s="71">
        <f t="shared" ref="L12" si="12">E12*100%</f>
        <v>27611.23</v>
      </c>
      <c r="M12" s="201">
        <f t="shared" ref="M12" si="13">140000</f>
        <v>140000</v>
      </c>
      <c r="N12" s="201"/>
      <c r="O12" s="71">
        <f t="shared" ref="O12" si="14">E12*10%</f>
        <v>2761.123</v>
      </c>
      <c r="P12" s="71">
        <v>20000</v>
      </c>
      <c r="Q12" s="200">
        <f ca="1">SUM(E12:Q12)</f>
        <v>413333.03525000002</v>
      </c>
      <c r="R12" s="347" t="s">
        <v>228</v>
      </c>
      <c r="S12" s="71">
        <f>'SALARY STRUCTURE'!H18+160000</f>
        <v>504720.16666666698</v>
      </c>
      <c r="T12" s="71">
        <f>504720.05-413333.04</f>
        <v>91387.01</v>
      </c>
      <c r="U12" s="71">
        <v>0</v>
      </c>
      <c r="V12" s="71"/>
      <c r="W12" s="71">
        <v>57889.864794666697</v>
      </c>
      <c r="X12" s="317">
        <f>75436.17</f>
        <v>75436.17</v>
      </c>
      <c r="Y12" s="71">
        <f t="shared" si="5"/>
        <v>17546.305205333301</v>
      </c>
      <c r="Z12" s="212">
        <f t="shared" si="6"/>
        <v>73840.704794666701</v>
      </c>
      <c r="AA12" s="12">
        <v>0</v>
      </c>
      <c r="AB12" s="313">
        <f t="shared" si="7"/>
        <v>0</v>
      </c>
    </row>
    <row r="13" spans="1:30" ht="25.5" customHeight="1">
      <c r="A13" s="9"/>
      <c r="B13" s="19" t="s">
        <v>34</v>
      </c>
      <c r="C13" s="20"/>
      <c r="D13" s="20"/>
      <c r="E13" s="79">
        <f>SUM(E11:E12)</f>
        <v>61118.73</v>
      </c>
      <c r="F13" s="79">
        <f t="shared" ref="F13:AB13" si="15">SUM(F11:F12)</f>
        <v>0</v>
      </c>
      <c r="G13" s="79">
        <f t="shared" si="15"/>
        <v>183356.19</v>
      </c>
      <c r="H13" s="79">
        <f t="shared" si="15"/>
        <v>4583.9047499999997</v>
      </c>
      <c r="I13" s="79">
        <f t="shared" si="15"/>
        <v>40122.19</v>
      </c>
      <c r="J13" s="79">
        <f t="shared" si="15"/>
        <v>30559.365000000002</v>
      </c>
      <c r="K13" s="79">
        <f t="shared" si="15"/>
        <v>213915.55499999999</v>
      </c>
      <c r="L13" s="79">
        <f t="shared" si="15"/>
        <v>61118.73</v>
      </c>
      <c r="M13" s="79">
        <f t="shared" si="15"/>
        <v>300000</v>
      </c>
      <c r="N13" s="79">
        <f t="shared" si="15"/>
        <v>0</v>
      </c>
      <c r="O13" s="79">
        <f t="shared" si="15"/>
        <v>6111.8729999999996</v>
      </c>
      <c r="P13" s="79">
        <f t="shared" si="15"/>
        <v>40000</v>
      </c>
      <c r="Q13" s="79">
        <f t="shared" ca="1" si="15"/>
        <v>61118.73</v>
      </c>
      <c r="R13" s="79">
        <f t="shared" si="15"/>
        <v>0</v>
      </c>
      <c r="S13" s="79">
        <f t="shared" si="15"/>
        <v>1108743.5</v>
      </c>
      <c r="T13" s="79">
        <f t="shared" si="15"/>
        <v>167856.84</v>
      </c>
      <c r="U13" s="79">
        <f t="shared" si="15"/>
        <v>837.69</v>
      </c>
      <c r="V13" s="79">
        <f t="shared" si="15"/>
        <v>1028.94</v>
      </c>
      <c r="W13" s="79">
        <f t="shared" si="15"/>
        <v>137846.804794667</v>
      </c>
      <c r="X13" s="79">
        <f t="shared" si="15"/>
        <v>170075.32</v>
      </c>
      <c r="Y13" s="79">
        <f t="shared" si="15"/>
        <v>32228.5152053333</v>
      </c>
      <c r="Z13" s="79">
        <f t="shared" si="15"/>
        <v>135628.32479466699</v>
      </c>
      <c r="AA13" s="79">
        <f t="shared" si="15"/>
        <v>9</v>
      </c>
      <c r="AB13" s="79">
        <f t="shared" si="15"/>
        <v>556088.57999999996</v>
      </c>
      <c r="AC13" s="12"/>
    </row>
    <row r="14" spans="1:30" ht="20.149999999999999" customHeight="1">
      <c r="A14" s="9"/>
      <c r="B14" s="19"/>
      <c r="C14" s="20"/>
      <c r="D14" s="20"/>
      <c r="E14" s="133"/>
      <c r="F14" s="133"/>
      <c r="G14" s="133"/>
      <c r="H14" s="133"/>
      <c r="I14" s="133"/>
      <c r="J14" s="133"/>
      <c r="K14" s="133"/>
      <c r="L14" s="201"/>
      <c r="M14" s="201"/>
      <c r="N14" s="133"/>
      <c r="O14" s="133"/>
      <c r="P14" s="133"/>
      <c r="Q14" s="290"/>
      <c r="R14" s="20"/>
      <c r="S14" s="290"/>
      <c r="T14" s="71">
        <f t="shared" ref="T14" si="16">S14-Q14</f>
        <v>0</v>
      </c>
      <c r="U14" s="133"/>
      <c r="V14" s="133"/>
      <c r="W14" s="291"/>
      <c r="X14" s="133"/>
      <c r="Y14" s="71"/>
      <c r="Z14" s="212"/>
      <c r="AA14" s="133"/>
      <c r="AB14" s="212"/>
      <c r="AC14" s="12"/>
    </row>
    <row r="15" spans="1:30" ht="20.149999999999999" customHeight="1">
      <c r="A15" s="3"/>
      <c r="B15" s="21"/>
      <c r="C15" s="9"/>
      <c r="D15" s="3"/>
      <c r="E15" s="205"/>
      <c r="F15" s="205"/>
      <c r="G15" s="205"/>
      <c r="H15" s="205"/>
      <c r="I15" s="205"/>
      <c r="J15" s="205"/>
      <c r="K15" s="205"/>
      <c r="L15" s="201"/>
      <c r="M15" s="201"/>
      <c r="N15" s="205"/>
      <c r="O15" s="205"/>
      <c r="P15" s="205"/>
      <c r="Q15" s="293"/>
      <c r="R15" s="3"/>
      <c r="S15" s="293"/>
      <c r="T15" s="71"/>
      <c r="U15" s="205"/>
      <c r="V15" s="205"/>
      <c r="W15" s="294"/>
      <c r="X15" s="205"/>
      <c r="Y15" s="71">
        <f t="shared" si="5"/>
        <v>0</v>
      </c>
      <c r="Z15" s="212">
        <f t="shared" si="6"/>
        <v>0</v>
      </c>
      <c r="AA15" s="205"/>
      <c r="AB15" s="212">
        <f t="shared" si="7"/>
        <v>0</v>
      </c>
      <c r="AC15" s="12"/>
    </row>
    <row r="16" spans="1:30" ht="20.149999999999999" customHeight="1">
      <c r="A16" s="3"/>
      <c r="B16" s="19" t="s">
        <v>67</v>
      </c>
      <c r="C16" s="20"/>
      <c r="D16" s="20"/>
      <c r="E16" s="133"/>
      <c r="F16" s="133"/>
      <c r="G16" s="133"/>
      <c r="H16" s="133"/>
      <c r="I16" s="133"/>
      <c r="J16" s="133"/>
      <c r="K16" s="133"/>
      <c r="L16" s="201"/>
      <c r="M16" s="201"/>
      <c r="N16" s="133"/>
      <c r="O16" s="133"/>
      <c r="P16" s="133"/>
      <c r="Q16" s="290"/>
      <c r="R16" s="20"/>
      <c r="S16" s="290"/>
      <c r="T16" s="71"/>
      <c r="U16" s="133"/>
      <c r="V16" s="133"/>
      <c r="W16" s="291"/>
      <c r="X16" s="133"/>
      <c r="Y16" s="71">
        <f t="shared" si="5"/>
        <v>0</v>
      </c>
      <c r="Z16" s="212">
        <f t="shared" si="6"/>
        <v>0</v>
      </c>
      <c r="AA16" s="133"/>
      <c r="AB16" s="212">
        <f t="shared" si="7"/>
        <v>0</v>
      </c>
      <c r="AC16" s="12"/>
    </row>
    <row r="17" spans="1:29" ht="20.149999999999999" customHeight="1">
      <c r="A17" s="3">
        <v>3</v>
      </c>
      <c r="B17" s="10" t="s">
        <v>130</v>
      </c>
      <c r="C17" s="11" t="s">
        <v>227</v>
      </c>
      <c r="D17" s="14" t="s">
        <v>249</v>
      </c>
      <c r="E17" s="71">
        <v>33507.5</v>
      </c>
      <c r="F17" s="71"/>
      <c r="G17" s="71">
        <f t="shared" ref="G17:G18" si="17">E17*300%</f>
        <v>100522.5</v>
      </c>
      <c r="H17" s="71">
        <f t="shared" ref="H17:H18" si="18">E17*7.5%</f>
        <v>2513.0625</v>
      </c>
      <c r="I17" s="71">
        <v>40122.19</v>
      </c>
      <c r="J17" s="71">
        <f t="shared" ref="J17:J18" si="19">E17*50%</f>
        <v>16753.75</v>
      </c>
      <c r="K17" s="71">
        <f t="shared" ref="K17:K18" si="20">E17*350%</f>
        <v>117276.25</v>
      </c>
      <c r="L17" s="71">
        <f t="shared" ref="L17:L18" si="21">E17*100%</f>
        <v>33507.5</v>
      </c>
      <c r="M17" s="201">
        <f>80000</f>
        <v>80000</v>
      </c>
      <c r="N17" s="71">
        <f>E17*10%</f>
        <v>3350.75</v>
      </c>
      <c r="O17" s="71">
        <v>20000</v>
      </c>
      <c r="P17" s="71">
        <v>100000</v>
      </c>
      <c r="Q17" s="200">
        <f>SUM(E17:P17)</f>
        <v>547553.50249999994</v>
      </c>
      <c r="R17" s="347" t="s">
        <v>946</v>
      </c>
      <c r="S17" s="200">
        <f>'SALARY STRUCTURE'!H19+190000</f>
        <v>614023.33333333302</v>
      </c>
      <c r="T17" s="71">
        <f>S17-Q17</f>
        <v>66469.830833333297</v>
      </c>
      <c r="U17" s="71">
        <f>837.69</f>
        <v>837.69</v>
      </c>
      <c r="V17" s="71">
        <f>1028.94</f>
        <v>1028.94</v>
      </c>
      <c r="W17" s="287">
        <f>83626.1</f>
        <v>83626.100000000006</v>
      </c>
      <c r="X17" s="71">
        <f>96398.31</f>
        <v>96398.31</v>
      </c>
      <c r="Y17" s="71">
        <f t="shared" si="5"/>
        <v>12772.21</v>
      </c>
      <c r="Z17" s="212">
        <f t="shared" si="6"/>
        <v>53697.620833333298</v>
      </c>
      <c r="AA17" s="71">
        <v>11</v>
      </c>
      <c r="AB17" s="212">
        <f t="shared" si="7"/>
        <v>590673.82916666602</v>
      </c>
      <c r="AC17" s="12"/>
    </row>
    <row r="18" spans="1:29" ht="20.149999999999999" customHeight="1">
      <c r="A18" s="3"/>
      <c r="B18" s="10" t="s">
        <v>398</v>
      </c>
      <c r="C18" s="11" t="s">
        <v>399</v>
      </c>
      <c r="D18" s="14" t="s">
        <v>266</v>
      </c>
      <c r="E18" s="71">
        <v>25523.45</v>
      </c>
      <c r="F18" s="71"/>
      <c r="G18" s="71">
        <f t="shared" si="17"/>
        <v>76570.350000000006</v>
      </c>
      <c r="H18" s="71">
        <f t="shared" si="18"/>
        <v>1914.25875</v>
      </c>
      <c r="I18" s="71"/>
      <c r="J18" s="71">
        <f t="shared" si="19"/>
        <v>12761.725</v>
      </c>
      <c r="K18" s="71">
        <f t="shared" si="20"/>
        <v>89332.074999999997</v>
      </c>
      <c r="L18" s="71">
        <f t="shared" si="21"/>
        <v>25523.45</v>
      </c>
      <c r="M18" s="201"/>
      <c r="N18" s="201">
        <f t="shared" ref="N18" si="22">70000</f>
        <v>70000</v>
      </c>
      <c r="O18" s="71">
        <f t="shared" ref="O18" si="23">E18*10%</f>
        <v>2552.3449999999998</v>
      </c>
      <c r="P18" s="71">
        <v>15000</v>
      </c>
      <c r="Q18" s="200">
        <f ca="1">SUM(E18:Q18)</f>
        <v>319177.65375</v>
      </c>
      <c r="R18" s="9" t="s">
        <v>947</v>
      </c>
      <c r="S18" s="71" t="e">
        <f>'NOV 2024 NEW'!#REF!</f>
        <v>#REF!</v>
      </c>
      <c r="T18" s="71">
        <f>327211.37-319177.65</f>
        <v>8033.7199999999702</v>
      </c>
      <c r="U18" s="71">
        <v>638.09</v>
      </c>
      <c r="V18" s="71">
        <v>690.28</v>
      </c>
      <c r="W18" s="71">
        <v>40684.6</v>
      </c>
      <c r="X18" s="317">
        <v>42034.239999999998</v>
      </c>
      <c r="Y18" s="71">
        <f t="shared" si="5"/>
        <v>1349.64</v>
      </c>
      <c r="Z18" s="212">
        <f t="shared" si="6"/>
        <v>6684.0799999999699</v>
      </c>
      <c r="AA18" s="71">
        <v>0</v>
      </c>
      <c r="AB18" s="212">
        <f t="shared" si="7"/>
        <v>0</v>
      </c>
      <c r="AC18" s="12"/>
    </row>
    <row r="19" spans="1:29" ht="28.5" customHeight="1">
      <c r="A19" s="3"/>
      <c r="B19" s="19" t="s">
        <v>34</v>
      </c>
      <c r="C19" s="25"/>
      <c r="D19" s="14"/>
      <c r="E19" s="133">
        <f t="shared" ref="E19:L19" si="24">SUM(E17:E17)</f>
        <v>33507.5</v>
      </c>
      <c r="F19" s="133">
        <f t="shared" si="24"/>
        <v>0</v>
      </c>
      <c r="G19" s="133">
        <f t="shared" si="24"/>
        <v>100522.5</v>
      </c>
      <c r="H19" s="133">
        <f t="shared" si="24"/>
        <v>2513.0625</v>
      </c>
      <c r="I19" s="133">
        <f t="shared" si="24"/>
        <v>40122.19</v>
      </c>
      <c r="J19" s="133">
        <f t="shared" si="24"/>
        <v>16753.75</v>
      </c>
      <c r="K19" s="133">
        <f t="shared" si="24"/>
        <v>117276.25</v>
      </c>
      <c r="L19" s="133">
        <f t="shared" si="24"/>
        <v>33507.5</v>
      </c>
      <c r="M19" s="133" t="e">
        <f>SUM(#REF!)</f>
        <v>#REF!</v>
      </c>
      <c r="N19" s="133">
        <f>SUM(M17:M17)</f>
        <v>80000</v>
      </c>
      <c r="O19" s="133">
        <f>SUM(N17:N17)</f>
        <v>3350.75</v>
      </c>
      <c r="P19" s="133">
        <f>SUM(O17:O17)</f>
        <v>20000</v>
      </c>
      <c r="Q19" s="133">
        <f>SUM(P17:P17)</f>
        <v>100000</v>
      </c>
      <c r="R19" s="14"/>
      <c r="S19" s="133">
        <f t="shared" ref="S19:Z19" si="25">SUM(S17:S17)</f>
        <v>614023.33333333302</v>
      </c>
      <c r="T19" s="133">
        <f t="shared" si="25"/>
        <v>66469.830833333297</v>
      </c>
      <c r="U19" s="133">
        <f t="shared" si="25"/>
        <v>837.69</v>
      </c>
      <c r="V19" s="133">
        <f t="shared" si="25"/>
        <v>1028.94</v>
      </c>
      <c r="W19" s="133">
        <f t="shared" si="25"/>
        <v>83626.100000000006</v>
      </c>
      <c r="X19" s="133">
        <f t="shared" si="25"/>
        <v>96398.31</v>
      </c>
      <c r="Y19" s="133">
        <f t="shared" si="25"/>
        <v>12772.21</v>
      </c>
      <c r="Z19" s="214">
        <f t="shared" si="25"/>
        <v>53697.620833333298</v>
      </c>
      <c r="AA19" s="133"/>
      <c r="AB19" s="214">
        <f>SUM(AB17:AB17)</f>
        <v>590673.82916666602</v>
      </c>
      <c r="AC19" s="12"/>
    </row>
    <row r="20" spans="1:29" ht="18.75" customHeight="1">
      <c r="A20" s="3"/>
      <c r="B20" s="19"/>
      <c r="C20" s="25"/>
      <c r="D20" s="14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4"/>
      <c r="S20" s="133"/>
      <c r="T20" s="133"/>
      <c r="U20" s="133"/>
      <c r="V20" s="133"/>
      <c r="W20" s="133"/>
      <c r="X20" s="133"/>
      <c r="Y20" s="133"/>
      <c r="Z20" s="214"/>
      <c r="AA20" s="133"/>
      <c r="AB20" s="214"/>
      <c r="AC20" s="12"/>
    </row>
    <row r="21" spans="1:29" ht="28.5" customHeight="1">
      <c r="A21" s="3"/>
      <c r="B21" s="19" t="s">
        <v>67</v>
      </c>
      <c r="C21" s="25"/>
      <c r="D21" s="14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4"/>
      <c r="S21" s="133"/>
      <c r="T21" s="133"/>
      <c r="U21" s="133"/>
      <c r="V21" s="133"/>
      <c r="W21" s="133"/>
      <c r="X21" s="133"/>
      <c r="Y21" s="133"/>
      <c r="Z21" s="214"/>
      <c r="AA21" s="133"/>
      <c r="AB21" s="214"/>
      <c r="AC21" s="12"/>
    </row>
    <row r="22" spans="1:29" ht="20.149999999999999" customHeight="1">
      <c r="A22" s="26">
        <v>15</v>
      </c>
      <c r="B22" s="10" t="s">
        <v>471</v>
      </c>
      <c r="C22" s="11" t="s">
        <v>478</v>
      </c>
      <c r="D22" s="14" t="s">
        <v>479</v>
      </c>
      <c r="E22" s="71">
        <v>5428.12</v>
      </c>
      <c r="F22" s="71">
        <f t="shared" ref="F22:F24" si="26">E22*300%</f>
        <v>16284.36</v>
      </c>
      <c r="G22" s="71">
        <f t="shared" ref="G22:G24" si="27">E22*7.5%</f>
        <v>407.10899999999998</v>
      </c>
      <c r="H22" s="71"/>
      <c r="I22" s="71">
        <f t="shared" ref="I22:I24" si="28">E22*50%</f>
        <v>2714.06</v>
      </c>
      <c r="J22" s="71">
        <f t="shared" ref="J22:J24" si="29">E22*350%</f>
        <v>18998.419999999998</v>
      </c>
      <c r="K22" s="71">
        <f t="shared" ref="K22:K24" si="30">E22*100%</f>
        <v>5428.12</v>
      </c>
      <c r="L22" s="201"/>
      <c r="M22" s="201">
        <f>20000</f>
        <v>20000</v>
      </c>
      <c r="N22" s="71">
        <f t="shared" ref="N22:N24" si="31">E22*10%</f>
        <v>542.81200000000001</v>
      </c>
      <c r="O22" s="71">
        <v>5000</v>
      </c>
      <c r="P22" s="71">
        <f>7000</f>
        <v>7000</v>
      </c>
      <c r="Q22" s="200">
        <f t="shared" ref="Q22:Q24" si="32">SUM(E22:P22)</f>
        <v>81803.001000000004</v>
      </c>
      <c r="R22" s="14" t="s">
        <v>473</v>
      </c>
      <c r="S22" s="200" t="e">
        <f>'SALARY STRUCTURE'!#REF!+30000</f>
        <v>#REF!</v>
      </c>
      <c r="T22" s="71" t="e">
        <f t="shared" ref="T22:T24" si="33">S22-Q22</f>
        <v>#REF!</v>
      </c>
      <c r="U22" s="71"/>
      <c r="V22" s="71"/>
      <c r="W22" s="287">
        <v>4365.3307546666701</v>
      </c>
      <c r="X22" s="71">
        <f>'[8]October 2023'!$Z$164</f>
        <v>8312.59</v>
      </c>
      <c r="Y22" s="71">
        <f t="shared" ref="Y22:Y24" si="34">X22-W22</f>
        <v>3947.25924533333</v>
      </c>
      <c r="Z22" s="212" t="e">
        <f t="shared" ref="Z22:Z24" si="35">T22-Y22</f>
        <v>#REF!</v>
      </c>
      <c r="AA22" s="71">
        <f>(10/31)+2</f>
        <v>2.32258064516129</v>
      </c>
      <c r="AB22" s="212" t="e">
        <f t="shared" ref="AB22:AB24" si="36">Z22*AA22</f>
        <v>#REF!</v>
      </c>
      <c r="AC22" s="12"/>
    </row>
    <row r="23" spans="1:29" s="275" customFormat="1" ht="20.149999999999999" customHeight="1">
      <c r="A23" s="278">
        <v>16</v>
      </c>
      <c r="B23" s="279" t="s">
        <v>474</v>
      </c>
      <c r="C23" s="280" t="s">
        <v>478</v>
      </c>
      <c r="D23" s="281" t="s">
        <v>479</v>
      </c>
      <c r="E23" s="53">
        <v>5428.12</v>
      </c>
      <c r="F23" s="53">
        <f t="shared" si="26"/>
        <v>16284.36</v>
      </c>
      <c r="G23" s="53">
        <f t="shared" si="27"/>
        <v>407.10899999999998</v>
      </c>
      <c r="H23" s="53"/>
      <c r="I23" s="53">
        <f t="shared" si="28"/>
        <v>2714.06</v>
      </c>
      <c r="J23" s="53">
        <f t="shared" si="29"/>
        <v>18998.419999999998</v>
      </c>
      <c r="K23" s="53">
        <f t="shared" si="30"/>
        <v>5428.12</v>
      </c>
      <c r="L23" s="282"/>
      <c r="M23" s="282">
        <f>20000</f>
        <v>20000</v>
      </c>
      <c r="N23" s="53">
        <f t="shared" si="31"/>
        <v>542.81200000000001</v>
      </c>
      <c r="O23" s="53">
        <v>5000</v>
      </c>
      <c r="P23" s="53">
        <f>7000</f>
        <v>7000</v>
      </c>
      <c r="Q23" s="53">
        <f t="shared" si="32"/>
        <v>81803.001000000004</v>
      </c>
      <c r="R23" s="281" t="s">
        <v>473</v>
      </c>
      <c r="S23" s="53" t="e">
        <f>'SALARY STRUCTURE'!#REF!+30000</f>
        <v>#REF!</v>
      </c>
      <c r="T23" s="53" t="e">
        <f t="shared" si="33"/>
        <v>#REF!</v>
      </c>
      <c r="U23" s="53"/>
      <c r="V23" s="53"/>
      <c r="W23" s="295">
        <f>4365.33075466667</f>
        <v>4365.3307546666701</v>
      </c>
      <c r="X23" s="53">
        <f>'[8]October 2023'!$Z$164</f>
        <v>8312.59</v>
      </c>
      <c r="Y23" s="53">
        <f t="shared" si="34"/>
        <v>3947.25924533333</v>
      </c>
      <c r="Z23" s="53" t="e">
        <f t="shared" si="35"/>
        <v>#REF!</v>
      </c>
      <c r="AA23" s="53">
        <f>(17/31)+1</f>
        <v>1.54838709677419</v>
      </c>
      <c r="AB23" s="53" t="e">
        <f t="shared" si="36"/>
        <v>#REF!</v>
      </c>
      <c r="AC23" s="302"/>
    </row>
    <row r="24" spans="1:29" ht="20.149999999999999" customHeight="1">
      <c r="A24" s="26">
        <v>17</v>
      </c>
      <c r="B24" s="17" t="s">
        <v>475</v>
      </c>
      <c r="C24" s="11" t="s">
        <v>478</v>
      </c>
      <c r="D24" s="14" t="s">
        <v>948</v>
      </c>
      <c r="E24" s="71">
        <f>5598.92</f>
        <v>5598.92</v>
      </c>
      <c r="F24" s="71">
        <f t="shared" si="26"/>
        <v>16796.759999999998</v>
      </c>
      <c r="G24" s="71">
        <f t="shared" si="27"/>
        <v>419.91899999999998</v>
      </c>
      <c r="H24" s="71"/>
      <c r="I24" s="71">
        <f t="shared" si="28"/>
        <v>2799.46</v>
      </c>
      <c r="J24" s="71">
        <f t="shared" si="29"/>
        <v>19596.22</v>
      </c>
      <c r="K24" s="71">
        <f t="shared" si="30"/>
        <v>5598.92</v>
      </c>
      <c r="L24" s="201"/>
      <c r="M24" s="201">
        <f>20000</f>
        <v>20000</v>
      </c>
      <c r="N24" s="71">
        <f t="shared" si="31"/>
        <v>559.89200000000005</v>
      </c>
      <c r="O24" s="71">
        <v>5000</v>
      </c>
      <c r="P24" s="71">
        <f>7000</f>
        <v>7000</v>
      </c>
      <c r="Q24" s="200">
        <f t="shared" si="32"/>
        <v>83370.091</v>
      </c>
      <c r="R24" s="14" t="s">
        <v>473</v>
      </c>
      <c r="S24" s="200">
        <v>115104.91666666701</v>
      </c>
      <c r="T24" s="71">
        <f t="shared" si="33"/>
        <v>31734.8256666667</v>
      </c>
      <c r="U24" s="71"/>
      <c r="V24" s="71"/>
      <c r="W24" s="287">
        <v>4504.4109200000003</v>
      </c>
      <c r="X24" s="71">
        <f>'[8]October 2023'!$Z$164</f>
        <v>8312.59</v>
      </c>
      <c r="Y24" s="71">
        <f t="shared" si="34"/>
        <v>3808.1790799999999</v>
      </c>
      <c r="Z24" s="212">
        <f t="shared" si="35"/>
        <v>27926.646586666699</v>
      </c>
      <c r="AA24" s="71">
        <v>8</v>
      </c>
      <c r="AB24" s="212">
        <f t="shared" si="36"/>
        <v>223413.17269333301</v>
      </c>
      <c r="AC24" s="12"/>
    </row>
    <row r="25" spans="1:29" ht="20.149999999999999" customHeight="1">
      <c r="A25" s="3"/>
      <c r="B25" s="21"/>
      <c r="C25" s="25"/>
      <c r="D25" s="14"/>
      <c r="E25" s="133"/>
      <c r="F25" s="133"/>
      <c r="G25" s="133"/>
      <c r="H25" s="133"/>
      <c r="I25" s="133"/>
      <c r="J25" s="133"/>
      <c r="K25" s="133"/>
      <c r="L25" s="201">
        <f>226713.38+70000</f>
        <v>296713.38</v>
      </c>
      <c r="M25" s="201"/>
      <c r="N25" s="133"/>
      <c r="O25" s="133"/>
      <c r="P25" s="133"/>
      <c r="Q25" s="290"/>
      <c r="R25" s="14"/>
      <c r="S25" s="290"/>
      <c r="T25" s="71"/>
      <c r="U25" s="133"/>
      <c r="V25" s="133"/>
      <c r="W25" s="291"/>
      <c r="X25" s="133"/>
      <c r="Y25" s="71"/>
      <c r="Z25" s="212"/>
      <c r="AA25" s="133"/>
      <c r="AB25" s="212"/>
      <c r="AC25" s="12"/>
    </row>
    <row r="26" spans="1:29" ht="20.149999999999999" customHeight="1">
      <c r="A26" s="3"/>
      <c r="B26" s="21"/>
      <c r="C26" s="25"/>
      <c r="D26" s="14"/>
      <c r="E26" s="133"/>
      <c r="F26" s="133"/>
      <c r="G26" s="133"/>
      <c r="H26" s="133"/>
      <c r="I26" s="133"/>
      <c r="J26" s="133"/>
      <c r="K26" s="133"/>
      <c r="L26" s="201"/>
      <c r="M26" s="201"/>
      <c r="N26" s="133"/>
      <c r="O26" s="133"/>
      <c r="P26" s="133"/>
      <c r="Q26" s="290"/>
      <c r="R26" s="14"/>
      <c r="S26" s="290"/>
      <c r="T26" s="71"/>
      <c r="U26" s="133"/>
      <c r="V26" s="133"/>
      <c r="W26" s="291"/>
      <c r="X26" s="133"/>
      <c r="Y26" s="71"/>
      <c r="Z26" s="212"/>
      <c r="AA26" s="133"/>
      <c r="AB26" s="212"/>
      <c r="AC26" s="12"/>
    </row>
    <row r="27" spans="1:29" ht="19.5" customHeight="1">
      <c r="A27" s="3"/>
      <c r="B27" s="29" t="s">
        <v>80</v>
      </c>
      <c r="C27" s="30"/>
      <c r="D27" s="31"/>
      <c r="E27" s="208">
        <f>E19+E13+E8</f>
        <v>108118.44</v>
      </c>
      <c r="F27" s="208">
        <f t="shared" ref="F27:AB27" si="37">F19+F13+F8</f>
        <v>0</v>
      </c>
      <c r="G27" s="208">
        <f t="shared" si="37"/>
        <v>324355.32</v>
      </c>
      <c r="H27" s="208">
        <f t="shared" si="37"/>
        <v>8108.8829999999998</v>
      </c>
      <c r="I27" s="208">
        <f t="shared" si="37"/>
        <v>80244.38</v>
      </c>
      <c r="J27" s="208">
        <f t="shared" si="37"/>
        <v>54059.22</v>
      </c>
      <c r="K27" s="208">
        <f t="shared" si="37"/>
        <v>378414.54</v>
      </c>
      <c r="L27" s="208">
        <f t="shared" si="37"/>
        <v>108118.44</v>
      </c>
      <c r="M27" s="208" t="e">
        <f t="shared" si="37"/>
        <v>#REF!</v>
      </c>
      <c r="N27" s="208">
        <f t="shared" si="37"/>
        <v>130000</v>
      </c>
      <c r="O27" s="208">
        <f t="shared" si="37"/>
        <v>10811.843999999999</v>
      </c>
      <c r="P27" s="208">
        <f t="shared" si="37"/>
        <v>70000</v>
      </c>
      <c r="Q27" s="208">
        <f t="shared" ca="1" si="37"/>
        <v>82203.67</v>
      </c>
      <c r="R27" s="208">
        <f t="shared" si="37"/>
        <v>0</v>
      </c>
      <c r="S27" s="208">
        <f t="shared" si="37"/>
        <v>1927970.9133333301</v>
      </c>
      <c r="T27" s="208">
        <f t="shared" si="37"/>
        <v>255739.72083333301</v>
      </c>
      <c r="U27" s="208">
        <f t="shared" si="37"/>
        <v>1675.38</v>
      </c>
      <c r="V27" s="208">
        <f t="shared" si="37"/>
        <v>2057.88</v>
      </c>
      <c r="W27" s="208">
        <f t="shared" si="37"/>
        <v>239575.804794667</v>
      </c>
      <c r="X27" s="208">
        <f t="shared" si="37"/>
        <v>288114.51</v>
      </c>
      <c r="Y27" s="208">
        <f t="shared" si="37"/>
        <v>48538.705205333303</v>
      </c>
      <c r="Z27" s="208">
        <f t="shared" si="37"/>
        <v>207201.01562799999</v>
      </c>
      <c r="AA27" s="208">
        <f t="shared" si="37"/>
        <v>9</v>
      </c>
      <c r="AB27" s="208">
        <f t="shared" si="37"/>
        <v>1151529.0944999999</v>
      </c>
      <c r="AC27" s="12"/>
    </row>
    <row r="28" spans="1:29" ht="20.149999999999999" customHeight="1">
      <c r="A28" s="2"/>
      <c r="B28" s="32"/>
      <c r="C28" s="2"/>
      <c r="D28" s="33"/>
      <c r="E28" s="33"/>
      <c r="F28" s="33"/>
      <c r="G28" s="33"/>
      <c r="H28" s="33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96"/>
      <c r="X28" s="210"/>
      <c r="Y28" s="210"/>
      <c r="Z28" s="210"/>
      <c r="AA28" s="210"/>
      <c r="AB28" s="210"/>
      <c r="AC28" s="34"/>
    </row>
    <row r="29" spans="1:29" ht="36.75" customHeight="1">
      <c r="A29" s="2"/>
      <c r="B29" s="32"/>
      <c r="C29" s="33"/>
      <c r="D29" s="33"/>
      <c r="E29" s="33"/>
      <c r="F29" s="33"/>
      <c r="G29" s="33"/>
      <c r="H29" s="33"/>
      <c r="I29" s="209"/>
      <c r="J29" s="209"/>
      <c r="K29" s="209"/>
      <c r="L29" s="209"/>
      <c r="M29" s="209"/>
      <c r="N29" s="209"/>
      <c r="O29" s="209"/>
      <c r="Q29" s="209"/>
      <c r="R29" s="209"/>
      <c r="S29" s="209"/>
      <c r="T29" s="209"/>
      <c r="U29" s="209"/>
      <c r="V29" s="209"/>
      <c r="W29" s="296"/>
      <c r="X29" s="210"/>
      <c r="Y29" s="210"/>
      <c r="Z29" s="210"/>
      <c r="AA29" s="210"/>
      <c r="AB29" s="210"/>
    </row>
    <row r="32" spans="1:29" ht="20.149999999999999" customHeight="1">
      <c r="Q32" s="34"/>
      <c r="R32" s="34"/>
      <c r="S32" s="34"/>
      <c r="T3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1796875" style="1" customWidth="1"/>
    <col min="5" max="5" width="21.26953125" style="1" customWidth="1"/>
    <col min="6" max="6" width="21.7265625" style="1" customWidth="1"/>
    <col min="7" max="7" width="11.54296875" style="1" customWidth="1"/>
    <col min="8" max="16384" width="9.1796875" style="1"/>
  </cols>
  <sheetData>
    <row r="1" spans="1:6" ht="27" customHeight="1">
      <c r="A1" s="792" t="s">
        <v>0</v>
      </c>
      <c r="B1" s="792"/>
      <c r="C1" s="792"/>
      <c r="D1" s="792"/>
      <c r="E1" s="792"/>
    </row>
    <row r="2" spans="1:6" ht="33.75" customHeight="1">
      <c r="A2" s="217" t="s">
        <v>949</v>
      </c>
      <c r="B2" s="334"/>
      <c r="C2" s="217"/>
      <c r="D2" s="217"/>
      <c r="E2" s="335"/>
    </row>
    <row r="3" spans="1:6" ht="9.75" customHeight="1">
      <c r="A3" s="2"/>
      <c r="B3" s="2"/>
      <c r="C3" s="2"/>
      <c r="D3" s="2"/>
      <c r="E3" s="198" t="e">
        <f>'[1]FEB 08'!E11/'[1]FEB 08'!M11</f>
        <v>#REF!</v>
      </c>
    </row>
    <row r="4" spans="1:6" ht="49.5" customHeight="1">
      <c r="A4" s="3"/>
      <c r="B4" s="4" t="s">
        <v>2</v>
      </c>
      <c r="C4" s="5" t="s">
        <v>3</v>
      </c>
      <c r="D4" s="6" t="s">
        <v>4</v>
      </c>
      <c r="E4" s="336" t="s">
        <v>134</v>
      </c>
    </row>
    <row r="5" spans="1:6" ht="17.25" customHeight="1">
      <c r="C5" s="7"/>
      <c r="D5" s="7"/>
      <c r="E5" s="337" t="s">
        <v>20</v>
      </c>
    </row>
    <row r="6" spans="1:6" ht="20.149999999999999" customHeight="1">
      <c r="A6" s="8" t="s">
        <v>21</v>
      </c>
      <c r="B6" s="7" t="s">
        <v>22</v>
      </c>
      <c r="C6" s="7"/>
      <c r="D6" s="7"/>
      <c r="E6" s="337"/>
    </row>
    <row r="7" spans="1: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333">
        <v>540000</v>
      </c>
      <c r="F7" s="12"/>
    </row>
    <row r="8" spans="1:6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333">
        <v>180000</v>
      </c>
      <c r="F8" s="12"/>
    </row>
    <row r="9" spans="1:6" ht="20.149999999999999" customHeight="1">
      <c r="A9" s="9">
        <v>3</v>
      </c>
      <c r="B9" s="13" t="s">
        <v>241</v>
      </c>
      <c r="C9" s="3" t="s">
        <v>242</v>
      </c>
      <c r="D9" s="14" t="s">
        <v>308</v>
      </c>
      <c r="E9" s="333">
        <v>180000</v>
      </c>
      <c r="F9" s="12"/>
    </row>
    <row r="10" spans="1:6" ht="20.149999999999999" customHeight="1">
      <c r="A10" s="9">
        <v>4</v>
      </c>
      <c r="B10" s="10" t="s">
        <v>243</v>
      </c>
      <c r="C10" s="16" t="s">
        <v>244</v>
      </c>
      <c r="D10" s="15" t="s">
        <v>308</v>
      </c>
      <c r="E10" s="333">
        <v>180000</v>
      </c>
      <c r="F10" s="12"/>
    </row>
    <row r="11" spans="1:6" ht="20.149999999999999" customHeight="1">
      <c r="A11" s="9">
        <v>5</v>
      </c>
      <c r="B11" s="13" t="s">
        <v>245</v>
      </c>
      <c r="C11" s="3" t="s">
        <v>246</v>
      </c>
      <c r="D11" s="15" t="s">
        <v>308</v>
      </c>
      <c r="E11" s="333">
        <v>180000</v>
      </c>
      <c r="F11" s="12"/>
    </row>
    <row r="12" spans="1:6" ht="20.149999999999999" customHeight="1">
      <c r="A12" s="9">
        <v>6</v>
      </c>
      <c r="B12" s="17" t="s">
        <v>232</v>
      </c>
      <c r="C12" s="9" t="s">
        <v>233</v>
      </c>
      <c r="D12" s="14" t="s">
        <v>308</v>
      </c>
      <c r="E12" s="333">
        <v>180000</v>
      </c>
      <c r="F12" s="12"/>
    </row>
    <row r="13" spans="1:6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333">
        <v>126000</v>
      </c>
      <c r="F13" s="12"/>
    </row>
    <row r="14" spans="1:6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333">
        <v>126000</v>
      </c>
      <c r="F14" s="12"/>
    </row>
    <row r="15" spans="1:6" ht="20.149999999999999" customHeight="1">
      <c r="A15" s="9">
        <v>9</v>
      </c>
      <c r="B15" s="10" t="s">
        <v>252</v>
      </c>
      <c r="C15" s="3" t="s">
        <v>253</v>
      </c>
      <c r="D15" s="14" t="s">
        <v>257</v>
      </c>
      <c r="E15" s="333">
        <f>90000</f>
        <v>90000</v>
      </c>
      <c r="F15" s="12"/>
    </row>
    <row r="16" spans="1:6" ht="20.149999999999999" customHeight="1">
      <c r="A16" s="9">
        <v>10</v>
      </c>
      <c r="B16" s="13" t="s">
        <v>255</v>
      </c>
      <c r="C16" s="16" t="s">
        <v>256</v>
      </c>
      <c r="D16" s="14" t="s">
        <v>342</v>
      </c>
      <c r="E16" s="333">
        <f>90000</f>
        <v>90000</v>
      </c>
      <c r="F16" s="12"/>
    </row>
    <row r="17" spans="1:6" ht="20.149999999999999" customHeight="1">
      <c r="A17" s="9">
        <v>11</v>
      </c>
      <c r="B17" s="10" t="s">
        <v>261</v>
      </c>
      <c r="C17" s="3" t="s">
        <v>262</v>
      </c>
      <c r="D17" s="9" t="s">
        <v>263</v>
      </c>
      <c r="E17" s="333">
        <f t="shared" ref="E17:E19" si="0">90000</f>
        <v>90000</v>
      </c>
    </row>
    <row r="18" spans="1:6" ht="20.149999999999999" customHeight="1">
      <c r="A18" s="9">
        <v>12</v>
      </c>
      <c r="B18" s="10" t="s">
        <v>264</v>
      </c>
      <c r="C18" s="11" t="s">
        <v>265</v>
      </c>
      <c r="D18" s="14" t="s">
        <v>950</v>
      </c>
      <c r="E18" s="333">
        <f t="shared" si="0"/>
        <v>90000</v>
      </c>
      <c r="F18" s="12"/>
    </row>
    <row r="19" spans="1:6" ht="20.149999999999999" customHeight="1">
      <c r="A19" s="9">
        <v>13</v>
      </c>
      <c r="B19" s="17" t="s">
        <v>267</v>
      </c>
      <c r="C19" s="3" t="s">
        <v>268</v>
      </c>
      <c r="D19" s="14" t="s">
        <v>951</v>
      </c>
      <c r="E19" s="333">
        <f t="shared" si="0"/>
        <v>90000</v>
      </c>
      <c r="F19" s="12"/>
    </row>
    <row r="20" spans="1:6" ht="18.75" customHeight="1">
      <c r="A20" s="9">
        <v>14</v>
      </c>
      <c r="B20" s="10" t="s">
        <v>270</v>
      </c>
      <c r="C20" s="11" t="s">
        <v>50</v>
      </c>
      <c r="D20" s="14" t="s">
        <v>332</v>
      </c>
      <c r="E20" s="333">
        <v>54000</v>
      </c>
      <c r="F20" s="12"/>
    </row>
    <row r="21" spans="1:6" ht="20.149999999999999" customHeight="1">
      <c r="A21" s="9">
        <v>15</v>
      </c>
      <c r="B21" s="13" t="s">
        <v>272</v>
      </c>
      <c r="C21" s="16" t="s">
        <v>273</v>
      </c>
      <c r="D21" s="9" t="s">
        <v>42</v>
      </c>
      <c r="E21" s="333">
        <v>54000</v>
      </c>
      <c r="F21" s="12"/>
    </row>
    <row r="22" spans="1:6" ht="20.149999999999999" customHeight="1">
      <c r="A22" s="9">
        <v>16</v>
      </c>
      <c r="B22" s="13" t="s">
        <v>276</v>
      </c>
      <c r="C22" s="16" t="s">
        <v>277</v>
      </c>
      <c r="D22" s="9" t="s">
        <v>38</v>
      </c>
      <c r="E22" s="333">
        <v>54000</v>
      </c>
      <c r="F22" s="12"/>
    </row>
    <row r="23" spans="1:6" ht="18.75" customHeight="1">
      <c r="A23" s="9">
        <v>17</v>
      </c>
      <c r="B23" s="3" t="s">
        <v>278</v>
      </c>
      <c r="C23" s="3" t="s">
        <v>176</v>
      </c>
      <c r="D23" s="9" t="s">
        <v>283</v>
      </c>
      <c r="E23" s="333">
        <v>54000</v>
      </c>
      <c r="F23" s="12"/>
    </row>
    <row r="24" spans="1:6" ht="18.75" customHeight="1">
      <c r="A24" s="9">
        <v>18</v>
      </c>
      <c r="B24" s="17" t="s">
        <v>280</v>
      </c>
      <c r="C24" s="11" t="s">
        <v>176</v>
      </c>
      <c r="D24" s="14" t="s">
        <v>283</v>
      </c>
      <c r="E24" s="333">
        <v>54000</v>
      </c>
      <c r="F24" s="12"/>
    </row>
    <row r="25" spans="1:6" ht="18.75" customHeight="1">
      <c r="A25" s="9">
        <v>19</v>
      </c>
      <c r="B25" s="17" t="s">
        <v>282</v>
      </c>
      <c r="C25" s="11" t="s">
        <v>28</v>
      </c>
      <c r="D25" s="14" t="s">
        <v>25</v>
      </c>
      <c r="E25" s="333">
        <v>54000</v>
      </c>
      <c r="F25" s="12"/>
    </row>
    <row r="26" spans="1:6" ht="18.75" customHeight="1">
      <c r="A26" s="9">
        <v>20</v>
      </c>
      <c r="B26" s="17" t="s">
        <v>284</v>
      </c>
      <c r="C26" s="3" t="s">
        <v>285</v>
      </c>
      <c r="D26" s="9" t="s">
        <v>25</v>
      </c>
      <c r="E26" s="333">
        <v>54000</v>
      </c>
      <c r="F26" s="12"/>
    </row>
    <row r="27" spans="1:6" ht="18.75" customHeight="1">
      <c r="A27" s="9">
        <v>21</v>
      </c>
      <c r="B27" s="17" t="s">
        <v>287</v>
      </c>
      <c r="C27" s="16" t="s">
        <v>288</v>
      </c>
      <c r="D27" s="14" t="s">
        <v>283</v>
      </c>
      <c r="E27" s="333">
        <v>54000</v>
      </c>
      <c r="F27" s="12"/>
    </row>
    <row r="28" spans="1:6" ht="18.75" customHeight="1">
      <c r="A28" s="9">
        <v>22</v>
      </c>
      <c r="B28" s="17" t="s">
        <v>289</v>
      </c>
      <c r="C28" s="3" t="s">
        <v>290</v>
      </c>
      <c r="D28" s="9" t="s">
        <v>294</v>
      </c>
      <c r="E28" s="333">
        <v>54000</v>
      </c>
      <c r="F28" s="12"/>
    </row>
    <row r="29" spans="1:6" ht="18.75" customHeight="1">
      <c r="A29" s="9">
        <v>23</v>
      </c>
      <c r="B29" s="17" t="s">
        <v>933</v>
      </c>
      <c r="C29" s="11" t="s">
        <v>293</v>
      </c>
      <c r="D29" s="14" t="s">
        <v>294</v>
      </c>
      <c r="E29" s="333">
        <v>54000</v>
      </c>
      <c r="F29" s="12"/>
    </row>
    <row r="30" spans="1:6" ht="18.75" customHeight="1">
      <c r="A30" s="9">
        <v>24</v>
      </c>
      <c r="B30" s="17" t="s">
        <v>292</v>
      </c>
      <c r="C30" s="11" t="s">
        <v>293</v>
      </c>
      <c r="D30" s="14" t="s">
        <v>31</v>
      </c>
      <c r="E30" s="333">
        <v>54000</v>
      </c>
      <c r="F30" s="12"/>
    </row>
    <row r="31" spans="1:6" ht="26.25" customHeight="1">
      <c r="A31" s="9"/>
      <c r="B31" s="19" t="s">
        <v>34</v>
      </c>
      <c r="C31" s="20">
        <v>24</v>
      </c>
      <c r="D31" s="14"/>
      <c r="E31" s="338">
        <f>SUM(E7:E30)</f>
        <v>2736000</v>
      </c>
      <c r="F31" s="12"/>
    </row>
    <row r="32" spans="1:6" ht="18.75" customHeight="1">
      <c r="A32" s="9"/>
      <c r="B32" s="21"/>
      <c r="C32" s="3"/>
      <c r="D32" s="14"/>
      <c r="E32" s="338"/>
      <c r="F32" s="12"/>
    </row>
    <row r="33" spans="1:6" ht="18.75" customHeight="1">
      <c r="A33" s="9"/>
      <c r="B33" s="19" t="s">
        <v>35</v>
      </c>
      <c r="C33" s="3"/>
      <c r="D33" s="14"/>
      <c r="E33" s="333"/>
      <c r="F33" s="12"/>
    </row>
    <row r="34" spans="1:6" ht="18.75" customHeight="1">
      <c r="A34" s="9">
        <v>1</v>
      </c>
      <c r="B34" s="17" t="s">
        <v>295</v>
      </c>
      <c r="C34" s="3" t="s">
        <v>296</v>
      </c>
      <c r="D34" s="9" t="s">
        <v>297</v>
      </c>
      <c r="E34" s="333">
        <v>270000</v>
      </c>
      <c r="F34" s="12"/>
    </row>
    <row r="35" spans="1:6" ht="18.75" customHeight="1">
      <c r="A35" s="9">
        <v>2</v>
      </c>
      <c r="B35" s="17" t="s">
        <v>298</v>
      </c>
      <c r="C35" s="3" t="s">
        <v>537</v>
      </c>
      <c r="D35" s="9" t="s">
        <v>31</v>
      </c>
      <c r="E35" s="333">
        <v>54000</v>
      </c>
      <c r="F35" s="12"/>
    </row>
    <row r="36" spans="1:6" ht="18.75" customHeight="1">
      <c r="A36" s="9">
        <v>3</v>
      </c>
      <c r="B36" s="10" t="s">
        <v>300</v>
      </c>
      <c r="C36" s="11" t="s">
        <v>534</v>
      </c>
      <c r="D36" s="14" t="s">
        <v>38</v>
      </c>
      <c r="E36" s="333">
        <v>54000</v>
      </c>
      <c r="F36" s="12"/>
    </row>
    <row r="37" spans="1:6" ht="19.5" customHeight="1">
      <c r="A37" s="9"/>
      <c r="B37" s="13"/>
      <c r="C37" s="20">
        <v>3</v>
      </c>
      <c r="D37" s="9"/>
      <c r="E37" s="338">
        <f>SUM(E34:E36)</f>
        <v>378000</v>
      </c>
      <c r="F37" s="12"/>
    </row>
    <row r="38" spans="1:6" ht="20.149999999999999" customHeight="1">
      <c r="A38" s="9"/>
      <c r="B38" s="13"/>
      <c r="C38" s="3"/>
      <c r="D38" s="9"/>
      <c r="E38" s="338"/>
      <c r="F38" s="12"/>
    </row>
    <row r="39" spans="1:6" ht="20.149999999999999" customHeight="1">
      <c r="A39" s="9"/>
      <c r="B39" s="22" t="s">
        <v>39</v>
      </c>
      <c r="C39" s="4"/>
      <c r="D39" s="23"/>
      <c r="E39" s="338"/>
      <c r="F39" s="12"/>
    </row>
    <row r="40" spans="1:6" ht="20.149999999999999" customHeight="1">
      <c r="A40" s="9">
        <v>1</v>
      </c>
      <c r="B40" s="10" t="s">
        <v>302</v>
      </c>
      <c r="C40" s="3" t="s">
        <v>303</v>
      </c>
      <c r="D40" s="9" t="s">
        <v>297</v>
      </c>
      <c r="E40" s="333">
        <v>270000</v>
      </c>
      <c r="F40" s="12"/>
    </row>
    <row r="41" spans="1:6" ht="20.149999999999999" customHeight="1">
      <c r="A41" s="9">
        <v>2</v>
      </c>
      <c r="B41" s="10" t="s">
        <v>306</v>
      </c>
      <c r="C41" s="3" t="s">
        <v>307</v>
      </c>
      <c r="D41" s="9" t="s">
        <v>946</v>
      </c>
      <c r="E41" s="333">
        <f>180000</f>
        <v>180000</v>
      </c>
      <c r="F41" s="12"/>
    </row>
    <row r="42" spans="1:6" ht="20.149999999999999" customHeight="1">
      <c r="A42" s="9">
        <v>3</v>
      </c>
      <c r="B42" s="10" t="s">
        <v>304</v>
      </c>
      <c r="C42" s="3" t="s">
        <v>305</v>
      </c>
      <c r="D42" s="9" t="s">
        <v>249</v>
      </c>
      <c r="E42" s="333">
        <v>126000</v>
      </c>
      <c r="F42" s="12"/>
    </row>
    <row r="43" spans="1:6" ht="20.149999999999999" customHeight="1">
      <c r="A43" s="9">
        <v>4</v>
      </c>
      <c r="B43" s="10" t="s">
        <v>309</v>
      </c>
      <c r="C43" s="3" t="s">
        <v>310</v>
      </c>
      <c r="D43" s="9" t="s">
        <v>249</v>
      </c>
      <c r="E43" s="333">
        <v>126000</v>
      </c>
      <c r="F43" s="12"/>
    </row>
    <row r="44" spans="1:6" ht="20.149999999999999" customHeight="1">
      <c r="A44" s="9">
        <v>5</v>
      </c>
      <c r="B44" s="10" t="s">
        <v>311</v>
      </c>
      <c r="C44" s="3" t="s">
        <v>310</v>
      </c>
      <c r="D44" s="9" t="s">
        <v>327</v>
      </c>
      <c r="E44" s="333">
        <v>126000</v>
      </c>
      <c r="F44" s="12"/>
    </row>
    <row r="45" spans="1:6" ht="20.149999999999999" customHeight="1">
      <c r="A45" s="9">
        <v>6</v>
      </c>
      <c r="B45" s="10" t="s">
        <v>312</v>
      </c>
      <c r="C45" s="3" t="s">
        <v>310</v>
      </c>
      <c r="D45" s="9" t="s">
        <v>228</v>
      </c>
      <c r="E45" s="333">
        <v>126000</v>
      </c>
      <c r="F45" s="12"/>
    </row>
    <row r="46" spans="1:6" ht="20.149999999999999" customHeight="1">
      <c r="A46" s="9">
        <v>7</v>
      </c>
      <c r="B46" s="13" t="s">
        <v>313</v>
      </c>
      <c r="C46" s="3" t="s">
        <v>256</v>
      </c>
      <c r="D46" s="15" t="s">
        <v>257</v>
      </c>
      <c r="E46" s="333">
        <v>90000</v>
      </c>
      <c r="F46" s="12"/>
    </row>
    <row r="47" spans="1:6" ht="20.149999999999999" customHeight="1">
      <c r="A47" s="9">
        <v>8</v>
      </c>
      <c r="B47" s="10" t="s">
        <v>258</v>
      </c>
      <c r="C47" s="3" t="s">
        <v>259</v>
      </c>
      <c r="D47" s="9" t="s">
        <v>260</v>
      </c>
      <c r="E47" s="333">
        <v>90000</v>
      </c>
      <c r="F47" s="12"/>
    </row>
    <row r="48" spans="1:6" ht="20.149999999999999" customHeight="1">
      <c r="A48" s="9">
        <v>9</v>
      </c>
      <c r="B48" s="10" t="s">
        <v>314</v>
      </c>
      <c r="C48" s="3" t="s">
        <v>63</v>
      </c>
      <c r="D48" s="9" t="s">
        <v>38</v>
      </c>
      <c r="E48" s="333">
        <v>54000</v>
      </c>
      <c r="F48" s="12"/>
    </row>
    <row r="49" spans="1:6" ht="20.149999999999999" customHeight="1">
      <c r="A49" s="9">
        <v>10</v>
      </c>
      <c r="B49" s="10" t="s">
        <v>315</v>
      </c>
      <c r="C49" s="3" t="s">
        <v>63</v>
      </c>
      <c r="D49" s="9" t="s">
        <v>25</v>
      </c>
      <c r="E49" s="333">
        <v>54000</v>
      </c>
      <c r="F49" s="12"/>
    </row>
    <row r="50" spans="1:6" ht="20.149999999999999" customHeight="1">
      <c r="A50" s="9">
        <v>11</v>
      </c>
      <c r="B50" s="10" t="s">
        <v>316</v>
      </c>
      <c r="C50" s="3" t="s">
        <v>63</v>
      </c>
      <c r="D50" s="9" t="s">
        <v>25</v>
      </c>
      <c r="E50" s="333">
        <v>54000</v>
      </c>
      <c r="F50" s="12"/>
    </row>
    <row r="51" spans="1:6" ht="20.149999999999999" customHeight="1">
      <c r="A51" s="9">
        <v>12</v>
      </c>
      <c r="B51" s="10" t="s">
        <v>317</v>
      </c>
      <c r="C51" s="3" t="s">
        <v>63</v>
      </c>
      <c r="D51" s="9" t="s">
        <v>25</v>
      </c>
      <c r="E51" s="333">
        <v>54000</v>
      </c>
      <c r="F51" s="12"/>
    </row>
    <row r="52" spans="1:6" ht="25.5" customHeight="1">
      <c r="A52" s="9"/>
      <c r="B52" s="19" t="s">
        <v>34</v>
      </c>
      <c r="C52" s="20">
        <v>12</v>
      </c>
      <c r="D52" s="20"/>
      <c r="E52" s="339">
        <f>SUM(E40:E51)</f>
        <v>1350000</v>
      </c>
      <c r="F52" s="12"/>
    </row>
    <row r="53" spans="1:6" ht="20.149999999999999" customHeight="1">
      <c r="A53" s="9"/>
      <c r="B53" s="21"/>
      <c r="C53" s="20"/>
      <c r="D53" s="20"/>
      <c r="E53" s="340"/>
      <c r="F53" s="12"/>
    </row>
    <row r="54" spans="1:6" ht="20.149999999999999" customHeight="1">
      <c r="A54" s="9"/>
      <c r="B54" s="19" t="s">
        <v>318</v>
      </c>
      <c r="C54" s="20"/>
      <c r="D54" s="20"/>
      <c r="E54" s="340"/>
      <c r="F54" s="12"/>
    </row>
    <row r="55" spans="1:6" ht="20.149999999999999" customHeight="1">
      <c r="A55" s="9">
        <v>1</v>
      </c>
      <c r="B55" s="10" t="s">
        <v>319</v>
      </c>
      <c r="C55" s="11" t="s">
        <v>320</v>
      </c>
      <c r="D55" s="14" t="s">
        <v>297</v>
      </c>
      <c r="E55" s="333">
        <v>270000</v>
      </c>
      <c r="F55" s="12"/>
    </row>
    <row r="56" spans="1:6" ht="20.149999999999999" customHeight="1">
      <c r="A56" s="9">
        <v>2</v>
      </c>
      <c r="B56" s="10" t="s">
        <v>321</v>
      </c>
      <c r="C56" s="11" t="s">
        <v>322</v>
      </c>
      <c r="D56" s="14" t="s">
        <v>222</v>
      </c>
      <c r="E56" s="333">
        <v>126000</v>
      </c>
      <c r="F56" s="12"/>
    </row>
    <row r="57" spans="1:6" ht="20.149999999999999" customHeight="1">
      <c r="A57" s="9"/>
      <c r="B57" s="19" t="s">
        <v>34</v>
      </c>
      <c r="C57" s="20">
        <v>2</v>
      </c>
      <c r="D57" s="20"/>
      <c r="E57" s="339">
        <f>SUM(E55:E56)</f>
        <v>396000</v>
      </c>
      <c r="F57" s="12"/>
    </row>
    <row r="58" spans="1:6" ht="20.149999999999999" customHeight="1">
      <c r="A58" s="9"/>
      <c r="B58" s="19"/>
      <c r="C58" s="20"/>
      <c r="D58" s="20"/>
      <c r="E58" s="340"/>
      <c r="F58" s="12"/>
    </row>
    <row r="59" spans="1:6" ht="20.149999999999999" customHeight="1">
      <c r="A59" s="9"/>
      <c r="B59" s="19" t="s">
        <v>45</v>
      </c>
      <c r="C59" s="20"/>
      <c r="D59" s="20"/>
      <c r="E59" s="340"/>
      <c r="F59" s="12"/>
    </row>
    <row r="60" spans="1:6" ht="20.149999999999999" customHeight="1">
      <c r="A60" s="9">
        <v>1</v>
      </c>
      <c r="B60" s="10" t="s">
        <v>323</v>
      </c>
      <c r="C60" s="16" t="s">
        <v>324</v>
      </c>
      <c r="D60" s="9" t="s">
        <v>297</v>
      </c>
      <c r="E60" s="333">
        <v>270000</v>
      </c>
      <c r="F60" s="12"/>
    </row>
    <row r="61" spans="1:6" ht="20.149999999999999" customHeight="1">
      <c r="A61" s="9">
        <v>2</v>
      </c>
      <c r="B61" s="328" t="s">
        <v>325</v>
      </c>
      <c r="C61" s="16" t="s">
        <v>326</v>
      </c>
      <c r="D61" s="14" t="s">
        <v>952</v>
      </c>
      <c r="E61" s="333">
        <v>126000</v>
      </c>
      <c r="F61" s="12"/>
    </row>
    <row r="62" spans="1:6" ht="20.149999999999999" customHeight="1">
      <c r="A62" s="9">
        <v>3</v>
      </c>
      <c r="B62" s="10" t="s">
        <v>328</v>
      </c>
      <c r="C62" s="3" t="s">
        <v>256</v>
      </c>
      <c r="D62" s="9" t="s">
        <v>260</v>
      </c>
      <c r="E62" s="333">
        <v>90000</v>
      </c>
      <c r="F62" s="12"/>
    </row>
    <row r="63" spans="1:6" ht="20.149999999999999" customHeight="1">
      <c r="A63" s="9">
        <v>4</v>
      </c>
      <c r="B63" s="17" t="s">
        <v>329</v>
      </c>
      <c r="C63" s="16" t="s">
        <v>47</v>
      </c>
      <c r="D63" s="14" t="s">
        <v>950</v>
      </c>
      <c r="E63" s="333">
        <v>90000</v>
      </c>
      <c r="F63" s="12"/>
    </row>
    <row r="64" spans="1:6" ht="20.149999999999999" customHeight="1">
      <c r="A64" s="9">
        <v>5</v>
      </c>
      <c r="B64" s="13" t="s">
        <v>330</v>
      </c>
      <c r="C64" s="16" t="s">
        <v>256</v>
      </c>
      <c r="D64" s="14" t="s">
        <v>257</v>
      </c>
      <c r="E64" s="333">
        <v>90000</v>
      </c>
      <c r="F64" s="12"/>
    </row>
    <row r="65" spans="1:6" ht="20.149999999999999" customHeight="1">
      <c r="A65" s="9">
        <v>7</v>
      </c>
      <c r="B65" s="10" t="s">
        <v>331</v>
      </c>
      <c r="C65" s="3" t="s">
        <v>63</v>
      </c>
      <c r="D65" s="9" t="s">
        <v>42</v>
      </c>
      <c r="E65" s="333">
        <v>54000</v>
      </c>
      <c r="F65" s="12"/>
    </row>
    <row r="66" spans="1:6" ht="20.149999999999999" customHeight="1">
      <c r="A66" s="9">
        <v>8</v>
      </c>
      <c r="B66" s="10" t="s">
        <v>333</v>
      </c>
      <c r="C66" s="16" t="s">
        <v>275</v>
      </c>
      <c r="D66" s="14" t="s">
        <v>42</v>
      </c>
      <c r="E66" s="333">
        <v>54000</v>
      </c>
      <c r="F66" s="12"/>
    </row>
    <row r="67" spans="1:6" ht="20.149999999999999" customHeight="1">
      <c r="A67" s="9">
        <v>9</v>
      </c>
      <c r="B67" s="10" t="s">
        <v>334</v>
      </c>
      <c r="C67" s="16" t="s">
        <v>275</v>
      </c>
      <c r="D67" s="14" t="s">
        <v>42</v>
      </c>
      <c r="E67" s="333">
        <v>54000</v>
      </c>
      <c r="F67" s="12"/>
    </row>
    <row r="68" spans="1:6" ht="20.149999999999999" customHeight="1">
      <c r="A68" s="9">
        <v>10</v>
      </c>
      <c r="B68" s="10" t="s">
        <v>335</v>
      </c>
      <c r="C68" s="3" t="s">
        <v>336</v>
      </c>
      <c r="D68" s="9" t="s">
        <v>332</v>
      </c>
      <c r="E68" s="333">
        <v>54000</v>
      </c>
      <c r="F68" s="12"/>
    </row>
    <row r="69" spans="1:6" ht="21.65" customHeight="1">
      <c r="A69" s="9">
        <v>11</v>
      </c>
      <c r="B69" s="10" t="s">
        <v>337</v>
      </c>
      <c r="C69" s="3" t="s">
        <v>63</v>
      </c>
      <c r="D69" s="9" t="s">
        <v>38</v>
      </c>
      <c r="E69" s="333">
        <v>54000</v>
      </c>
    </row>
    <row r="70" spans="1:6" ht="20.149999999999999" customHeight="1">
      <c r="A70" s="9">
        <v>12</v>
      </c>
      <c r="B70" s="10" t="s">
        <v>281</v>
      </c>
      <c r="C70" s="16" t="s">
        <v>273</v>
      </c>
      <c r="D70" s="9" t="s">
        <v>283</v>
      </c>
      <c r="E70" s="333">
        <v>54000</v>
      </c>
      <c r="F70" s="12"/>
    </row>
    <row r="71" spans="1:6" ht="27" customHeight="1">
      <c r="A71" s="9"/>
      <c r="B71" s="19" t="s">
        <v>34</v>
      </c>
      <c r="C71" s="20">
        <v>12</v>
      </c>
      <c r="D71" s="20"/>
      <c r="E71" s="339">
        <f>SUM(E60:E70)</f>
        <v>990000</v>
      </c>
      <c r="F71" s="12"/>
    </row>
    <row r="72" spans="1:6" ht="20.149999999999999" customHeight="1">
      <c r="A72" s="9"/>
      <c r="B72" s="21"/>
      <c r="C72" s="20"/>
      <c r="D72" s="20"/>
      <c r="E72" s="340"/>
      <c r="F72" s="12"/>
    </row>
    <row r="73" spans="1:6" ht="20.149999999999999" customHeight="1">
      <c r="A73" s="9"/>
      <c r="B73" s="19" t="s">
        <v>51</v>
      </c>
      <c r="C73" s="20"/>
      <c r="D73" s="20"/>
      <c r="E73" s="340"/>
      <c r="F73" s="12"/>
    </row>
    <row r="74" spans="1:6" ht="20.149999999999999" customHeight="1">
      <c r="A74" s="9">
        <v>1</v>
      </c>
      <c r="B74" s="10" t="s">
        <v>338</v>
      </c>
      <c r="C74" s="3" t="s">
        <v>339</v>
      </c>
      <c r="D74" s="9" t="s">
        <v>297</v>
      </c>
      <c r="E74" s="333">
        <v>270000</v>
      </c>
      <c r="F74" s="12"/>
    </row>
    <row r="75" spans="1:6" ht="20.149999999999999" customHeight="1">
      <c r="A75" s="9">
        <v>2</v>
      </c>
      <c r="B75" s="13" t="s">
        <v>220</v>
      </c>
      <c r="C75" s="3" t="s">
        <v>221</v>
      </c>
      <c r="D75" s="14" t="s">
        <v>952</v>
      </c>
      <c r="E75" s="333">
        <v>126000</v>
      </c>
      <c r="F75" s="12"/>
    </row>
    <row r="76" spans="1:6" ht="20.149999999999999" customHeight="1">
      <c r="A76" s="9">
        <v>3</v>
      </c>
      <c r="B76" s="17" t="s">
        <v>223</v>
      </c>
      <c r="C76" s="11" t="s">
        <v>224</v>
      </c>
      <c r="D76" s="9" t="s">
        <v>222</v>
      </c>
      <c r="E76" s="333">
        <v>126000</v>
      </c>
      <c r="F76" s="12"/>
    </row>
    <row r="77" spans="1:6" ht="20.149999999999999" customHeight="1">
      <c r="A77" s="9">
        <v>4</v>
      </c>
      <c r="B77" s="10" t="s">
        <v>340</v>
      </c>
      <c r="C77" s="3" t="s">
        <v>341</v>
      </c>
      <c r="D77" s="14" t="s">
        <v>260</v>
      </c>
      <c r="E77" s="333">
        <v>90000</v>
      </c>
      <c r="F77" s="12"/>
    </row>
    <row r="78" spans="1:6" ht="20.149999999999999" customHeight="1">
      <c r="A78" s="9">
        <v>5</v>
      </c>
      <c r="B78" s="10" t="s">
        <v>343</v>
      </c>
      <c r="C78" s="3" t="s">
        <v>344</v>
      </c>
      <c r="D78" s="9" t="s">
        <v>301</v>
      </c>
      <c r="E78" s="333">
        <v>54000</v>
      </c>
      <c r="F78" s="12"/>
    </row>
    <row r="79" spans="1:6" ht="20.149999999999999" customHeight="1">
      <c r="A79" s="9">
        <v>6</v>
      </c>
      <c r="B79" s="10" t="s">
        <v>346</v>
      </c>
      <c r="C79" s="3" t="s">
        <v>344</v>
      </c>
      <c r="D79" s="9" t="s">
        <v>25</v>
      </c>
      <c r="E79" s="333">
        <v>54000</v>
      </c>
      <c r="F79" s="12"/>
    </row>
    <row r="80" spans="1:6" ht="20.149999999999999" customHeight="1">
      <c r="A80" s="9">
        <v>7</v>
      </c>
      <c r="B80" s="10" t="s">
        <v>347</v>
      </c>
      <c r="C80" s="3" t="s">
        <v>348</v>
      </c>
      <c r="D80" s="9" t="s">
        <v>31</v>
      </c>
      <c r="E80" s="333">
        <v>54000</v>
      </c>
      <c r="F80" s="12"/>
    </row>
    <row r="81" spans="1:6" ht="20.149999999999999" customHeight="1">
      <c r="A81" s="9"/>
      <c r="B81" s="19" t="s">
        <v>34</v>
      </c>
      <c r="C81" s="20">
        <v>7</v>
      </c>
      <c r="D81" s="20"/>
      <c r="E81" s="339">
        <f>SUM(E74:E80)</f>
        <v>774000</v>
      </c>
      <c r="F81" s="12"/>
    </row>
    <row r="82" spans="1:6" ht="20.149999999999999" customHeight="1">
      <c r="A82" s="9"/>
      <c r="B82" s="19"/>
      <c r="C82" s="20"/>
      <c r="D82" s="20"/>
      <c r="E82" s="340"/>
      <c r="F82" s="12"/>
    </row>
    <row r="83" spans="1:6" ht="20.149999999999999" customHeight="1">
      <c r="A83" s="9"/>
      <c r="B83" s="19" t="s">
        <v>56</v>
      </c>
      <c r="C83" s="24"/>
      <c r="D83" s="20"/>
      <c r="E83" s="340"/>
      <c r="F83" s="12"/>
    </row>
    <row r="84" spans="1:6" ht="20.149999999999999" customHeight="1">
      <c r="A84" s="9">
        <v>1</v>
      </c>
      <c r="B84" s="10" t="s">
        <v>349</v>
      </c>
      <c r="C84" s="3" t="s">
        <v>310</v>
      </c>
      <c r="D84" s="9" t="s">
        <v>249</v>
      </c>
      <c r="E84" s="333">
        <v>126000</v>
      </c>
      <c r="F84" s="12"/>
    </row>
    <row r="85" spans="1:6" ht="20.149999999999999" customHeight="1">
      <c r="A85" s="9">
        <v>2</v>
      </c>
      <c r="B85" s="10" t="s">
        <v>350</v>
      </c>
      <c r="C85" s="3" t="s">
        <v>310</v>
      </c>
      <c r="D85" s="9" t="s">
        <v>249</v>
      </c>
      <c r="E85" s="333">
        <v>126000</v>
      </c>
      <c r="F85" s="12"/>
    </row>
    <row r="86" spans="1:6" ht="20.149999999999999" customHeight="1">
      <c r="A86" s="9">
        <v>3</v>
      </c>
      <c r="B86" s="13" t="s">
        <v>386</v>
      </c>
      <c r="C86" s="3" t="s">
        <v>310</v>
      </c>
      <c r="D86" s="9" t="s">
        <v>228</v>
      </c>
      <c r="E86" s="333">
        <v>126000</v>
      </c>
      <c r="F86" s="12"/>
    </row>
    <row r="87" spans="1:6" ht="20.149999999999999" customHeight="1">
      <c r="A87" s="9">
        <v>4</v>
      </c>
      <c r="B87" s="10" t="s">
        <v>351</v>
      </c>
      <c r="C87" s="3" t="s">
        <v>310</v>
      </c>
      <c r="D87" s="9" t="s">
        <v>228</v>
      </c>
      <c r="E87" s="333">
        <v>126000</v>
      </c>
      <c r="F87" s="12"/>
    </row>
    <row r="88" spans="1:6" ht="21.65" customHeight="1">
      <c r="A88" s="9">
        <v>5</v>
      </c>
      <c r="B88" s="10" t="s">
        <v>352</v>
      </c>
      <c r="C88" s="3" t="s">
        <v>353</v>
      </c>
      <c r="D88" s="14" t="s">
        <v>266</v>
      </c>
      <c r="E88" s="333">
        <v>90000</v>
      </c>
      <c r="F88" s="12"/>
    </row>
    <row r="89" spans="1:6" ht="21.65" customHeight="1">
      <c r="A89" s="9">
        <v>6</v>
      </c>
      <c r="B89" s="10" t="s">
        <v>354</v>
      </c>
      <c r="C89" s="11" t="s">
        <v>47</v>
      </c>
      <c r="D89" s="14" t="s">
        <v>950</v>
      </c>
      <c r="E89" s="333">
        <v>90000</v>
      </c>
      <c r="F89" s="12"/>
    </row>
    <row r="90" spans="1:6" ht="21.65" customHeight="1">
      <c r="A90" s="9">
        <v>7</v>
      </c>
      <c r="B90" s="10" t="s">
        <v>355</v>
      </c>
      <c r="C90" s="11" t="s">
        <v>256</v>
      </c>
      <c r="D90" s="14" t="s">
        <v>356</v>
      </c>
      <c r="E90" s="333">
        <v>90000</v>
      </c>
      <c r="F90" s="12"/>
    </row>
    <row r="91" spans="1:6" ht="21.65" customHeight="1">
      <c r="A91" s="9">
        <v>8</v>
      </c>
      <c r="B91" s="10" t="s">
        <v>357</v>
      </c>
      <c r="C91" s="16" t="s">
        <v>275</v>
      </c>
      <c r="D91" s="14" t="s">
        <v>42</v>
      </c>
      <c r="E91" s="333">
        <v>54000</v>
      </c>
      <c r="F91" s="12"/>
    </row>
    <row r="92" spans="1:6" ht="21.65" customHeight="1">
      <c r="A92" s="9">
        <v>9</v>
      </c>
      <c r="B92" s="10" t="s">
        <v>358</v>
      </c>
      <c r="C92" s="16" t="s">
        <v>275</v>
      </c>
      <c r="D92" s="14" t="s">
        <v>42</v>
      </c>
      <c r="E92" s="333">
        <v>54000</v>
      </c>
      <c r="F92" s="12"/>
    </row>
    <row r="93" spans="1:6" ht="21.65" customHeight="1">
      <c r="A93" s="9">
        <v>10</v>
      </c>
      <c r="B93" s="10" t="s">
        <v>359</v>
      </c>
      <c r="C93" s="3" t="s">
        <v>360</v>
      </c>
      <c r="D93" s="9" t="s">
        <v>38</v>
      </c>
      <c r="E93" s="333">
        <v>54000</v>
      </c>
      <c r="F93" s="12"/>
    </row>
    <row r="94" spans="1:6" ht="21.65" customHeight="1">
      <c r="A94" s="9">
        <v>11</v>
      </c>
      <c r="B94" s="10" t="s">
        <v>361</v>
      </c>
      <c r="C94" s="16" t="s">
        <v>362</v>
      </c>
      <c r="D94" s="14" t="s">
        <v>294</v>
      </c>
      <c r="E94" s="333">
        <v>54000</v>
      </c>
      <c r="F94" s="12"/>
    </row>
    <row r="95" spans="1:6" ht="20.149999999999999" customHeight="1">
      <c r="A95" s="9"/>
      <c r="B95" s="19" t="s">
        <v>34</v>
      </c>
      <c r="C95" s="20">
        <v>11</v>
      </c>
      <c r="D95" s="20"/>
      <c r="E95" s="339">
        <f>SUM(E84:E94)</f>
        <v>990000</v>
      </c>
      <c r="F95" s="12"/>
    </row>
    <row r="96" spans="1:6" ht="20.149999999999999" customHeight="1">
      <c r="A96" s="9"/>
      <c r="B96" s="21"/>
      <c r="C96" s="20"/>
      <c r="D96" s="20"/>
      <c r="E96" s="340"/>
      <c r="F96" s="12"/>
    </row>
    <row r="97" spans="1:6" ht="20.149999999999999" customHeight="1">
      <c r="A97" s="9"/>
      <c r="B97" s="19" t="s">
        <v>58</v>
      </c>
      <c r="C97" s="20"/>
      <c r="D97" s="20"/>
      <c r="E97" s="340"/>
      <c r="F97" s="12"/>
    </row>
    <row r="98" spans="1:6" ht="20.149999999999999" customHeight="1">
      <c r="A98" s="9">
        <v>1</v>
      </c>
      <c r="B98" s="13" t="s">
        <v>363</v>
      </c>
      <c r="C98" s="3" t="s">
        <v>364</v>
      </c>
      <c r="D98" s="15" t="s">
        <v>308</v>
      </c>
      <c r="E98" s="333">
        <f>180000</f>
        <v>180000</v>
      </c>
      <c r="F98" s="12"/>
    </row>
    <row r="99" spans="1:6" ht="20.149999999999999" customHeight="1">
      <c r="A99" s="9">
        <v>2</v>
      </c>
      <c r="B99" s="10" t="s">
        <v>366</v>
      </c>
      <c r="C99" s="3" t="s">
        <v>367</v>
      </c>
      <c r="D99" s="14" t="s">
        <v>260</v>
      </c>
      <c r="E99" s="333">
        <v>90000</v>
      </c>
      <c r="F99" s="12"/>
    </row>
    <row r="100" spans="1:6" ht="20.149999999999999" customHeight="1">
      <c r="A100" s="9">
        <v>3</v>
      </c>
      <c r="B100" s="10" t="s">
        <v>368</v>
      </c>
      <c r="C100" s="3" t="s">
        <v>369</v>
      </c>
      <c r="D100" s="14" t="s">
        <v>332</v>
      </c>
      <c r="E100" s="333">
        <v>54000</v>
      </c>
      <c r="F100" s="12"/>
    </row>
    <row r="101" spans="1:6" ht="20.149999999999999" customHeight="1">
      <c r="A101" s="9">
        <v>4</v>
      </c>
      <c r="B101" s="10" t="s">
        <v>370</v>
      </c>
      <c r="C101" s="3" t="s">
        <v>371</v>
      </c>
      <c r="D101" s="14" t="s">
        <v>38</v>
      </c>
      <c r="E101" s="333">
        <v>54000</v>
      </c>
      <c r="F101" s="12"/>
    </row>
    <row r="102" spans="1:6" ht="20.149999999999999" customHeight="1">
      <c r="A102" s="3"/>
      <c r="B102" s="19" t="s">
        <v>34</v>
      </c>
      <c r="C102" s="20">
        <v>4</v>
      </c>
      <c r="D102" s="25"/>
      <c r="E102" s="339">
        <f>SUM(E98:E101)</f>
        <v>378000</v>
      </c>
      <c r="F102" s="12"/>
    </row>
    <row r="103" spans="1:6" ht="20.149999999999999" customHeight="1">
      <c r="A103" s="3"/>
      <c r="B103" s="21"/>
      <c r="C103" s="20"/>
      <c r="D103" s="25"/>
      <c r="E103" s="340"/>
      <c r="F103" s="12"/>
    </row>
    <row r="104" spans="1:6" ht="20.149999999999999" customHeight="1">
      <c r="A104" s="3"/>
      <c r="B104" s="19" t="s">
        <v>372</v>
      </c>
      <c r="C104" s="3"/>
      <c r="D104" s="3"/>
      <c r="E104" s="341"/>
      <c r="F104" s="12"/>
    </row>
    <row r="105" spans="1:6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333">
        <v>270000</v>
      </c>
      <c r="F105" s="12"/>
    </row>
    <row r="106" spans="1:6" ht="20.149999999999999" customHeight="1">
      <c r="A106" s="3">
        <v>2</v>
      </c>
      <c r="B106" s="10" t="s">
        <v>375</v>
      </c>
      <c r="C106" s="3" t="s">
        <v>376</v>
      </c>
      <c r="D106" s="15" t="s">
        <v>308</v>
      </c>
      <c r="E106" s="333">
        <v>180000</v>
      </c>
      <c r="F106" s="12"/>
    </row>
    <row r="107" spans="1:6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333">
        <v>90000</v>
      </c>
      <c r="F107" s="12"/>
    </row>
    <row r="108" spans="1:6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333">
        <v>90000</v>
      </c>
      <c r="F108" s="12"/>
    </row>
    <row r="109" spans="1:6" ht="20.149999999999999" customHeight="1">
      <c r="A109" s="3">
        <v>5</v>
      </c>
      <c r="B109" s="10" t="s">
        <v>380</v>
      </c>
      <c r="C109" s="3" t="s">
        <v>381</v>
      </c>
      <c r="D109" s="14" t="s">
        <v>384</v>
      </c>
      <c r="E109" s="342">
        <v>54000</v>
      </c>
      <c r="F109" s="12"/>
    </row>
    <row r="110" spans="1:6" ht="20.149999999999999" customHeight="1">
      <c r="A110" s="3">
        <v>6</v>
      </c>
      <c r="B110" s="17" t="s">
        <v>383</v>
      </c>
      <c r="C110" s="3" t="s">
        <v>381</v>
      </c>
      <c r="D110" s="9" t="s">
        <v>945</v>
      </c>
      <c r="E110" s="342">
        <v>54000</v>
      </c>
      <c r="F110" s="12"/>
    </row>
    <row r="111" spans="1:6" ht="20.149999999999999" customHeight="1">
      <c r="A111" s="3">
        <v>7</v>
      </c>
      <c r="B111" s="17" t="s">
        <v>385</v>
      </c>
      <c r="C111" s="3" t="s">
        <v>381</v>
      </c>
      <c r="D111" s="14" t="s">
        <v>294</v>
      </c>
      <c r="E111" s="342">
        <v>54000</v>
      </c>
      <c r="F111" s="12"/>
    </row>
    <row r="112" spans="1:6" ht="25.5" customHeight="1">
      <c r="A112" s="3"/>
      <c r="B112" s="19" t="s">
        <v>34</v>
      </c>
      <c r="C112" s="20">
        <v>7</v>
      </c>
      <c r="D112" s="3"/>
      <c r="E112" s="343">
        <f>SUM(E105:E111)</f>
        <v>792000</v>
      </c>
      <c r="F112" s="12"/>
    </row>
    <row r="113" spans="1:6" ht="20.149999999999999" customHeight="1">
      <c r="A113" s="3"/>
      <c r="B113" s="19"/>
      <c r="C113" s="20"/>
      <c r="D113" s="3"/>
      <c r="E113" s="343"/>
      <c r="F113" s="12"/>
    </row>
    <row r="114" spans="1:6" ht="20.149999999999999" customHeight="1">
      <c r="A114" s="9"/>
      <c r="B114" s="19" t="s">
        <v>61</v>
      </c>
      <c r="C114" s="20"/>
      <c r="D114" s="20"/>
      <c r="E114" s="340"/>
      <c r="F114" s="12"/>
    </row>
    <row r="115" spans="1:6" ht="18.75" customHeight="1">
      <c r="A115" s="9">
        <v>1</v>
      </c>
      <c r="B115" s="10" t="s">
        <v>387</v>
      </c>
      <c r="C115" s="3" t="s">
        <v>388</v>
      </c>
      <c r="D115" s="14" t="s">
        <v>332</v>
      </c>
      <c r="E115" s="333">
        <v>54000</v>
      </c>
      <c r="F115" s="12"/>
    </row>
    <row r="116" spans="1:6" ht="20.149999999999999" customHeight="1">
      <c r="A116" s="9">
        <v>2</v>
      </c>
      <c r="B116" s="10" t="s">
        <v>389</v>
      </c>
      <c r="C116" s="11" t="s">
        <v>390</v>
      </c>
      <c r="D116" s="14" t="s">
        <v>271</v>
      </c>
      <c r="E116" s="333">
        <v>54000</v>
      </c>
      <c r="F116" s="12"/>
    </row>
    <row r="117" spans="1:6" ht="24.75" customHeight="1">
      <c r="A117" s="3"/>
      <c r="B117" s="19" t="s">
        <v>34</v>
      </c>
      <c r="C117" s="20">
        <v>2</v>
      </c>
      <c r="D117" s="25"/>
      <c r="E117" s="339">
        <f>SUM(E115:E116)</f>
        <v>108000</v>
      </c>
      <c r="F117" s="12"/>
    </row>
    <row r="118" spans="1:6" ht="20.149999999999999" customHeight="1">
      <c r="A118" s="3"/>
      <c r="B118" s="21"/>
      <c r="C118" s="9"/>
      <c r="D118" s="3"/>
      <c r="E118" s="344"/>
      <c r="F118" s="12"/>
    </row>
    <row r="119" spans="1:6" ht="20.149999999999999" customHeight="1">
      <c r="A119" s="3"/>
      <c r="B119" s="19" t="s">
        <v>67</v>
      </c>
      <c r="C119" s="20"/>
      <c r="D119" s="20"/>
      <c r="E119" s="340"/>
      <c r="F119" s="12"/>
    </row>
    <row r="120" spans="1:6" ht="20.149999999999999" customHeight="1">
      <c r="A120" s="3">
        <v>1</v>
      </c>
      <c r="B120" s="10" t="s">
        <v>392</v>
      </c>
      <c r="C120" s="11" t="s">
        <v>393</v>
      </c>
      <c r="D120" s="14" t="s">
        <v>297</v>
      </c>
      <c r="E120" s="333">
        <f>270000</f>
        <v>270000</v>
      </c>
      <c r="F120" s="12"/>
    </row>
    <row r="121" spans="1:6" ht="20.149999999999999" customHeight="1">
      <c r="A121" s="3">
        <v>2</v>
      </c>
      <c r="B121" s="10" t="s">
        <v>130</v>
      </c>
      <c r="C121" s="11" t="s">
        <v>394</v>
      </c>
      <c r="D121" s="14" t="s">
        <v>946</v>
      </c>
      <c r="E121" s="333">
        <v>180000</v>
      </c>
      <c r="F121" s="12"/>
    </row>
    <row r="122" spans="1:6" ht="20.149999999999999" customHeight="1">
      <c r="A122" s="3">
        <v>3</v>
      </c>
      <c r="B122" s="13" t="s">
        <v>395</v>
      </c>
      <c r="C122" s="11" t="s">
        <v>227</v>
      </c>
      <c r="D122" s="14" t="s">
        <v>249</v>
      </c>
      <c r="E122" s="333">
        <v>126000</v>
      </c>
      <c r="F122" s="12"/>
    </row>
    <row r="123" spans="1:6" ht="20.149999999999999" customHeight="1">
      <c r="A123" s="3">
        <v>4</v>
      </c>
      <c r="B123" s="13" t="s">
        <v>226</v>
      </c>
      <c r="C123" s="11" t="s">
        <v>227</v>
      </c>
      <c r="D123" s="14" t="s">
        <v>228</v>
      </c>
      <c r="E123" s="333">
        <v>126000</v>
      </c>
      <c r="F123" s="12"/>
    </row>
    <row r="124" spans="1:6" ht="20.149999999999999" customHeight="1">
      <c r="A124" s="3">
        <v>5</v>
      </c>
      <c r="B124" s="10" t="s">
        <v>396</v>
      </c>
      <c r="C124" s="11" t="s">
        <v>397</v>
      </c>
      <c r="D124" s="14" t="s">
        <v>342</v>
      </c>
      <c r="E124" s="333">
        <v>90000</v>
      </c>
      <c r="F124" s="12"/>
    </row>
    <row r="125" spans="1:6" ht="20.149999999999999" customHeight="1">
      <c r="A125" s="3">
        <v>6</v>
      </c>
      <c r="B125" s="10" t="s">
        <v>398</v>
      </c>
      <c r="C125" s="11" t="s">
        <v>399</v>
      </c>
      <c r="D125" s="14" t="s">
        <v>260</v>
      </c>
      <c r="E125" s="333">
        <v>90000</v>
      </c>
      <c r="F125" s="12"/>
    </row>
    <row r="126" spans="1:6" ht="20.149999999999999" customHeight="1">
      <c r="A126" s="3">
        <v>7</v>
      </c>
      <c r="B126" s="10" t="s">
        <v>400</v>
      </c>
      <c r="C126" s="11" t="s">
        <v>397</v>
      </c>
      <c r="D126" s="14" t="s">
        <v>260</v>
      </c>
      <c r="E126" s="333">
        <v>90000</v>
      </c>
      <c r="F126" s="12"/>
    </row>
    <row r="127" spans="1:6" ht="20.149999999999999" customHeight="1">
      <c r="A127" s="3">
        <v>8</v>
      </c>
      <c r="B127" s="10" t="s">
        <v>401</v>
      </c>
      <c r="C127" s="11" t="s">
        <v>402</v>
      </c>
      <c r="D127" s="9" t="s">
        <v>283</v>
      </c>
      <c r="E127" s="333">
        <v>54000</v>
      </c>
      <c r="F127" s="12"/>
    </row>
    <row r="128" spans="1:6" ht="20.149999999999999" customHeight="1">
      <c r="A128" s="3">
        <v>9</v>
      </c>
      <c r="B128" s="17" t="s">
        <v>403</v>
      </c>
      <c r="C128" s="11" t="s">
        <v>404</v>
      </c>
      <c r="D128" s="14" t="s">
        <v>31</v>
      </c>
      <c r="E128" s="333">
        <v>54000</v>
      </c>
      <c r="F128" s="12"/>
    </row>
    <row r="129" spans="1:6" ht="20.149999999999999" customHeight="1">
      <c r="A129" s="3">
        <v>10</v>
      </c>
      <c r="B129" s="17" t="s">
        <v>405</v>
      </c>
      <c r="C129" s="11" t="s">
        <v>69</v>
      </c>
      <c r="D129" s="14" t="s">
        <v>31</v>
      </c>
      <c r="E129" s="333">
        <v>54000</v>
      </c>
      <c r="F129" s="12"/>
    </row>
    <row r="130" spans="1:6" ht="28.5" customHeight="1">
      <c r="A130" s="3"/>
      <c r="B130" s="19" t="s">
        <v>34</v>
      </c>
      <c r="C130" s="25" t="s">
        <v>406</v>
      </c>
      <c r="D130" s="14"/>
      <c r="E130" s="340">
        <f>SUM(E120:E129)</f>
        <v>1134000</v>
      </c>
      <c r="F130" s="12"/>
    </row>
    <row r="131" spans="1:6" ht="20.149999999999999" customHeight="1">
      <c r="A131" s="3"/>
      <c r="B131" s="21"/>
      <c r="C131" s="25"/>
      <c r="D131" s="14"/>
      <c r="E131" s="340"/>
      <c r="F131" s="12"/>
    </row>
    <row r="132" spans="1:6" ht="20.149999999999999" customHeight="1">
      <c r="A132" s="3"/>
      <c r="B132" s="19" t="s">
        <v>71</v>
      </c>
      <c r="C132" s="11"/>
      <c r="D132" s="14"/>
      <c r="E132" s="333"/>
      <c r="F132" s="12"/>
    </row>
    <row r="133" spans="1:6" ht="20.149999999999999" customHeight="1">
      <c r="A133" s="26">
        <v>1</v>
      </c>
      <c r="B133" s="10" t="s">
        <v>407</v>
      </c>
      <c r="C133" s="11" t="s">
        <v>408</v>
      </c>
      <c r="D133" s="14" t="s">
        <v>297</v>
      </c>
      <c r="E133" s="333">
        <f>270000</f>
        <v>270000</v>
      </c>
      <c r="F133" s="12"/>
    </row>
    <row r="134" spans="1:6" ht="20.149999999999999" customHeight="1">
      <c r="A134" s="26">
        <v>2</v>
      </c>
      <c r="B134" s="10" t="s">
        <v>229</v>
      </c>
      <c r="C134" s="11" t="s">
        <v>230</v>
      </c>
      <c r="D134" s="14" t="s">
        <v>231</v>
      </c>
      <c r="E134" s="333">
        <v>180000</v>
      </c>
      <c r="F134" s="12"/>
    </row>
    <row r="135" spans="1:6" ht="20.149999999999999" customHeight="1">
      <c r="A135" s="26">
        <v>3</v>
      </c>
      <c r="B135" s="13" t="s">
        <v>409</v>
      </c>
      <c r="C135" s="3" t="s">
        <v>410</v>
      </c>
      <c r="D135" s="15" t="s">
        <v>308</v>
      </c>
      <c r="E135" s="333">
        <v>180000</v>
      </c>
      <c r="F135" s="12"/>
    </row>
    <row r="136" spans="1:6" ht="20.149999999999999" customHeight="1">
      <c r="A136" s="26">
        <v>4</v>
      </c>
      <c r="B136" s="10" t="s">
        <v>411</v>
      </c>
      <c r="C136" s="11" t="s">
        <v>412</v>
      </c>
      <c r="D136" s="14" t="s">
        <v>257</v>
      </c>
      <c r="E136" s="333">
        <v>90000</v>
      </c>
      <c r="F136" s="12"/>
    </row>
    <row r="137" spans="1:6" ht="20.149999999999999" customHeight="1">
      <c r="A137" s="26">
        <v>5</v>
      </c>
      <c r="B137" s="10" t="s">
        <v>413</v>
      </c>
      <c r="C137" s="3" t="s">
        <v>414</v>
      </c>
      <c r="D137" s="14" t="s">
        <v>257</v>
      </c>
      <c r="E137" s="333">
        <v>90000</v>
      </c>
      <c r="F137" s="12"/>
    </row>
    <row r="138" spans="1:6" ht="20.149999999999999" customHeight="1">
      <c r="A138" s="26">
        <v>6</v>
      </c>
      <c r="B138" s="10" t="s">
        <v>415</v>
      </c>
      <c r="C138" s="3" t="s">
        <v>414</v>
      </c>
      <c r="D138" s="14" t="s">
        <v>257</v>
      </c>
      <c r="E138" s="333">
        <v>90000</v>
      </c>
      <c r="F138" s="12"/>
    </row>
    <row r="139" spans="1:6" ht="20.149999999999999" customHeight="1">
      <c r="A139" s="26">
        <v>7</v>
      </c>
      <c r="B139" s="10" t="s">
        <v>416</v>
      </c>
      <c r="C139" s="11" t="s">
        <v>417</v>
      </c>
      <c r="D139" s="14" t="s">
        <v>271</v>
      </c>
      <c r="E139" s="333">
        <v>54000</v>
      </c>
      <c r="F139" s="12"/>
    </row>
    <row r="140" spans="1:6" ht="20.149999999999999" customHeight="1">
      <c r="A140" s="26">
        <v>8</v>
      </c>
      <c r="B140" s="10" t="s">
        <v>418</v>
      </c>
      <c r="C140" s="11" t="s">
        <v>417</v>
      </c>
      <c r="D140" s="14" t="s">
        <v>271</v>
      </c>
      <c r="E140" s="333">
        <v>54000</v>
      </c>
      <c r="F140" s="12"/>
    </row>
    <row r="141" spans="1:6" ht="20.149999999999999" customHeight="1">
      <c r="A141" s="26">
        <v>9</v>
      </c>
      <c r="B141" s="10" t="s">
        <v>419</v>
      </c>
      <c r="C141" s="3" t="s">
        <v>420</v>
      </c>
      <c r="D141" s="14" t="s">
        <v>271</v>
      </c>
      <c r="E141" s="333">
        <v>54000</v>
      </c>
      <c r="F141" s="12"/>
    </row>
    <row r="142" spans="1:6" ht="20.149999999999999" customHeight="1">
      <c r="A142" s="26">
        <v>10</v>
      </c>
      <c r="B142" s="10" t="s">
        <v>421</v>
      </c>
      <c r="C142" s="11" t="s">
        <v>422</v>
      </c>
      <c r="D142" s="14" t="s">
        <v>332</v>
      </c>
      <c r="E142" s="333">
        <v>54000</v>
      </c>
      <c r="F142" s="12"/>
    </row>
    <row r="143" spans="1:6" ht="20.149999999999999" customHeight="1">
      <c r="A143" s="26">
        <v>11</v>
      </c>
      <c r="B143" s="10" t="s">
        <v>423</v>
      </c>
      <c r="C143" s="11" t="s">
        <v>424</v>
      </c>
      <c r="D143" s="14" t="s">
        <v>42</v>
      </c>
      <c r="E143" s="333">
        <v>54000</v>
      </c>
      <c r="F143" s="12"/>
    </row>
    <row r="144" spans="1:6" ht="20.149999999999999" customHeight="1">
      <c r="A144" s="26">
        <v>12</v>
      </c>
      <c r="B144" s="10" t="s">
        <v>425</v>
      </c>
      <c r="C144" s="11" t="s">
        <v>426</v>
      </c>
      <c r="D144" s="14" t="s">
        <v>271</v>
      </c>
      <c r="E144" s="333">
        <v>54000</v>
      </c>
      <c r="F144" s="12"/>
    </row>
    <row r="145" spans="1:6" ht="20.149999999999999" customHeight="1">
      <c r="A145" s="26">
        <v>13</v>
      </c>
      <c r="B145" s="17" t="s">
        <v>427</v>
      </c>
      <c r="C145" s="3" t="s">
        <v>428</v>
      </c>
      <c r="D145" s="14" t="s">
        <v>42</v>
      </c>
      <c r="E145" s="333">
        <v>54000</v>
      </c>
      <c r="F145" s="12"/>
    </row>
    <row r="146" spans="1:6" ht="20.149999999999999" customHeight="1">
      <c r="A146" s="26">
        <v>14</v>
      </c>
      <c r="B146" s="10" t="s">
        <v>429</v>
      </c>
      <c r="C146" s="3" t="s">
        <v>430</v>
      </c>
      <c r="D146" s="14" t="s">
        <v>301</v>
      </c>
      <c r="E146" s="333">
        <v>54000</v>
      </c>
      <c r="F146" s="12"/>
    </row>
    <row r="147" spans="1:6" ht="20.149999999999999" customHeight="1">
      <c r="A147" s="26">
        <v>15</v>
      </c>
      <c r="B147" s="10" t="s">
        <v>431</v>
      </c>
      <c r="C147" s="3" t="s">
        <v>430</v>
      </c>
      <c r="D147" s="14" t="s">
        <v>345</v>
      </c>
      <c r="E147" s="333">
        <v>54000</v>
      </c>
      <c r="F147" s="12"/>
    </row>
    <row r="148" spans="1:6" ht="20.149999999999999" customHeight="1">
      <c r="A148" s="26">
        <v>16</v>
      </c>
      <c r="B148" s="10" t="s">
        <v>433</v>
      </c>
      <c r="C148" s="3" t="s">
        <v>430</v>
      </c>
      <c r="D148" s="14" t="s">
        <v>345</v>
      </c>
      <c r="E148" s="333">
        <v>54000</v>
      </c>
      <c r="F148" s="12"/>
    </row>
    <row r="149" spans="1:6" ht="20.149999999999999" customHeight="1">
      <c r="A149" s="26">
        <v>17</v>
      </c>
      <c r="B149" s="10" t="s">
        <v>434</v>
      </c>
      <c r="C149" s="11" t="s">
        <v>435</v>
      </c>
      <c r="D149" s="14" t="s">
        <v>38</v>
      </c>
      <c r="E149" s="333">
        <v>54000</v>
      </c>
      <c r="F149" s="12"/>
    </row>
    <row r="150" spans="1:6" ht="20.149999999999999" customHeight="1">
      <c r="A150" s="26">
        <v>18</v>
      </c>
      <c r="B150" s="10" t="s">
        <v>953</v>
      </c>
      <c r="C150" s="11" t="s">
        <v>437</v>
      </c>
      <c r="D150" s="9" t="s">
        <v>25</v>
      </c>
      <c r="E150" s="333">
        <v>54000</v>
      </c>
      <c r="F150" s="12"/>
    </row>
    <row r="151" spans="1:6" ht="20.149999999999999" customHeight="1">
      <c r="A151" s="26">
        <v>19</v>
      </c>
      <c r="B151" s="10" t="s">
        <v>438</v>
      </c>
      <c r="C151" s="11" t="s">
        <v>439</v>
      </c>
      <c r="D151" s="14" t="s">
        <v>301</v>
      </c>
      <c r="E151" s="333">
        <v>54000</v>
      </c>
      <c r="F151" s="12"/>
    </row>
    <row r="152" spans="1:6" ht="20.149999999999999" customHeight="1">
      <c r="A152" s="26">
        <v>20</v>
      </c>
      <c r="B152" s="10" t="s">
        <v>440</v>
      </c>
      <c r="C152" s="11" t="s">
        <v>441</v>
      </c>
      <c r="D152" s="14" t="s">
        <v>283</v>
      </c>
      <c r="E152" s="333">
        <v>54000</v>
      </c>
      <c r="F152" s="12"/>
    </row>
    <row r="153" spans="1:6" ht="20.149999999999999" customHeight="1">
      <c r="A153" s="26">
        <v>21</v>
      </c>
      <c r="B153" s="10" t="s">
        <v>442</v>
      </c>
      <c r="C153" s="11" t="s">
        <v>443</v>
      </c>
      <c r="D153" s="14" t="s">
        <v>301</v>
      </c>
      <c r="E153" s="333">
        <v>54000</v>
      </c>
      <c r="F153" s="12"/>
    </row>
    <row r="154" spans="1:6" ht="20.149999999999999" customHeight="1">
      <c r="A154" s="26">
        <v>22</v>
      </c>
      <c r="B154" s="10" t="s">
        <v>444</v>
      </c>
      <c r="C154" s="11" t="s">
        <v>445</v>
      </c>
      <c r="D154" s="14" t="s">
        <v>283</v>
      </c>
      <c r="E154" s="333">
        <v>54000</v>
      </c>
      <c r="F154" s="12"/>
    </row>
    <row r="155" spans="1:6" ht="20.149999999999999" customHeight="1">
      <c r="A155" s="26">
        <v>23</v>
      </c>
      <c r="B155" s="17" t="s">
        <v>446</v>
      </c>
      <c r="C155" s="11" t="s">
        <v>447</v>
      </c>
      <c r="D155" s="14" t="s">
        <v>25</v>
      </c>
      <c r="E155" s="333">
        <v>54000</v>
      </c>
      <c r="F155" s="12"/>
    </row>
    <row r="156" spans="1:6" ht="20.149999999999999" customHeight="1">
      <c r="A156" s="26">
        <v>24</v>
      </c>
      <c r="B156" s="17" t="s">
        <v>448</v>
      </c>
      <c r="C156" s="11" t="s">
        <v>449</v>
      </c>
      <c r="D156" s="14" t="s">
        <v>31</v>
      </c>
      <c r="E156" s="333">
        <v>54000</v>
      </c>
      <c r="F156" s="12"/>
    </row>
    <row r="157" spans="1:6" ht="20.149999999999999" customHeight="1">
      <c r="A157" s="26">
        <v>25</v>
      </c>
      <c r="B157" s="17" t="s">
        <v>450</v>
      </c>
      <c r="C157" s="11" t="s">
        <v>451</v>
      </c>
      <c r="D157" s="14" t="s">
        <v>31</v>
      </c>
      <c r="E157" s="333">
        <v>54000</v>
      </c>
      <c r="F157" s="12"/>
    </row>
    <row r="158" spans="1:6" ht="20.149999999999999" customHeight="1">
      <c r="A158" s="26">
        <v>26</v>
      </c>
      <c r="B158" s="17" t="s">
        <v>452</v>
      </c>
      <c r="C158" s="11" t="s">
        <v>453</v>
      </c>
      <c r="D158" s="14" t="s">
        <v>31</v>
      </c>
      <c r="E158" s="333">
        <v>54000</v>
      </c>
      <c r="F158" s="12"/>
    </row>
    <row r="159" spans="1:6" ht="20.149999999999999" customHeight="1">
      <c r="A159" s="26">
        <v>27</v>
      </c>
      <c r="B159" s="17" t="s">
        <v>454</v>
      </c>
      <c r="C159" s="11" t="s">
        <v>455</v>
      </c>
      <c r="D159" s="14" t="s">
        <v>294</v>
      </c>
      <c r="E159" s="333">
        <v>54000</v>
      </c>
      <c r="F159" s="12"/>
    </row>
    <row r="160" spans="1:6" ht="20.149999999999999" customHeight="1">
      <c r="A160" s="26">
        <v>28</v>
      </c>
      <c r="B160" s="17" t="s">
        <v>456</v>
      </c>
      <c r="C160" s="11" t="s">
        <v>451</v>
      </c>
      <c r="D160" s="14" t="s">
        <v>31</v>
      </c>
      <c r="E160" s="333">
        <v>54000</v>
      </c>
      <c r="F160" s="12"/>
    </row>
    <row r="161" spans="1:6" ht="20.149999999999999" customHeight="1">
      <c r="A161" s="26">
        <v>29</v>
      </c>
      <c r="B161" s="10" t="s">
        <v>457</v>
      </c>
      <c r="C161" s="11" t="s">
        <v>458</v>
      </c>
      <c r="D161" s="14" t="s">
        <v>465</v>
      </c>
      <c r="E161" s="345">
        <v>36000</v>
      </c>
      <c r="F161" s="12"/>
    </row>
    <row r="162" spans="1:6" ht="20.149999999999999" customHeight="1">
      <c r="A162" s="26">
        <v>30</v>
      </c>
      <c r="B162" s="10" t="s">
        <v>460</v>
      </c>
      <c r="C162" s="11" t="s">
        <v>458</v>
      </c>
      <c r="D162" s="14" t="s">
        <v>465</v>
      </c>
      <c r="E162" s="345">
        <v>36000</v>
      </c>
      <c r="F162" s="12"/>
    </row>
    <row r="163" spans="1:6" ht="20.149999999999999" customHeight="1">
      <c r="A163" s="26">
        <v>31</v>
      </c>
      <c r="B163" s="10" t="s">
        <v>461</v>
      </c>
      <c r="C163" s="11" t="s">
        <v>458</v>
      </c>
      <c r="D163" s="14" t="s">
        <v>465</v>
      </c>
      <c r="E163" s="345">
        <v>36000</v>
      </c>
      <c r="F163" s="12"/>
    </row>
    <row r="164" spans="1:6" ht="20.149999999999999" customHeight="1">
      <c r="A164" s="26">
        <v>32</v>
      </c>
      <c r="B164" s="10" t="s">
        <v>462</v>
      </c>
      <c r="C164" s="11" t="s">
        <v>458</v>
      </c>
      <c r="D164" s="14" t="s">
        <v>465</v>
      </c>
      <c r="E164" s="345">
        <v>36000</v>
      </c>
      <c r="F164" s="12"/>
    </row>
    <row r="165" spans="1:6" ht="20.149999999999999" customHeight="1">
      <c r="A165" s="26">
        <v>33</v>
      </c>
      <c r="B165" s="10" t="s">
        <v>463</v>
      </c>
      <c r="C165" s="11" t="s">
        <v>458</v>
      </c>
      <c r="D165" s="14" t="s">
        <v>465</v>
      </c>
      <c r="E165" s="345">
        <v>36000</v>
      </c>
      <c r="F165" s="12"/>
    </row>
    <row r="166" spans="1:6" ht="20.149999999999999" customHeight="1">
      <c r="A166" s="26">
        <v>34</v>
      </c>
      <c r="B166" s="10" t="s">
        <v>464</v>
      </c>
      <c r="C166" s="11" t="s">
        <v>458</v>
      </c>
      <c r="D166" s="14" t="s">
        <v>476</v>
      </c>
      <c r="E166" s="345">
        <v>36000</v>
      </c>
      <c r="F166" s="12"/>
    </row>
    <row r="167" spans="1:6" ht="20.149999999999999" customHeight="1">
      <c r="A167" s="26">
        <v>35</v>
      </c>
      <c r="B167" s="10" t="s">
        <v>466</v>
      </c>
      <c r="C167" s="11" t="s">
        <v>458</v>
      </c>
      <c r="D167" s="14" t="s">
        <v>476</v>
      </c>
      <c r="E167" s="345">
        <v>36000</v>
      </c>
      <c r="F167" s="12"/>
    </row>
    <row r="168" spans="1:6" ht="20.149999999999999" customHeight="1">
      <c r="A168" s="26">
        <v>36</v>
      </c>
      <c r="B168" s="13" t="s">
        <v>467</v>
      </c>
      <c r="C168" s="11" t="s">
        <v>458</v>
      </c>
      <c r="D168" s="14" t="s">
        <v>476</v>
      </c>
      <c r="E168" s="345">
        <v>36000</v>
      </c>
      <c r="F168" s="12"/>
    </row>
    <row r="169" spans="1:6" ht="20.149999999999999" customHeight="1">
      <c r="A169" s="26">
        <v>37</v>
      </c>
      <c r="B169" s="10" t="s">
        <v>468</v>
      </c>
      <c r="C169" s="11" t="s">
        <v>458</v>
      </c>
      <c r="D169" s="14" t="s">
        <v>476</v>
      </c>
      <c r="E169" s="345">
        <v>36000</v>
      </c>
      <c r="F169" s="12"/>
    </row>
    <row r="170" spans="1:6" ht="20.149999999999999" customHeight="1">
      <c r="A170" s="26">
        <v>38</v>
      </c>
      <c r="B170" s="17" t="s">
        <v>469</v>
      </c>
      <c r="C170" s="11" t="s">
        <v>458</v>
      </c>
      <c r="D170" s="14" t="s">
        <v>476</v>
      </c>
      <c r="E170" s="345">
        <v>36000</v>
      </c>
      <c r="F170" s="12"/>
    </row>
    <row r="171" spans="1:6" ht="20.149999999999999" customHeight="1">
      <c r="A171" s="26">
        <v>39</v>
      </c>
      <c r="B171" s="17" t="s">
        <v>470</v>
      </c>
      <c r="C171" s="11" t="s">
        <v>458</v>
      </c>
      <c r="D171" s="14" t="s">
        <v>476</v>
      </c>
      <c r="E171" s="345">
        <v>36000</v>
      </c>
      <c r="F171" s="12"/>
    </row>
    <row r="172" spans="1:6" ht="20.149999999999999" customHeight="1">
      <c r="A172" s="26">
        <v>40</v>
      </c>
      <c r="B172" s="10" t="s">
        <v>471</v>
      </c>
      <c r="C172" s="11" t="s">
        <v>472</v>
      </c>
      <c r="D172" s="14" t="s">
        <v>473</v>
      </c>
      <c r="E172" s="345">
        <v>36000</v>
      </c>
      <c r="F172" s="12"/>
    </row>
    <row r="173" spans="1:6" ht="20.149999999999999" customHeight="1">
      <c r="A173" s="26">
        <v>41</v>
      </c>
      <c r="B173" s="10" t="s">
        <v>474</v>
      </c>
      <c r="C173" s="11" t="s">
        <v>472</v>
      </c>
      <c r="D173" s="14" t="s">
        <v>473</v>
      </c>
      <c r="E173" s="345">
        <v>36000</v>
      </c>
      <c r="F173" s="12"/>
    </row>
    <row r="174" spans="1:6" ht="20.149999999999999" customHeight="1">
      <c r="A174" s="26">
        <v>42</v>
      </c>
      <c r="B174" s="17" t="s">
        <v>475</v>
      </c>
      <c r="C174" s="11" t="s">
        <v>472</v>
      </c>
      <c r="D174" s="14" t="s">
        <v>473</v>
      </c>
      <c r="E174" s="345">
        <v>36000</v>
      </c>
      <c r="F174" s="12"/>
    </row>
    <row r="175" spans="1:6" ht="20.149999999999999" customHeight="1">
      <c r="A175" s="26">
        <v>43</v>
      </c>
      <c r="B175" s="10" t="s">
        <v>477</v>
      </c>
      <c r="C175" s="11" t="s">
        <v>478</v>
      </c>
      <c r="D175" s="14" t="s">
        <v>954</v>
      </c>
      <c r="E175" s="345">
        <v>36000</v>
      </c>
      <c r="F175" s="12"/>
    </row>
    <row r="176" spans="1:6" ht="20.149999999999999" customHeight="1">
      <c r="A176" s="26">
        <v>44</v>
      </c>
      <c r="B176" s="10" t="s">
        <v>480</v>
      </c>
      <c r="C176" s="11" t="s">
        <v>481</v>
      </c>
      <c r="D176" s="14" t="s">
        <v>955</v>
      </c>
      <c r="E176" s="345">
        <v>36000</v>
      </c>
      <c r="F176" s="12"/>
    </row>
    <row r="177" spans="1:6" ht="20.149999999999999" customHeight="1">
      <c r="A177" s="26">
        <v>45</v>
      </c>
      <c r="B177" s="10" t="s">
        <v>483</v>
      </c>
      <c r="C177" s="11" t="s">
        <v>481</v>
      </c>
      <c r="D177" s="14" t="s">
        <v>955</v>
      </c>
      <c r="E177" s="345">
        <v>36000</v>
      </c>
      <c r="F177" s="12"/>
    </row>
    <row r="178" spans="1:6" ht="20.149999999999999" customHeight="1">
      <c r="A178" s="26">
        <v>46</v>
      </c>
      <c r="B178" s="10" t="s">
        <v>484</v>
      </c>
      <c r="C178" s="11" t="s">
        <v>481</v>
      </c>
      <c r="D178" s="14" t="s">
        <v>955</v>
      </c>
      <c r="E178" s="345">
        <v>36000</v>
      </c>
      <c r="F178" s="12"/>
    </row>
    <row r="179" spans="1:6" ht="20.149999999999999" customHeight="1">
      <c r="A179" s="26">
        <v>47</v>
      </c>
      <c r="B179" s="10" t="s">
        <v>485</v>
      </c>
      <c r="C179" s="11" t="s">
        <v>481</v>
      </c>
      <c r="D179" s="14" t="s">
        <v>955</v>
      </c>
      <c r="E179" s="345">
        <v>36000</v>
      </c>
      <c r="F179" s="12"/>
    </row>
    <row r="180" spans="1:6" ht="20.149999999999999" customHeight="1">
      <c r="A180" s="26">
        <v>48</v>
      </c>
      <c r="B180" s="10" t="s">
        <v>486</v>
      </c>
      <c r="C180" s="11" t="s">
        <v>481</v>
      </c>
      <c r="D180" s="14" t="s">
        <v>955</v>
      </c>
      <c r="E180" s="345">
        <v>36000</v>
      </c>
      <c r="F180" s="12"/>
    </row>
    <row r="181" spans="1:6" ht="20.149999999999999" customHeight="1">
      <c r="A181" s="26">
        <v>49</v>
      </c>
      <c r="B181" s="17" t="s">
        <v>487</v>
      </c>
      <c r="C181" s="11" t="s">
        <v>481</v>
      </c>
      <c r="D181" s="14" t="s">
        <v>955</v>
      </c>
      <c r="E181" s="345">
        <v>36000</v>
      </c>
      <c r="F181" s="12"/>
    </row>
    <row r="182" spans="1:6" ht="20.149999999999999" customHeight="1">
      <c r="A182" s="26">
        <v>50</v>
      </c>
      <c r="B182" s="17" t="s">
        <v>488</v>
      </c>
      <c r="C182" s="11" t="s">
        <v>481</v>
      </c>
      <c r="D182" s="14" t="s">
        <v>955</v>
      </c>
      <c r="E182" s="345">
        <v>36000</v>
      </c>
      <c r="F182" s="12"/>
    </row>
    <row r="183" spans="1:6" ht="20.149999999999999" customHeight="1">
      <c r="A183" s="26">
        <v>51</v>
      </c>
      <c r="B183" s="10" t="s">
        <v>489</v>
      </c>
      <c r="C183" s="11" t="s">
        <v>478</v>
      </c>
      <c r="D183" s="14" t="s">
        <v>955</v>
      </c>
      <c r="E183" s="345">
        <v>36000</v>
      </c>
      <c r="F183" s="12"/>
    </row>
    <row r="184" spans="1:6" ht="20.149999999999999" customHeight="1">
      <c r="A184" s="26">
        <v>52</v>
      </c>
      <c r="B184" s="10" t="s">
        <v>490</v>
      </c>
      <c r="C184" s="11" t="s">
        <v>478</v>
      </c>
      <c r="D184" s="14" t="s">
        <v>955</v>
      </c>
      <c r="E184" s="345">
        <v>36000</v>
      </c>
      <c r="F184" s="12"/>
    </row>
    <row r="185" spans="1:6" ht="20.149999999999999" customHeight="1">
      <c r="A185" s="26">
        <v>53</v>
      </c>
      <c r="B185" s="17" t="s">
        <v>491</v>
      </c>
      <c r="C185" s="11" t="s">
        <v>172</v>
      </c>
      <c r="D185" s="14" t="s">
        <v>502</v>
      </c>
      <c r="E185" s="345">
        <v>36000</v>
      </c>
      <c r="F185" s="12"/>
    </row>
    <row r="186" spans="1:6" ht="20.149999999999999" customHeight="1">
      <c r="A186" s="26">
        <v>54</v>
      </c>
      <c r="B186" s="17" t="s">
        <v>493</v>
      </c>
      <c r="C186" s="11" t="s">
        <v>481</v>
      </c>
      <c r="D186" s="14" t="s">
        <v>956</v>
      </c>
      <c r="E186" s="345">
        <v>36000</v>
      </c>
      <c r="F186" s="12"/>
    </row>
    <row r="187" spans="1:6" ht="20.149999999999999" customHeight="1">
      <c r="A187" s="26">
        <v>55</v>
      </c>
      <c r="B187" s="17" t="s">
        <v>495</v>
      </c>
      <c r="C187" s="11" t="s">
        <v>496</v>
      </c>
      <c r="D187" s="14" t="s">
        <v>957</v>
      </c>
      <c r="E187" s="345">
        <v>36000</v>
      </c>
      <c r="F187" s="12"/>
    </row>
    <row r="188" spans="1:6" ht="20.149999999999999" customHeight="1">
      <c r="A188" s="26">
        <v>56</v>
      </c>
      <c r="B188" s="17" t="s">
        <v>498</v>
      </c>
      <c r="C188" s="11" t="s">
        <v>496</v>
      </c>
      <c r="D188" s="14" t="s">
        <v>957</v>
      </c>
      <c r="E188" s="345">
        <v>36000</v>
      </c>
      <c r="F188" s="12"/>
    </row>
    <row r="189" spans="1:6" ht="20.149999999999999" customHeight="1">
      <c r="A189" s="26">
        <v>57</v>
      </c>
      <c r="B189" s="17" t="s">
        <v>499</v>
      </c>
      <c r="C189" s="11" t="s">
        <v>496</v>
      </c>
      <c r="D189" s="14" t="s">
        <v>957</v>
      </c>
      <c r="E189" s="345">
        <v>36000</v>
      </c>
      <c r="F189" s="12"/>
    </row>
    <row r="190" spans="1:6" ht="20.149999999999999" customHeight="1">
      <c r="A190" s="26">
        <v>58</v>
      </c>
      <c r="B190" s="17" t="s">
        <v>500</v>
      </c>
      <c r="C190" s="11" t="s">
        <v>501</v>
      </c>
      <c r="D190" s="14" t="s">
        <v>173</v>
      </c>
      <c r="E190" s="345">
        <v>36000</v>
      </c>
      <c r="F190" s="12"/>
    </row>
    <row r="191" spans="1:6" ht="20.149999999999999" customHeight="1">
      <c r="A191" s="26">
        <v>59</v>
      </c>
      <c r="B191" s="17" t="s">
        <v>503</v>
      </c>
      <c r="C191" s="11" t="s">
        <v>501</v>
      </c>
      <c r="D191" s="14" t="s">
        <v>173</v>
      </c>
      <c r="E191" s="345">
        <v>36000</v>
      </c>
      <c r="F191" s="12"/>
    </row>
    <row r="192" spans="1:6" ht="24.75" customHeight="1">
      <c r="A192" s="26"/>
      <c r="B192" s="7" t="s">
        <v>34</v>
      </c>
      <c r="C192" s="27" t="s">
        <v>504</v>
      </c>
      <c r="D192" s="28"/>
      <c r="E192" s="339">
        <f>SUM(E133:E191)</f>
        <v>3204000</v>
      </c>
      <c r="F192" s="12"/>
    </row>
    <row r="193" spans="1:6" ht="20.149999999999999" customHeight="1">
      <c r="A193" s="793"/>
      <c r="B193" s="793"/>
      <c r="C193" s="793"/>
      <c r="D193" s="793"/>
      <c r="E193" s="793"/>
      <c r="F193" s="12"/>
    </row>
    <row r="194" spans="1:6" ht="29.25" customHeight="1">
      <c r="A194" s="3"/>
      <c r="B194" s="29" t="s">
        <v>80</v>
      </c>
      <c r="C194" s="30">
        <f>C31+C37+C52+C57+C71+C81+C95+C102+C112+C130+C192</f>
        <v>151</v>
      </c>
      <c r="D194" s="31"/>
      <c r="E194" s="346">
        <f>E192+E130+E117+E112+E102+E95+E81+E71+E57+E52+E37+E31</f>
        <v>13230000</v>
      </c>
      <c r="F194" s="12"/>
    </row>
    <row r="195" spans="1:6" ht="20.149999999999999" customHeight="1">
      <c r="A195" s="2"/>
      <c r="B195" s="32"/>
      <c r="C195" s="2"/>
      <c r="D195" s="33"/>
      <c r="E195" s="33"/>
      <c r="F195" s="34"/>
    </row>
    <row r="196" spans="1:6" ht="36.75" customHeight="1">
      <c r="A196" s="2"/>
      <c r="B196" s="32"/>
      <c r="C196" s="33"/>
      <c r="D196" s="33"/>
      <c r="E196" s="313"/>
    </row>
    <row r="197" spans="1:6" ht="20.149999999999999" customHeight="1">
      <c r="E197" s="313"/>
    </row>
    <row r="198" spans="1:6" ht="20.149999999999999" customHeight="1">
      <c r="E198" s="313"/>
    </row>
    <row r="199" spans="1:6" ht="20.149999999999999" customHeight="1">
      <c r="E199" s="313"/>
    </row>
    <row r="200" spans="1:6" ht="20.149999999999999" customHeight="1">
      <c r="E200" s="34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796875" defaultRowHeight="20.149999999999999" customHeight="1"/>
  <cols>
    <col min="1" max="1" width="5.453125" style="1" customWidth="1"/>
    <col min="2" max="2" width="43.453125" style="1" customWidth="1"/>
    <col min="3" max="3" width="40.453125" style="1" customWidth="1"/>
    <col min="4" max="4" width="11.54296875" style="1" customWidth="1"/>
    <col min="5" max="6" width="19.26953125" style="1" customWidth="1"/>
    <col min="7" max="7" width="21.7265625" style="1" customWidth="1"/>
    <col min="8" max="16384" width="9.1796875" style="1"/>
  </cols>
  <sheetData>
    <row r="1" spans="1:7" ht="27" customHeight="1">
      <c r="A1" s="62" t="s">
        <v>0</v>
      </c>
      <c r="B1" s="62"/>
      <c r="C1" s="62"/>
      <c r="D1" s="62"/>
    </row>
    <row r="2" spans="1:7" ht="33.75" customHeight="1">
      <c r="A2" s="794" t="s">
        <v>958</v>
      </c>
      <c r="B2" s="794"/>
      <c r="C2" s="794"/>
      <c r="D2" s="794"/>
      <c r="E2" s="794"/>
      <c r="F2" s="794"/>
    </row>
    <row r="3" spans="1:7" ht="9.75" customHeight="1">
      <c r="A3" s="2"/>
      <c r="B3" s="2"/>
      <c r="C3" s="2"/>
      <c r="D3" s="2"/>
    </row>
    <row r="4" spans="1:7" ht="49.5" customHeight="1">
      <c r="A4" s="3"/>
      <c r="B4" s="4" t="s">
        <v>2</v>
      </c>
      <c r="C4" s="5" t="s">
        <v>3</v>
      </c>
      <c r="D4" s="6" t="s">
        <v>4</v>
      </c>
      <c r="E4" s="284" t="s">
        <v>959</v>
      </c>
      <c r="F4" s="299" t="s">
        <v>136</v>
      </c>
    </row>
    <row r="5" spans="1:7" ht="17.25" customHeight="1">
      <c r="C5" s="7"/>
      <c r="D5" s="7"/>
      <c r="E5" s="285" t="s">
        <v>20</v>
      </c>
      <c r="F5" s="211" t="s">
        <v>20</v>
      </c>
    </row>
    <row r="6" spans="1:7" ht="20.149999999999999" customHeight="1">
      <c r="A6" s="8" t="s">
        <v>21</v>
      </c>
      <c r="B6" s="7" t="s">
        <v>22</v>
      </c>
      <c r="C6" s="7"/>
      <c r="D6" s="7"/>
      <c r="E6" s="285"/>
      <c r="F6" s="211"/>
    </row>
    <row r="7" spans="1:7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200">
        <v>1158849.8400000001</v>
      </c>
      <c r="F7" s="212">
        <f>E7/2</f>
        <v>579424.92000000004</v>
      </c>
      <c r="G7" s="12"/>
    </row>
    <row r="8" spans="1:7" ht="20.149999999999999" customHeight="1">
      <c r="A8" s="9">
        <v>2</v>
      </c>
      <c r="B8" s="10" t="s">
        <v>239</v>
      </c>
      <c r="C8" s="11" t="s">
        <v>240</v>
      </c>
      <c r="D8" s="9" t="s">
        <v>234</v>
      </c>
      <c r="E8" s="200">
        <v>541465.02474999998</v>
      </c>
      <c r="F8" s="212">
        <f t="shared" ref="F8:F30" si="0">E8/2</f>
        <v>270732.51237499999</v>
      </c>
      <c r="G8" s="12"/>
    </row>
    <row r="9" spans="1:7" ht="20.149999999999999" customHeight="1">
      <c r="A9" s="9">
        <v>3</v>
      </c>
      <c r="B9" s="13" t="s">
        <v>241</v>
      </c>
      <c r="C9" s="3" t="s">
        <v>242</v>
      </c>
      <c r="D9" s="14" t="s">
        <v>308</v>
      </c>
      <c r="E9" s="200">
        <v>727743.99575</v>
      </c>
      <c r="F9" s="212">
        <f t="shared" si="0"/>
        <v>363871.997875</v>
      </c>
      <c r="G9" s="12"/>
    </row>
    <row r="10" spans="1:7" ht="20.149999999999999" customHeight="1">
      <c r="A10" s="9">
        <v>4</v>
      </c>
      <c r="B10" s="10" t="s">
        <v>243</v>
      </c>
      <c r="C10" s="16" t="s">
        <v>244</v>
      </c>
      <c r="D10" s="15" t="s">
        <v>308</v>
      </c>
      <c r="E10" s="200">
        <v>617743.99575</v>
      </c>
      <c r="F10" s="212">
        <f t="shared" si="0"/>
        <v>308871.997875</v>
      </c>
      <c r="G10" s="12"/>
    </row>
    <row r="11" spans="1:7" ht="20.149999999999999" customHeight="1">
      <c r="A11" s="9">
        <v>5</v>
      </c>
      <c r="B11" s="13" t="s">
        <v>245</v>
      </c>
      <c r="C11" s="3" t="s">
        <v>246</v>
      </c>
      <c r="D11" s="15" t="s">
        <v>308</v>
      </c>
      <c r="E11" s="200">
        <v>677743.99575</v>
      </c>
      <c r="F11" s="212">
        <f t="shared" si="0"/>
        <v>338871.997875</v>
      </c>
      <c r="G11" s="12"/>
    </row>
    <row r="12" spans="1:7" ht="20.149999999999999" customHeight="1">
      <c r="A12" s="9">
        <v>6</v>
      </c>
      <c r="B12" s="17" t="s">
        <v>232</v>
      </c>
      <c r="C12" s="9" t="s">
        <v>233</v>
      </c>
      <c r="D12" s="14" t="s">
        <v>308</v>
      </c>
      <c r="E12" s="200">
        <v>627743.99575</v>
      </c>
      <c r="F12" s="212">
        <f t="shared" si="0"/>
        <v>313871.997875</v>
      </c>
      <c r="G12" s="12"/>
    </row>
    <row r="13" spans="1:7" ht="20.149999999999999" customHeight="1">
      <c r="A13" s="9">
        <v>7</v>
      </c>
      <c r="B13" s="10" t="s">
        <v>247</v>
      </c>
      <c r="C13" s="11" t="s">
        <v>248</v>
      </c>
      <c r="D13" s="14" t="s">
        <v>249</v>
      </c>
      <c r="E13" s="200">
        <v>497553.5025</v>
      </c>
      <c r="F13" s="212">
        <f t="shared" si="0"/>
        <v>248776.75125</v>
      </c>
      <c r="G13" s="12"/>
    </row>
    <row r="14" spans="1:7" ht="20.149999999999999" customHeight="1">
      <c r="A14" s="9">
        <v>8</v>
      </c>
      <c r="B14" s="10" t="s">
        <v>250</v>
      </c>
      <c r="C14" s="3" t="s">
        <v>251</v>
      </c>
      <c r="D14" s="9" t="s">
        <v>228</v>
      </c>
      <c r="E14" s="71">
        <v>604729.22199999995</v>
      </c>
      <c r="F14" s="212">
        <f t="shared" si="0"/>
        <v>302364.61099999998</v>
      </c>
      <c r="G14" s="12"/>
    </row>
    <row r="15" spans="1:7" ht="20.149999999999999" customHeight="1">
      <c r="A15" s="9">
        <v>9</v>
      </c>
      <c r="B15" s="10" t="s">
        <v>252</v>
      </c>
      <c r="C15" s="3" t="s">
        <v>253</v>
      </c>
      <c r="D15" s="14" t="s">
        <v>257</v>
      </c>
      <c r="E15" s="200">
        <v>343333.03525000002</v>
      </c>
      <c r="F15" s="212">
        <f t="shared" si="0"/>
        <v>171666.51762500001</v>
      </c>
      <c r="G15" s="12"/>
    </row>
    <row r="16" spans="1:7" ht="20.149999999999999" customHeight="1">
      <c r="A16" s="9">
        <v>10</v>
      </c>
      <c r="B16" s="13" t="s">
        <v>255</v>
      </c>
      <c r="C16" s="16" t="s">
        <v>256</v>
      </c>
      <c r="D16" s="14" t="s">
        <v>342</v>
      </c>
      <c r="E16" s="200">
        <v>455272.06374999997</v>
      </c>
      <c r="F16" s="212">
        <f t="shared" si="0"/>
        <v>227636.03187499999</v>
      </c>
      <c r="G16" s="12"/>
    </row>
    <row r="17" spans="1:7" ht="20.149999999999999" customHeight="1">
      <c r="A17" s="9">
        <v>11</v>
      </c>
      <c r="B17" s="10" t="s">
        <v>261</v>
      </c>
      <c r="C17" s="3" t="s">
        <v>262</v>
      </c>
      <c r="D17" s="9" t="s">
        <v>263</v>
      </c>
      <c r="E17" s="200">
        <v>326663.07750000001</v>
      </c>
      <c r="F17" s="212">
        <f t="shared" si="0"/>
        <v>163331.53875000001</v>
      </c>
    </row>
    <row r="18" spans="1:7" ht="20.149999999999999" customHeight="1">
      <c r="A18" s="9">
        <v>12</v>
      </c>
      <c r="B18" s="10" t="s">
        <v>264</v>
      </c>
      <c r="C18" s="11" t="s">
        <v>265</v>
      </c>
      <c r="D18" s="14" t="s">
        <v>950</v>
      </c>
      <c r="E18" s="200">
        <v>362001.06050000002</v>
      </c>
      <c r="F18" s="212">
        <f t="shared" si="0"/>
        <v>181000.53025000001</v>
      </c>
      <c r="G18" s="12"/>
    </row>
    <row r="19" spans="1:7" ht="20.149999999999999" customHeight="1">
      <c r="A19" s="9">
        <v>13</v>
      </c>
      <c r="B19" s="17" t="s">
        <v>267</v>
      </c>
      <c r="C19" s="3" t="s">
        <v>268</v>
      </c>
      <c r="D19" s="14" t="s">
        <v>951</v>
      </c>
      <c r="E19" s="200">
        <v>454201.02600000001</v>
      </c>
      <c r="F19" s="212">
        <f t="shared" si="0"/>
        <v>227100.51300000001</v>
      </c>
      <c r="G19" s="12"/>
    </row>
    <row r="20" spans="1:7" ht="18.75" customHeight="1">
      <c r="A20" s="9">
        <v>14</v>
      </c>
      <c r="B20" s="10" t="s">
        <v>270</v>
      </c>
      <c r="C20" s="11" t="s">
        <v>50</v>
      </c>
      <c r="D20" s="14" t="s">
        <v>332</v>
      </c>
      <c r="E20" s="200">
        <v>372454.07400000002</v>
      </c>
      <c r="F20" s="212">
        <f t="shared" si="0"/>
        <v>186227.03700000001</v>
      </c>
      <c r="G20" s="12"/>
    </row>
    <row r="21" spans="1:7" ht="20.149999999999999" customHeight="1">
      <c r="A21" s="9">
        <v>15</v>
      </c>
      <c r="B21" s="13" t="s">
        <v>272</v>
      </c>
      <c r="C21" s="16" t="s">
        <v>273</v>
      </c>
      <c r="D21" s="9" t="s">
        <v>42</v>
      </c>
      <c r="E21" s="200">
        <v>400372.07500000001</v>
      </c>
      <c r="F21" s="212">
        <f t="shared" si="0"/>
        <v>200186.03750000001</v>
      </c>
      <c r="G21" s="12"/>
    </row>
    <row r="22" spans="1:7" ht="20.149999999999999" customHeight="1">
      <c r="A22" s="9">
        <v>16</v>
      </c>
      <c r="B22" s="13" t="s">
        <v>276</v>
      </c>
      <c r="C22" s="16" t="s">
        <v>277</v>
      </c>
      <c r="D22" s="9" t="s">
        <v>38</v>
      </c>
      <c r="E22" s="200">
        <v>328602.07775</v>
      </c>
      <c r="F22" s="212">
        <f t="shared" si="0"/>
        <v>164301.038875</v>
      </c>
      <c r="G22" s="12"/>
    </row>
    <row r="23" spans="1:7" ht="18.75" customHeight="1">
      <c r="A23" s="9">
        <v>17</v>
      </c>
      <c r="B23" s="3" t="s">
        <v>278</v>
      </c>
      <c r="C23" s="3" t="s">
        <v>176</v>
      </c>
      <c r="D23" s="9" t="s">
        <v>283</v>
      </c>
      <c r="E23" s="200">
        <v>205204.0845</v>
      </c>
      <c r="F23" s="212">
        <f t="shared" si="0"/>
        <v>102602.04225</v>
      </c>
      <c r="G23" s="12"/>
    </row>
    <row r="24" spans="1:7" ht="18.75" customHeight="1">
      <c r="A24" s="9">
        <v>18</v>
      </c>
      <c r="B24" s="17" t="s">
        <v>280</v>
      </c>
      <c r="C24" s="11" t="s">
        <v>176</v>
      </c>
      <c r="D24" s="14" t="s">
        <v>283</v>
      </c>
      <c r="E24" s="200">
        <v>209356.04725</v>
      </c>
      <c r="F24" s="212">
        <f t="shared" si="0"/>
        <v>104678.023625</v>
      </c>
      <c r="G24" s="12"/>
    </row>
    <row r="25" spans="1:7" ht="18.75" customHeight="1">
      <c r="A25" s="9">
        <v>19</v>
      </c>
      <c r="B25" s="17" t="s">
        <v>282</v>
      </c>
      <c r="C25" s="11" t="s">
        <v>28</v>
      </c>
      <c r="D25" s="14" t="s">
        <v>25</v>
      </c>
      <c r="E25" s="71">
        <v>205204.0845</v>
      </c>
      <c r="F25" s="212">
        <f t="shared" si="0"/>
        <v>102602.04225</v>
      </c>
      <c r="G25" s="12"/>
    </row>
    <row r="26" spans="1:7" ht="18.75" customHeight="1">
      <c r="A26" s="9">
        <v>20</v>
      </c>
      <c r="B26" s="17" t="s">
        <v>284</v>
      </c>
      <c r="C26" s="3" t="s">
        <v>285</v>
      </c>
      <c r="D26" s="9" t="s">
        <v>25</v>
      </c>
      <c r="E26" s="200">
        <v>205204.08</v>
      </c>
      <c r="F26" s="212">
        <f t="shared" si="0"/>
        <v>102602.04</v>
      </c>
      <c r="G26" s="12"/>
    </row>
    <row r="27" spans="1:7" ht="18.75" customHeight="1">
      <c r="A27" s="9">
        <v>21</v>
      </c>
      <c r="B27" s="17" t="s">
        <v>287</v>
      </c>
      <c r="C27" s="16" t="s">
        <v>288</v>
      </c>
      <c r="D27" s="14" t="s">
        <v>283</v>
      </c>
      <c r="E27" s="200">
        <v>209356.04725</v>
      </c>
      <c r="F27" s="212">
        <f t="shared" si="0"/>
        <v>104678.023625</v>
      </c>
      <c r="G27" s="12"/>
    </row>
    <row r="28" spans="1:7" ht="18.75" customHeight="1">
      <c r="A28" s="9">
        <v>22</v>
      </c>
      <c r="B28" s="17" t="s">
        <v>289</v>
      </c>
      <c r="C28" s="3" t="s">
        <v>290</v>
      </c>
      <c r="D28" s="9" t="s">
        <v>294</v>
      </c>
      <c r="E28" s="200">
        <v>176816.1</v>
      </c>
      <c r="F28" s="212">
        <f t="shared" si="0"/>
        <v>88408.05</v>
      </c>
      <c r="G28" s="12"/>
    </row>
    <row r="29" spans="1:7" ht="18.75" customHeight="1">
      <c r="A29" s="9">
        <v>23</v>
      </c>
      <c r="B29" s="17" t="s">
        <v>933</v>
      </c>
      <c r="C29" s="11" t="s">
        <v>293</v>
      </c>
      <c r="D29" s="14" t="s">
        <v>294</v>
      </c>
      <c r="E29" s="200">
        <v>176816.1</v>
      </c>
      <c r="F29" s="212">
        <f t="shared" si="0"/>
        <v>88408.05</v>
      </c>
      <c r="G29" s="12"/>
    </row>
    <row r="30" spans="1:7" ht="18.75" customHeight="1">
      <c r="A30" s="9">
        <v>24</v>
      </c>
      <c r="B30" s="17" t="s">
        <v>292</v>
      </c>
      <c r="C30" s="11" t="s">
        <v>293</v>
      </c>
      <c r="D30" s="14" t="s">
        <v>31</v>
      </c>
      <c r="E30" s="200">
        <v>173329.04949999999</v>
      </c>
      <c r="F30" s="212">
        <f t="shared" si="0"/>
        <v>86664.524749999997</v>
      </c>
      <c r="G30" s="12"/>
    </row>
    <row r="31" spans="1:7" ht="26.25" customHeight="1">
      <c r="A31" s="9"/>
      <c r="B31" s="19" t="s">
        <v>34</v>
      </c>
      <c r="C31" s="20">
        <v>24</v>
      </c>
      <c r="D31" s="14"/>
      <c r="E31" s="202">
        <v>10062524.3495</v>
      </c>
      <c r="F31" s="202">
        <f>SUM(F7:F30)</f>
        <v>5028878.8274999997</v>
      </c>
      <c r="G31" s="12"/>
    </row>
    <row r="32" spans="1:7" ht="18.75" customHeight="1">
      <c r="A32" s="9"/>
      <c r="B32" s="21"/>
      <c r="C32" s="3"/>
      <c r="D32" s="14"/>
      <c r="E32" s="288"/>
      <c r="F32" s="213"/>
      <c r="G32" s="12"/>
    </row>
    <row r="33" spans="1:7" ht="18.75" customHeight="1">
      <c r="A33" s="9"/>
      <c r="B33" s="19" t="s">
        <v>35</v>
      </c>
      <c r="C33" s="3"/>
      <c r="D33" s="14"/>
      <c r="E33" s="200"/>
      <c r="F33" s="212"/>
      <c r="G33" s="12"/>
    </row>
    <row r="34" spans="1:7" ht="18.75" customHeight="1">
      <c r="A34" s="9">
        <v>1</v>
      </c>
      <c r="B34" s="17" t="s">
        <v>295</v>
      </c>
      <c r="C34" s="3" t="s">
        <v>296</v>
      </c>
      <c r="D34" s="9" t="s">
        <v>297</v>
      </c>
      <c r="E34" s="200">
        <v>950209.06350000005</v>
      </c>
      <c r="F34" s="212">
        <f>E34/2</f>
        <v>475104.53175000002</v>
      </c>
      <c r="G34" s="12"/>
    </row>
    <row r="35" spans="1:7" ht="18.75" customHeight="1">
      <c r="A35" s="9">
        <v>2</v>
      </c>
      <c r="B35" s="17" t="s">
        <v>298</v>
      </c>
      <c r="C35" s="3" t="s">
        <v>537</v>
      </c>
      <c r="D35" s="9" t="s">
        <v>31</v>
      </c>
      <c r="E35" s="200">
        <v>173329.04949999999</v>
      </c>
      <c r="F35" s="212">
        <f t="shared" ref="F35:F36" si="1">E35/2</f>
        <v>86664.524749999997</v>
      </c>
      <c r="G35" s="12"/>
    </row>
    <row r="36" spans="1:7" ht="18.75" customHeight="1">
      <c r="A36" s="9">
        <v>3</v>
      </c>
      <c r="B36" s="10" t="s">
        <v>300</v>
      </c>
      <c r="C36" s="11" t="s">
        <v>534</v>
      </c>
      <c r="D36" s="14" t="s">
        <v>38</v>
      </c>
      <c r="E36" s="200">
        <v>228602.07775</v>
      </c>
      <c r="F36" s="212">
        <f t="shared" si="1"/>
        <v>114301.038875</v>
      </c>
      <c r="G36" s="12"/>
    </row>
    <row r="37" spans="1:7" ht="19.5" customHeight="1">
      <c r="A37" s="9"/>
      <c r="B37" s="13"/>
      <c r="C37" s="20">
        <v>3</v>
      </c>
      <c r="D37" s="9"/>
      <c r="E37" s="202">
        <v>1352140.1907500001</v>
      </c>
      <c r="F37" s="202">
        <f>SUM(F34:F36)</f>
        <v>676070.09537500003</v>
      </c>
      <c r="G37" s="12"/>
    </row>
    <row r="38" spans="1:7" ht="20.149999999999999" customHeight="1">
      <c r="A38" s="9"/>
      <c r="B38" s="13"/>
      <c r="C38" s="3"/>
      <c r="D38" s="9"/>
      <c r="E38" s="288"/>
      <c r="F38" s="212"/>
      <c r="G38" s="12"/>
    </row>
    <row r="39" spans="1:7" ht="20.149999999999999" customHeight="1">
      <c r="A39" s="9"/>
      <c r="B39" s="22" t="s">
        <v>39</v>
      </c>
      <c r="C39" s="4"/>
      <c r="D39" s="23"/>
      <c r="E39" s="200"/>
      <c r="F39" s="212"/>
      <c r="G39" s="12"/>
    </row>
    <row r="40" spans="1:7" ht="20.149999999999999" customHeight="1">
      <c r="A40" s="9">
        <v>1</v>
      </c>
      <c r="B40" s="10" t="s">
        <v>302</v>
      </c>
      <c r="C40" s="3" t="s">
        <v>303</v>
      </c>
      <c r="D40" s="9" t="s">
        <v>297</v>
      </c>
      <c r="E40" s="200">
        <v>1050209.0634999999</v>
      </c>
      <c r="F40" s="212">
        <f>E40/2</f>
        <v>525104.53174999997</v>
      </c>
      <c r="G40" s="12"/>
    </row>
    <row r="41" spans="1:7" ht="20.149999999999999" customHeight="1">
      <c r="A41" s="9">
        <v>2</v>
      </c>
      <c r="B41" s="10" t="s">
        <v>304</v>
      </c>
      <c r="C41" s="3" t="s">
        <v>305</v>
      </c>
      <c r="D41" s="9" t="s">
        <v>249</v>
      </c>
      <c r="E41" s="200">
        <v>527553.50249999994</v>
      </c>
      <c r="F41" s="212">
        <f t="shared" ref="F41:F51" si="2">E41/2</f>
        <v>263776.75124999997</v>
      </c>
      <c r="G41" s="12"/>
    </row>
    <row r="42" spans="1:7" ht="20.149999999999999" customHeight="1">
      <c r="A42" s="9">
        <v>3</v>
      </c>
      <c r="B42" s="10" t="s">
        <v>306</v>
      </c>
      <c r="C42" s="3" t="s">
        <v>307</v>
      </c>
      <c r="D42" s="9" t="s">
        <v>946</v>
      </c>
      <c r="E42" s="200">
        <v>604023.32999999996</v>
      </c>
      <c r="F42" s="212">
        <f t="shared" si="2"/>
        <v>302011.66499999998</v>
      </c>
      <c r="G42" s="12"/>
    </row>
    <row r="43" spans="1:7" ht="20.149999999999999" customHeight="1">
      <c r="A43" s="9">
        <v>4</v>
      </c>
      <c r="B43" s="10" t="s">
        <v>309</v>
      </c>
      <c r="C43" s="3" t="s">
        <v>310</v>
      </c>
      <c r="D43" s="9" t="s">
        <v>249</v>
      </c>
      <c r="E43" s="200">
        <v>527553.50249999994</v>
      </c>
      <c r="F43" s="212">
        <f t="shared" si="2"/>
        <v>263776.75124999997</v>
      </c>
      <c r="G43" s="12"/>
    </row>
    <row r="44" spans="1:7" ht="20.149999999999999" customHeight="1">
      <c r="A44" s="9">
        <v>5</v>
      </c>
      <c r="B44" s="10" t="s">
        <v>311</v>
      </c>
      <c r="C44" s="3" t="s">
        <v>310</v>
      </c>
      <c r="D44" s="9" t="s">
        <v>327</v>
      </c>
      <c r="E44" s="200">
        <v>516137.05</v>
      </c>
      <c r="F44" s="212">
        <f t="shared" si="2"/>
        <v>258068.52499999999</v>
      </c>
      <c r="G44" s="12"/>
    </row>
    <row r="45" spans="1:7" ht="20.149999999999999" customHeight="1">
      <c r="A45" s="9">
        <v>6</v>
      </c>
      <c r="B45" s="10" t="s">
        <v>312</v>
      </c>
      <c r="C45" s="3" t="s">
        <v>310</v>
      </c>
      <c r="D45" s="9" t="s">
        <v>228</v>
      </c>
      <c r="E45" s="200">
        <v>504720.04700000002</v>
      </c>
      <c r="F45" s="212">
        <f t="shared" si="2"/>
        <v>252360.02350000001</v>
      </c>
      <c r="G45" s="12"/>
    </row>
    <row r="46" spans="1:7" ht="20.149999999999999" customHeight="1">
      <c r="A46" s="9">
        <v>7</v>
      </c>
      <c r="B46" s="13" t="s">
        <v>313</v>
      </c>
      <c r="C46" s="3" t="s">
        <v>256</v>
      </c>
      <c r="D46" s="15" t="s">
        <v>257</v>
      </c>
      <c r="E46" s="200">
        <v>413333.03525000002</v>
      </c>
      <c r="F46" s="212">
        <f t="shared" si="2"/>
        <v>206666.51762500001</v>
      </c>
      <c r="G46" s="12"/>
    </row>
    <row r="47" spans="1:7" ht="20.149999999999999" customHeight="1">
      <c r="A47" s="9">
        <v>8</v>
      </c>
      <c r="B47" s="10" t="s">
        <v>258</v>
      </c>
      <c r="C47" s="3" t="s">
        <v>259</v>
      </c>
      <c r="D47" s="9" t="s">
        <v>260</v>
      </c>
      <c r="E47" s="71">
        <v>397211.36749999999</v>
      </c>
      <c r="F47" s="212">
        <f t="shared" si="2"/>
        <v>198605.68375</v>
      </c>
      <c r="G47" s="12"/>
    </row>
    <row r="48" spans="1:7" ht="20.149999999999999" customHeight="1">
      <c r="A48" s="9">
        <v>9</v>
      </c>
      <c r="B48" s="10" t="s">
        <v>314</v>
      </c>
      <c r="C48" s="3" t="s">
        <v>63</v>
      </c>
      <c r="D48" s="9" t="s">
        <v>38</v>
      </c>
      <c r="E48" s="200">
        <v>268602.07775</v>
      </c>
      <c r="F48" s="212">
        <f t="shared" si="2"/>
        <v>134301.038875</v>
      </c>
      <c r="G48" s="12"/>
    </row>
    <row r="49" spans="1:7" ht="20.149999999999999" customHeight="1">
      <c r="A49" s="9">
        <v>10</v>
      </c>
      <c r="B49" s="10" t="s">
        <v>315</v>
      </c>
      <c r="C49" s="3" t="s">
        <v>63</v>
      </c>
      <c r="D49" s="9" t="s">
        <v>25</v>
      </c>
      <c r="E49" s="200">
        <v>245204.0845</v>
      </c>
      <c r="F49" s="212">
        <f t="shared" si="2"/>
        <v>122602.04225</v>
      </c>
      <c r="G49" s="12"/>
    </row>
    <row r="50" spans="1:7" ht="20.149999999999999" customHeight="1">
      <c r="A50" s="9">
        <v>11</v>
      </c>
      <c r="B50" s="10" t="s">
        <v>316</v>
      </c>
      <c r="C50" s="3" t="s">
        <v>63</v>
      </c>
      <c r="D50" s="9" t="s">
        <v>25</v>
      </c>
      <c r="E50" s="200">
        <v>245204.0845</v>
      </c>
      <c r="F50" s="212">
        <f t="shared" si="2"/>
        <v>122602.04225</v>
      </c>
      <c r="G50" s="12"/>
    </row>
    <row r="51" spans="1:7" ht="20.149999999999999" customHeight="1">
      <c r="A51" s="9">
        <v>12</v>
      </c>
      <c r="B51" s="10" t="s">
        <v>317</v>
      </c>
      <c r="C51" s="3" t="s">
        <v>63</v>
      </c>
      <c r="D51" s="9" t="s">
        <v>25</v>
      </c>
      <c r="E51" s="200">
        <v>245204.0845</v>
      </c>
      <c r="F51" s="212">
        <f t="shared" si="2"/>
        <v>122602.04225</v>
      </c>
      <c r="G51" s="12"/>
    </row>
    <row r="52" spans="1:7" ht="25.5" customHeight="1">
      <c r="A52" s="9"/>
      <c r="B52" s="19" t="s">
        <v>34</v>
      </c>
      <c r="C52" s="20">
        <v>12</v>
      </c>
      <c r="D52" s="20"/>
      <c r="E52" s="79">
        <v>6101043.8132499997</v>
      </c>
      <c r="F52" s="300">
        <f>SUM(F40:F51)</f>
        <v>2772477.6147500002</v>
      </c>
      <c r="G52" s="12"/>
    </row>
    <row r="53" spans="1:7" ht="20.149999999999999" customHeight="1">
      <c r="A53" s="9"/>
      <c r="B53" s="21"/>
      <c r="C53" s="20"/>
      <c r="D53" s="20"/>
      <c r="E53" s="290"/>
      <c r="F53" s="214"/>
      <c r="G53" s="12"/>
    </row>
    <row r="54" spans="1:7" ht="20.149999999999999" customHeight="1">
      <c r="A54" s="9"/>
      <c r="B54" s="19" t="s">
        <v>318</v>
      </c>
      <c r="C54" s="20"/>
      <c r="D54" s="20"/>
      <c r="E54" s="290"/>
      <c r="F54" s="214"/>
      <c r="G54" s="12"/>
    </row>
    <row r="55" spans="1:7" ht="20.149999999999999" customHeight="1">
      <c r="A55" s="9">
        <v>1</v>
      </c>
      <c r="B55" s="10" t="s">
        <v>319</v>
      </c>
      <c r="C55" s="11" t="s">
        <v>320</v>
      </c>
      <c r="D55" s="14" t="s">
        <v>297</v>
      </c>
      <c r="E55" s="200">
        <v>1050209.0634999999</v>
      </c>
      <c r="F55" s="212">
        <f>E55/2</f>
        <v>525104.53174999997</v>
      </c>
      <c r="G55" s="12"/>
    </row>
    <row r="56" spans="1:7" ht="20.149999999999999" customHeight="1">
      <c r="A56" s="9">
        <v>2</v>
      </c>
      <c r="B56" s="10" t="s">
        <v>321</v>
      </c>
      <c r="C56" s="11" t="s">
        <v>322</v>
      </c>
      <c r="D56" s="14" t="s">
        <v>222</v>
      </c>
      <c r="E56" s="200">
        <v>436137.05</v>
      </c>
      <c r="F56" s="212">
        <f>E56/2</f>
        <v>218068.52499999999</v>
      </c>
      <c r="G56" s="12"/>
    </row>
    <row r="57" spans="1:7" ht="20.149999999999999" customHeight="1">
      <c r="A57" s="9"/>
      <c r="B57" s="19" t="s">
        <v>34</v>
      </c>
      <c r="C57" s="20">
        <v>2</v>
      </c>
      <c r="D57" s="20"/>
      <c r="E57" s="79">
        <v>1486346.1135</v>
      </c>
      <c r="F57" s="300">
        <f>SUM(F55:F56)</f>
        <v>743173.05674999999</v>
      </c>
      <c r="G57" s="12"/>
    </row>
    <row r="58" spans="1:7" ht="20.149999999999999" customHeight="1">
      <c r="A58" s="9"/>
      <c r="B58" s="19"/>
      <c r="C58" s="20"/>
      <c r="D58" s="20"/>
      <c r="E58" s="290"/>
      <c r="F58" s="214"/>
      <c r="G58" s="12"/>
    </row>
    <row r="59" spans="1:7" ht="20.149999999999999" customHeight="1">
      <c r="A59" s="9"/>
      <c r="B59" s="19" t="s">
        <v>45</v>
      </c>
      <c r="C59" s="20"/>
      <c r="D59" s="20"/>
      <c r="E59" s="290"/>
      <c r="F59" s="214"/>
      <c r="G59" s="12"/>
    </row>
    <row r="60" spans="1:7" ht="20.149999999999999" customHeight="1">
      <c r="A60" s="9">
        <v>1</v>
      </c>
      <c r="B60" s="10" t="s">
        <v>323</v>
      </c>
      <c r="C60" s="16" t="s">
        <v>324</v>
      </c>
      <c r="D60" s="9" t="s">
        <v>297</v>
      </c>
      <c r="E60" s="200">
        <v>1050209.0634999999</v>
      </c>
      <c r="F60" s="212">
        <f>E60/2</f>
        <v>525104.53174999997</v>
      </c>
      <c r="G60" s="12"/>
    </row>
    <row r="61" spans="1:7" ht="20.149999999999999" customHeight="1">
      <c r="A61" s="9">
        <v>2</v>
      </c>
      <c r="B61" s="328" t="s">
        <v>325</v>
      </c>
      <c r="C61" s="16" t="s">
        <v>326</v>
      </c>
      <c r="D61" s="14" t="s">
        <v>952</v>
      </c>
      <c r="E61" s="200">
        <v>504720.04700000002</v>
      </c>
      <c r="F61" s="212">
        <f t="shared" ref="F61:F70" si="3">E61/2</f>
        <v>252360.02350000001</v>
      </c>
      <c r="G61" s="12"/>
    </row>
    <row r="62" spans="1:7" ht="20.149999999999999" customHeight="1">
      <c r="A62" s="9">
        <v>3</v>
      </c>
      <c r="B62" s="10" t="s">
        <v>328</v>
      </c>
      <c r="C62" s="3" t="s">
        <v>256</v>
      </c>
      <c r="D62" s="9" t="s">
        <v>260</v>
      </c>
      <c r="E62" s="71">
        <v>397211.36749999999</v>
      </c>
      <c r="F62" s="212">
        <f t="shared" si="3"/>
        <v>198605.68375</v>
      </c>
      <c r="G62" s="12"/>
    </row>
    <row r="63" spans="1:7" ht="20.149999999999999" customHeight="1">
      <c r="A63" s="9">
        <v>4</v>
      </c>
      <c r="B63" s="17" t="s">
        <v>329</v>
      </c>
      <c r="C63" s="16" t="s">
        <v>47</v>
      </c>
      <c r="D63" s="14" t="s">
        <v>950</v>
      </c>
      <c r="E63" s="200">
        <v>362001.06050000002</v>
      </c>
      <c r="F63" s="212">
        <f t="shared" si="3"/>
        <v>181000.53025000001</v>
      </c>
      <c r="G63" s="12"/>
    </row>
    <row r="64" spans="1:7" ht="20.149999999999999" customHeight="1">
      <c r="A64" s="9">
        <v>5</v>
      </c>
      <c r="B64" s="13" t="s">
        <v>330</v>
      </c>
      <c r="C64" s="16" t="s">
        <v>256</v>
      </c>
      <c r="D64" s="14" t="s">
        <v>257</v>
      </c>
      <c r="E64" s="200">
        <v>413333.03525000002</v>
      </c>
      <c r="F64" s="212">
        <f t="shared" si="3"/>
        <v>206666.51762500001</v>
      </c>
      <c r="G64" s="12"/>
    </row>
    <row r="65" spans="1:7" ht="20.149999999999999" customHeight="1">
      <c r="A65" s="9">
        <v>7</v>
      </c>
      <c r="B65" s="10" t="s">
        <v>331</v>
      </c>
      <c r="C65" s="3" t="s">
        <v>63</v>
      </c>
      <c r="D65" s="9" t="s">
        <v>42</v>
      </c>
      <c r="E65" s="200">
        <v>315372.07500000001</v>
      </c>
      <c r="F65" s="212">
        <f t="shared" si="3"/>
        <v>157686.03750000001</v>
      </c>
      <c r="G65" s="12"/>
    </row>
    <row r="66" spans="1:7" ht="20.149999999999999" customHeight="1">
      <c r="A66" s="9">
        <v>8</v>
      </c>
      <c r="B66" s="10" t="s">
        <v>333</v>
      </c>
      <c r="C66" s="16" t="s">
        <v>275</v>
      </c>
      <c r="D66" s="14" t="s">
        <v>42</v>
      </c>
      <c r="E66" s="200">
        <v>315372.07500000001</v>
      </c>
      <c r="F66" s="212">
        <f t="shared" si="3"/>
        <v>157686.03750000001</v>
      </c>
      <c r="G66" s="12"/>
    </row>
    <row r="67" spans="1:7" ht="20.149999999999999" customHeight="1">
      <c r="A67" s="9">
        <v>9</v>
      </c>
      <c r="B67" s="10" t="s">
        <v>334</v>
      </c>
      <c r="C67" s="16" t="s">
        <v>275</v>
      </c>
      <c r="D67" s="14" t="s">
        <v>42</v>
      </c>
      <c r="E67" s="200">
        <v>315372.07500000001</v>
      </c>
      <c r="F67" s="212">
        <f t="shared" si="3"/>
        <v>157686.03750000001</v>
      </c>
      <c r="G67" s="12"/>
    </row>
    <row r="68" spans="1:7" ht="20.149999999999999" customHeight="1">
      <c r="A68" s="9">
        <v>10</v>
      </c>
      <c r="B68" s="10" t="s">
        <v>335</v>
      </c>
      <c r="C68" s="3" t="s">
        <v>336</v>
      </c>
      <c r="D68" s="9" t="s">
        <v>332</v>
      </c>
      <c r="E68" s="200">
        <v>322454.07400000002</v>
      </c>
      <c r="F68" s="212">
        <f t="shared" si="3"/>
        <v>161227.03700000001</v>
      </c>
      <c r="G68" s="12"/>
    </row>
    <row r="69" spans="1:7" ht="21.65" customHeight="1">
      <c r="A69" s="9">
        <v>11</v>
      </c>
      <c r="B69" s="10" t="s">
        <v>337</v>
      </c>
      <c r="C69" s="3" t="s">
        <v>63</v>
      </c>
      <c r="D69" s="9" t="s">
        <v>38</v>
      </c>
      <c r="E69" s="200">
        <v>268602.07775</v>
      </c>
      <c r="F69" s="212">
        <f t="shared" si="3"/>
        <v>134301.038875</v>
      </c>
    </row>
    <row r="70" spans="1:7" ht="20.149999999999999" customHeight="1">
      <c r="A70" s="9">
        <v>12</v>
      </c>
      <c r="B70" s="10" t="s">
        <v>281</v>
      </c>
      <c r="C70" s="16" t="s">
        <v>273</v>
      </c>
      <c r="D70" s="9" t="s">
        <v>283</v>
      </c>
      <c r="E70" s="200">
        <v>249356.04725</v>
      </c>
      <c r="F70" s="212">
        <f t="shared" si="3"/>
        <v>124678.023625</v>
      </c>
      <c r="G70" s="12"/>
    </row>
    <row r="71" spans="1:7" ht="27" customHeight="1">
      <c r="A71" s="9"/>
      <c r="B71" s="19" t="s">
        <v>34</v>
      </c>
      <c r="C71" s="20">
        <v>12</v>
      </c>
      <c r="D71" s="20"/>
      <c r="E71" s="79">
        <v>4514002.9977500001</v>
      </c>
      <c r="F71" s="79">
        <f>SUM(F60:F70)</f>
        <v>2257001.498875</v>
      </c>
      <c r="G71" s="12"/>
    </row>
    <row r="72" spans="1:7" ht="20.149999999999999" customHeight="1">
      <c r="A72" s="9"/>
      <c r="B72" s="21"/>
      <c r="C72" s="20"/>
      <c r="D72" s="20"/>
      <c r="E72" s="290"/>
      <c r="F72" s="214"/>
      <c r="G72" s="12"/>
    </row>
    <row r="73" spans="1:7" ht="20.149999999999999" customHeight="1">
      <c r="A73" s="9"/>
      <c r="B73" s="19" t="s">
        <v>51</v>
      </c>
      <c r="C73" s="20"/>
      <c r="D73" s="20"/>
      <c r="E73" s="290"/>
      <c r="F73" s="214"/>
      <c r="G73" s="12"/>
    </row>
    <row r="74" spans="1:7" ht="20.149999999999999" customHeight="1">
      <c r="A74" s="9">
        <v>1</v>
      </c>
      <c r="B74" s="10" t="s">
        <v>338</v>
      </c>
      <c r="C74" s="3" t="s">
        <v>339</v>
      </c>
      <c r="D74" s="9" t="s">
        <v>297</v>
      </c>
      <c r="E74" s="200">
        <v>1050209.0634999999</v>
      </c>
      <c r="F74" s="212">
        <f>E74/2</f>
        <v>525104.53174999997</v>
      </c>
      <c r="G74" s="12"/>
    </row>
    <row r="75" spans="1:7" ht="20.149999999999999" customHeight="1">
      <c r="A75" s="9">
        <v>2</v>
      </c>
      <c r="B75" s="13" t="s">
        <v>220</v>
      </c>
      <c r="C75" s="3" t="s">
        <v>221</v>
      </c>
      <c r="D75" s="14" t="s">
        <v>952</v>
      </c>
      <c r="E75" s="200">
        <v>504720.04700000002</v>
      </c>
      <c r="F75" s="212">
        <f t="shared" ref="F75:F80" si="4">E75/2</f>
        <v>252360.02350000001</v>
      </c>
      <c r="G75" s="12"/>
    </row>
    <row r="76" spans="1:7" ht="20.149999999999999" customHeight="1">
      <c r="A76" s="9">
        <v>3</v>
      </c>
      <c r="B76" s="17" t="s">
        <v>223</v>
      </c>
      <c r="C76" s="11" t="s">
        <v>224</v>
      </c>
      <c r="D76" s="9" t="s">
        <v>222</v>
      </c>
      <c r="E76" s="200">
        <v>436137.05</v>
      </c>
      <c r="F76" s="212">
        <f t="shared" si="4"/>
        <v>218068.52499999999</v>
      </c>
      <c r="G76" s="12"/>
    </row>
    <row r="77" spans="1:7" ht="20.149999999999999" customHeight="1">
      <c r="A77" s="9">
        <v>4</v>
      </c>
      <c r="B77" s="10" t="s">
        <v>340</v>
      </c>
      <c r="C77" s="3" t="s">
        <v>341</v>
      </c>
      <c r="D77" s="14" t="s">
        <v>260</v>
      </c>
      <c r="E77" s="71">
        <v>397211.36749999999</v>
      </c>
      <c r="F77" s="212">
        <f t="shared" si="4"/>
        <v>198605.68375</v>
      </c>
      <c r="G77" s="12"/>
    </row>
    <row r="78" spans="1:7" ht="20.149999999999999" customHeight="1">
      <c r="A78" s="9">
        <v>5</v>
      </c>
      <c r="B78" s="10" t="s">
        <v>343</v>
      </c>
      <c r="C78" s="3" t="s">
        <v>344</v>
      </c>
      <c r="D78" s="9" t="s">
        <v>301</v>
      </c>
      <c r="E78" s="200">
        <v>273169.11749999999</v>
      </c>
      <c r="F78" s="212">
        <f t="shared" si="4"/>
        <v>136584.55875</v>
      </c>
      <c r="G78" s="12"/>
    </row>
    <row r="79" spans="1:7" ht="20.149999999999999" customHeight="1">
      <c r="A79" s="9">
        <v>6</v>
      </c>
      <c r="B79" s="10" t="s">
        <v>346</v>
      </c>
      <c r="C79" s="3" t="s">
        <v>344</v>
      </c>
      <c r="D79" s="9" t="s">
        <v>25</v>
      </c>
      <c r="E79" s="200">
        <v>245204.0845</v>
      </c>
      <c r="F79" s="212">
        <f t="shared" si="4"/>
        <v>122602.04225</v>
      </c>
      <c r="G79" s="12"/>
    </row>
    <row r="80" spans="1:7" ht="20.149999999999999" customHeight="1">
      <c r="A80" s="9">
        <v>7</v>
      </c>
      <c r="B80" s="10" t="s">
        <v>347</v>
      </c>
      <c r="C80" s="3" t="s">
        <v>348</v>
      </c>
      <c r="D80" s="9" t="s">
        <v>31</v>
      </c>
      <c r="E80" s="200">
        <v>223338.22450000001</v>
      </c>
      <c r="F80" s="212">
        <f t="shared" si="4"/>
        <v>111669.11225000001</v>
      </c>
      <c r="G80" s="12"/>
    </row>
    <row r="81" spans="1:7" ht="20.149999999999999" customHeight="1">
      <c r="A81" s="9"/>
      <c r="B81" s="19" t="s">
        <v>34</v>
      </c>
      <c r="C81" s="20">
        <v>7</v>
      </c>
      <c r="D81" s="20"/>
      <c r="E81" s="79">
        <v>3129988.9545</v>
      </c>
      <c r="F81" s="300">
        <f>SUM(F74:F80)</f>
        <v>1564994.47725</v>
      </c>
      <c r="G81" s="12"/>
    </row>
    <row r="82" spans="1:7" ht="20.149999999999999" customHeight="1">
      <c r="A82" s="9"/>
      <c r="B82" s="19"/>
      <c r="C82" s="20"/>
      <c r="D82" s="20"/>
      <c r="E82" s="290"/>
      <c r="F82" s="212"/>
      <c r="G82" s="12"/>
    </row>
    <row r="83" spans="1:7" ht="20.149999999999999" customHeight="1">
      <c r="A83" s="9"/>
      <c r="B83" s="19" t="s">
        <v>56</v>
      </c>
      <c r="C83" s="24"/>
      <c r="D83" s="20"/>
      <c r="E83" s="290"/>
      <c r="F83" s="212"/>
      <c r="G83" s="12"/>
    </row>
    <row r="84" spans="1:7" ht="20.149999999999999" customHeight="1">
      <c r="A84" s="9">
        <v>1</v>
      </c>
      <c r="B84" s="10" t="s">
        <v>349</v>
      </c>
      <c r="C84" s="3" t="s">
        <v>310</v>
      </c>
      <c r="D84" s="9" t="s">
        <v>249</v>
      </c>
      <c r="E84" s="200">
        <v>627553.50249999994</v>
      </c>
      <c r="F84" s="212">
        <f>E84/2</f>
        <v>313776.75124999997</v>
      </c>
      <c r="G84" s="12"/>
    </row>
    <row r="85" spans="1:7" ht="20.149999999999999" customHeight="1">
      <c r="A85" s="9">
        <v>2</v>
      </c>
      <c r="B85" s="10" t="s">
        <v>350</v>
      </c>
      <c r="C85" s="3" t="s">
        <v>310</v>
      </c>
      <c r="D85" s="9" t="s">
        <v>249</v>
      </c>
      <c r="E85" s="200">
        <v>527553.50249999994</v>
      </c>
      <c r="F85" s="212">
        <f t="shared" ref="F85:F94" si="5">E85/2</f>
        <v>263776.75124999997</v>
      </c>
      <c r="G85" s="12"/>
    </row>
    <row r="86" spans="1:7" ht="20.149999999999999" customHeight="1">
      <c r="A86" s="9">
        <v>3</v>
      </c>
      <c r="B86" s="13" t="s">
        <v>386</v>
      </c>
      <c r="C86" s="3" t="s">
        <v>310</v>
      </c>
      <c r="D86" s="9" t="s">
        <v>228</v>
      </c>
      <c r="E86" s="71">
        <v>504720.04700000002</v>
      </c>
      <c r="F86" s="212">
        <f t="shared" si="5"/>
        <v>252360.02350000001</v>
      </c>
      <c r="G86" s="12"/>
    </row>
    <row r="87" spans="1:7" ht="20.149999999999999" customHeight="1">
      <c r="A87" s="9">
        <v>4</v>
      </c>
      <c r="B87" s="10" t="s">
        <v>351</v>
      </c>
      <c r="C87" s="3" t="s">
        <v>310</v>
      </c>
      <c r="D87" s="9" t="s">
        <v>228</v>
      </c>
      <c r="E87" s="71">
        <v>504729.22200000001</v>
      </c>
      <c r="F87" s="212">
        <f t="shared" si="5"/>
        <v>252364.611</v>
      </c>
      <c r="G87" s="12"/>
    </row>
    <row r="88" spans="1:7" ht="21.65" customHeight="1">
      <c r="A88" s="9">
        <v>5</v>
      </c>
      <c r="B88" s="10" t="s">
        <v>352</v>
      </c>
      <c r="C88" s="3" t="s">
        <v>353</v>
      </c>
      <c r="D88" s="14" t="s">
        <v>266</v>
      </c>
      <c r="E88" s="200">
        <v>369177.65375</v>
      </c>
      <c r="F88" s="212">
        <f t="shared" si="5"/>
        <v>184588.826875</v>
      </c>
      <c r="G88" s="12"/>
    </row>
    <row r="89" spans="1:7" ht="21.65" customHeight="1">
      <c r="A89" s="9">
        <v>6</v>
      </c>
      <c r="B89" s="10" t="s">
        <v>354</v>
      </c>
      <c r="C89" s="11" t="s">
        <v>47</v>
      </c>
      <c r="D89" s="14" t="s">
        <v>950</v>
      </c>
      <c r="E89" s="200">
        <v>362001.06050000002</v>
      </c>
      <c r="F89" s="212">
        <f t="shared" si="5"/>
        <v>181000.53025000001</v>
      </c>
      <c r="G89" s="12"/>
    </row>
    <row r="90" spans="1:7" ht="21.65" customHeight="1">
      <c r="A90" s="9">
        <v>7</v>
      </c>
      <c r="B90" s="10" t="s">
        <v>355</v>
      </c>
      <c r="C90" s="11" t="s">
        <v>256</v>
      </c>
      <c r="D90" s="14" t="s">
        <v>356</v>
      </c>
      <c r="E90" s="71">
        <v>389153.05674999999</v>
      </c>
      <c r="F90" s="212">
        <f t="shared" si="5"/>
        <v>194576.52837499999</v>
      </c>
      <c r="G90" s="12"/>
    </row>
    <row r="91" spans="1:7" ht="21.65" customHeight="1">
      <c r="A91" s="9">
        <v>8</v>
      </c>
      <c r="B91" s="10" t="s">
        <v>357</v>
      </c>
      <c r="C91" s="16" t="s">
        <v>275</v>
      </c>
      <c r="D91" s="14" t="s">
        <v>42</v>
      </c>
      <c r="E91" s="200">
        <v>315372.07500000001</v>
      </c>
      <c r="F91" s="212">
        <f t="shared" si="5"/>
        <v>157686.03750000001</v>
      </c>
      <c r="G91" s="12"/>
    </row>
    <row r="92" spans="1:7" ht="21.65" customHeight="1">
      <c r="A92" s="9">
        <v>9</v>
      </c>
      <c r="B92" s="10" t="s">
        <v>358</v>
      </c>
      <c r="C92" s="16" t="s">
        <v>275</v>
      </c>
      <c r="D92" s="14" t="s">
        <v>42</v>
      </c>
      <c r="E92" s="200">
        <v>315372.07500000001</v>
      </c>
      <c r="F92" s="212">
        <f t="shared" si="5"/>
        <v>157686.03750000001</v>
      </c>
      <c r="G92" s="12"/>
    </row>
    <row r="93" spans="1:7" ht="21.65" customHeight="1">
      <c r="A93" s="9">
        <v>10</v>
      </c>
      <c r="B93" s="10" t="s">
        <v>359</v>
      </c>
      <c r="C93" s="3" t="s">
        <v>360</v>
      </c>
      <c r="D93" s="9" t="s">
        <v>38</v>
      </c>
      <c r="E93" s="200">
        <v>268602.07775</v>
      </c>
      <c r="F93" s="212">
        <f t="shared" si="5"/>
        <v>134301.038875</v>
      </c>
      <c r="G93" s="12"/>
    </row>
    <row r="94" spans="1:7" ht="21.65" customHeight="1">
      <c r="A94" s="9">
        <v>11</v>
      </c>
      <c r="B94" s="10" t="s">
        <v>361</v>
      </c>
      <c r="C94" s="16" t="s">
        <v>362</v>
      </c>
      <c r="D94" s="14" t="s">
        <v>294</v>
      </c>
      <c r="E94" s="200">
        <v>223709.10949999999</v>
      </c>
      <c r="F94" s="212">
        <f t="shared" si="5"/>
        <v>111854.55475</v>
      </c>
      <c r="G94" s="12"/>
    </row>
    <row r="95" spans="1:7" ht="20.149999999999999" customHeight="1">
      <c r="A95" s="9"/>
      <c r="B95" s="19" t="s">
        <v>34</v>
      </c>
      <c r="C95" s="20">
        <v>11</v>
      </c>
      <c r="D95" s="20"/>
      <c r="E95" s="79">
        <v>4407943.3822499998</v>
      </c>
      <c r="F95" s="300">
        <f>SUM(F84:F94)</f>
        <v>2203971.6911249999</v>
      </c>
      <c r="G95" s="12"/>
    </row>
    <row r="96" spans="1:7" ht="20.149999999999999" customHeight="1">
      <c r="A96" s="9"/>
      <c r="B96" s="21"/>
      <c r="C96" s="20"/>
      <c r="D96" s="20"/>
      <c r="E96" s="290"/>
      <c r="F96" s="214"/>
      <c r="G96" s="12"/>
    </row>
    <row r="97" spans="1:7" ht="20.149999999999999" customHeight="1">
      <c r="A97" s="9"/>
      <c r="B97" s="19" t="s">
        <v>58</v>
      </c>
      <c r="C97" s="20"/>
      <c r="D97" s="20"/>
      <c r="E97" s="290"/>
      <c r="F97" s="214"/>
      <c r="G97" s="12"/>
    </row>
    <row r="98" spans="1:7" ht="20.149999999999999" customHeight="1">
      <c r="A98" s="9">
        <v>1</v>
      </c>
      <c r="B98" s="13" t="s">
        <v>363</v>
      </c>
      <c r="C98" s="3" t="s">
        <v>364</v>
      </c>
      <c r="D98" s="15" t="s">
        <v>308</v>
      </c>
      <c r="E98" s="200">
        <v>527744</v>
      </c>
      <c r="F98" s="212">
        <f>E98/2</f>
        <v>263872</v>
      </c>
      <c r="G98" s="12"/>
    </row>
    <row r="99" spans="1:7" ht="20.149999999999999" customHeight="1">
      <c r="A99" s="9">
        <v>2</v>
      </c>
      <c r="B99" s="10" t="s">
        <v>366</v>
      </c>
      <c r="C99" s="3" t="s">
        <v>367</v>
      </c>
      <c r="D99" s="14" t="s">
        <v>260</v>
      </c>
      <c r="E99" s="71">
        <v>327211.36749999999</v>
      </c>
      <c r="F99" s="212">
        <f t="shared" ref="F99:F101" si="6">E99/2</f>
        <v>163605.68375</v>
      </c>
      <c r="G99" s="12"/>
    </row>
    <row r="100" spans="1:7" ht="20.149999999999999" customHeight="1">
      <c r="A100" s="9">
        <v>3</v>
      </c>
      <c r="B100" s="10" t="s">
        <v>368</v>
      </c>
      <c r="C100" s="3" t="s">
        <v>369</v>
      </c>
      <c r="D100" s="14" t="s">
        <v>332</v>
      </c>
      <c r="E100" s="200">
        <v>272454.07400000002</v>
      </c>
      <c r="F100" s="212">
        <f t="shared" si="6"/>
        <v>136227.03700000001</v>
      </c>
      <c r="G100" s="12"/>
    </row>
    <row r="101" spans="1:7" ht="20.149999999999999" customHeight="1">
      <c r="A101" s="9">
        <v>4</v>
      </c>
      <c r="B101" s="10" t="s">
        <v>370</v>
      </c>
      <c r="C101" s="3" t="s">
        <v>371</v>
      </c>
      <c r="D101" s="14" t="s">
        <v>38</v>
      </c>
      <c r="E101" s="71">
        <v>228602.07775</v>
      </c>
      <c r="F101" s="212">
        <f t="shared" si="6"/>
        <v>114301.038875</v>
      </c>
      <c r="G101" s="12"/>
    </row>
    <row r="102" spans="1:7" ht="20.149999999999999" customHeight="1">
      <c r="A102" s="3"/>
      <c r="B102" s="19" t="s">
        <v>34</v>
      </c>
      <c r="C102" s="20">
        <v>4</v>
      </c>
      <c r="D102" s="25"/>
      <c r="E102" s="79">
        <v>1813825.6850000001</v>
      </c>
      <c r="F102" s="79">
        <f>SUM(F98:F101)</f>
        <v>678005.75962499995</v>
      </c>
      <c r="G102" s="12"/>
    </row>
    <row r="103" spans="1:7" ht="20.149999999999999" customHeight="1">
      <c r="A103" s="3"/>
      <c r="B103" s="21"/>
      <c r="C103" s="20"/>
      <c r="D103" s="25"/>
      <c r="E103" s="290"/>
      <c r="F103" s="214"/>
      <c r="G103" s="12"/>
    </row>
    <row r="104" spans="1:7" ht="20.149999999999999" customHeight="1">
      <c r="A104" s="3"/>
      <c r="B104" s="19" t="s">
        <v>372</v>
      </c>
      <c r="C104" s="3"/>
      <c r="D104" s="3"/>
      <c r="E104" s="329"/>
      <c r="F104" s="215"/>
      <c r="G104" s="12"/>
    </row>
    <row r="105" spans="1:7" ht="20.149999999999999" customHeight="1">
      <c r="A105" s="3">
        <v>1</v>
      </c>
      <c r="B105" s="10" t="s">
        <v>373</v>
      </c>
      <c r="C105" s="11" t="s">
        <v>374</v>
      </c>
      <c r="D105" s="14" t="s">
        <v>297</v>
      </c>
      <c r="E105" s="200">
        <v>1050209.0634999999</v>
      </c>
      <c r="F105" s="212">
        <f>E105/2</f>
        <v>525104.53174999997</v>
      </c>
      <c r="G105" s="12"/>
    </row>
    <row r="106" spans="1:7" ht="20.149999999999999" customHeight="1">
      <c r="A106" s="3">
        <v>2</v>
      </c>
      <c r="B106" s="10" t="s">
        <v>375</v>
      </c>
      <c r="C106" s="3" t="s">
        <v>376</v>
      </c>
      <c r="D106" s="15" t="s">
        <v>308</v>
      </c>
      <c r="E106" s="200">
        <v>617743.99575</v>
      </c>
      <c r="F106" s="212">
        <f t="shared" ref="F106:F111" si="7">E106/2</f>
        <v>308871.997875</v>
      </c>
      <c r="G106" s="12"/>
    </row>
    <row r="107" spans="1:7" ht="20.149999999999999" customHeight="1">
      <c r="A107" s="3">
        <v>3</v>
      </c>
      <c r="B107" s="10" t="s">
        <v>377</v>
      </c>
      <c r="C107" s="3" t="s">
        <v>378</v>
      </c>
      <c r="D107" s="9" t="s">
        <v>263</v>
      </c>
      <c r="E107" s="200">
        <v>418096.01602500002</v>
      </c>
      <c r="F107" s="212">
        <f t="shared" si="7"/>
        <v>209048.00801250001</v>
      </c>
      <c r="G107" s="12"/>
    </row>
    <row r="108" spans="1:7" ht="20.149999999999999" customHeight="1">
      <c r="A108" s="3">
        <v>4</v>
      </c>
      <c r="B108" s="10" t="s">
        <v>379</v>
      </c>
      <c r="C108" s="3" t="s">
        <v>378</v>
      </c>
      <c r="D108" s="9" t="s">
        <v>263</v>
      </c>
      <c r="E108" s="200">
        <v>416483.19415499998</v>
      </c>
      <c r="F108" s="212">
        <f t="shared" si="7"/>
        <v>208241.59707749999</v>
      </c>
      <c r="G108" s="12"/>
    </row>
    <row r="109" spans="1:7" ht="20.149999999999999" customHeight="1">
      <c r="A109" s="3">
        <v>5</v>
      </c>
      <c r="B109" s="10" t="s">
        <v>380</v>
      </c>
      <c r="C109" s="3" t="s">
        <v>381</v>
      </c>
      <c r="D109" s="14" t="s">
        <v>384</v>
      </c>
      <c r="E109" s="200">
        <v>262612.71747999999</v>
      </c>
      <c r="F109" s="212">
        <f t="shared" si="7"/>
        <v>131306.35874</v>
      </c>
      <c r="G109" s="12"/>
    </row>
    <row r="110" spans="1:7" ht="20.149999999999999" customHeight="1">
      <c r="A110" s="3">
        <v>6</v>
      </c>
      <c r="B110" s="17" t="s">
        <v>383</v>
      </c>
      <c r="C110" s="3" t="s">
        <v>381</v>
      </c>
      <c r="D110" s="9" t="s">
        <v>945</v>
      </c>
      <c r="E110" s="200">
        <v>258740.79775</v>
      </c>
      <c r="F110" s="212">
        <f t="shared" si="7"/>
        <v>129370.398875</v>
      </c>
      <c r="G110" s="12"/>
    </row>
    <row r="111" spans="1:7" ht="20.149999999999999" customHeight="1">
      <c r="A111" s="3">
        <v>7</v>
      </c>
      <c r="B111" s="17" t="s">
        <v>385</v>
      </c>
      <c r="C111" s="3" t="s">
        <v>381</v>
      </c>
      <c r="D111" s="14" t="s">
        <v>294</v>
      </c>
      <c r="E111" s="200">
        <v>251382.295445</v>
      </c>
      <c r="F111" s="212">
        <f t="shared" si="7"/>
        <v>125691.1477225</v>
      </c>
      <c r="G111" s="12"/>
    </row>
    <row r="112" spans="1:7" ht="25.5" customHeight="1">
      <c r="A112" s="3"/>
      <c r="B112" s="19" t="s">
        <v>34</v>
      </c>
      <c r="C112" s="20">
        <v>7</v>
      </c>
      <c r="D112" s="3"/>
      <c r="E112" s="330">
        <v>3275268.0801050002</v>
      </c>
      <c r="F112" s="331">
        <f>SUM(F105:F111)</f>
        <v>1637634.0400525001</v>
      </c>
      <c r="G112" s="12"/>
    </row>
    <row r="113" spans="1:7" ht="20.149999999999999" customHeight="1">
      <c r="A113" s="3"/>
      <c r="B113" s="19"/>
      <c r="C113" s="20"/>
      <c r="D113" s="3"/>
      <c r="E113" s="330"/>
      <c r="F113" s="331"/>
      <c r="G113" s="12"/>
    </row>
    <row r="114" spans="1:7" ht="20.149999999999999" customHeight="1">
      <c r="A114" s="9"/>
      <c r="B114" s="19" t="s">
        <v>61</v>
      </c>
      <c r="C114" s="20"/>
      <c r="D114" s="20"/>
      <c r="E114" s="290"/>
      <c r="F114" s="214"/>
      <c r="G114" s="12"/>
    </row>
    <row r="115" spans="1:7" ht="18.75" customHeight="1">
      <c r="A115" s="9">
        <v>1</v>
      </c>
      <c r="B115" s="10" t="s">
        <v>387</v>
      </c>
      <c r="C115" s="3" t="s">
        <v>388</v>
      </c>
      <c r="D115" s="14" t="s">
        <v>332</v>
      </c>
      <c r="E115" s="200">
        <v>322454.07400000002</v>
      </c>
      <c r="F115" s="332">
        <f t="shared" ref="F115:F116" si="8">E115/2</f>
        <v>161227.03700000001</v>
      </c>
      <c r="G115" s="12"/>
    </row>
    <row r="116" spans="1:7" ht="20.149999999999999" customHeight="1">
      <c r="A116" s="9">
        <v>2</v>
      </c>
      <c r="B116" s="10" t="s">
        <v>389</v>
      </c>
      <c r="C116" s="11" t="s">
        <v>390</v>
      </c>
      <c r="D116" s="14" t="s">
        <v>271</v>
      </c>
      <c r="E116" s="200">
        <v>284536.99849999999</v>
      </c>
      <c r="F116" s="332">
        <f t="shared" si="8"/>
        <v>142268.49924999999</v>
      </c>
      <c r="G116" s="12"/>
    </row>
    <row r="117" spans="1:7" ht="24.75" customHeight="1">
      <c r="A117" s="3"/>
      <c r="B117" s="19" t="s">
        <v>34</v>
      </c>
      <c r="C117" s="20">
        <v>2</v>
      </c>
      <c r="D117" s="25"/>
      <c r="E117" s="79">
        <v>790446.84587096795</v>
      </c>
      <c r="F117" s="300">
        <f>SUM(F115:F116)</f>
        <v>303495.53625</v>
      </c>
      <c r="G117" s="12"/>
    </row>
    <row r="118" spans="1:7" ht="20.149999999999999" customHeight="1">
      <c r="A118" s="3"/>
      <c r="B118" s="21"/>
      <c r="C118" s="9"/>
      <c r="D118" s="3"/>
      <c r="E118" s="293"/>
      <c r="F118" s="216"/>
      <c r="G118" s="12"/>
    </row>
    <row r="119" spans="1:7" ht="20.149999999999999" customHeight="1">
      <c r="A119" s="3"/>
      <c r="B119" s="19" t="s">
        <v>67</v>
      </c>
      <c r="C119" s="20"/>
      <c r="D119" s="20"/>
      <c r="E119" s="290"/>
      <c r="F119" s="212"/>
      <c r="G119" s="12"/>
    </row>
    <row r="120" spans="1:7" ht="20.149999999999999" customHeight="1">
      <c r="A120" s="3">
        <v>1</v>
      </c>
      <c r="B120" s="10" t="s">
        <v>392</v>
      </c>
      <c r="C120" s="11" t="s">
        <v>393</v>
      </c>
      <c r="D120" s="14" t="s">
        <v>297</v>
      </c>
      <c r="E120" s="200">
        <v>1050209.0634999999</v>
      </c>
      <c r="F120" s="212">
        <f>E120/2</f>
        <v>525104.53174999997</v>
      </c>
      <c r="G120" s="12"/>
    </row>
    <row r="121" spans="1:7" ht="20.149999999999999" customHeight="1">
      <c r="A121" s="3">
        <v>2</v>
      </c>
      <c r="B121" s="10" t="s">
        <v>130</v>
      </c>
      <c r="C121" s="11" t="s">
        <v>394</v>
      </c>
      <c r="D121" s="14" t="s">
        <v>946</v>
      </c>
      <c r="E121" s="200">
        <v>614023.32999999996</v>
      </c>
      <c r="F121" s="212">
        <f t="shared" ref="F121:F129" si="9">E121/2</f>
        <v>307011.66499999998</v>
      </c>
      <c r="G121" s="12"/>
    </row>
    <row r="122" spans="1:7" ht="20.149999999999999" customHeight="1">
      <c r="A122" s="3">
        <v>3</v>
      </c>
      <c r="B122" s="13" t="s">
        <v>395</v>
      </c>
      <c r="C122" s="11" t="s">
        <v>227</v>
      </c>
      <c r="D122" s="14" t="s">
        <v>249</v>
      </c>
      <c r="E122" s="200">
        <v>577553.50249999994</v>
      </c>
      <c r="F122" s="212">
        <f t="shared" si="9"/>
        <v>288776.75124999997</v>
      </c>
      <c r="G122" s="12"/>
    </row>
    <row r="123" spans="1:7" ht="20.149999999999999" customHeight="1">
      <c r="A123" s="3">
        <v>4</v>
      </c>
      <c r="B123" s="13" t="s">
        <v>226</v>
      </c>
      <c r="C123" s="11" t="s">
        <v>227</v>
      </c>
      <c r="D123" s="14" t="s">
        <v>228</v>
      </c>
      <c r="E123" s="200">
        <v>424720.04700000002</v>
      </c>
      <c r="F123" s="212">
        <f t="shared" si="9"/>
        <v>212360.02350000001</v>
      </c>
      <c r="G123" s="12"/>
    </row>
    <row r="124" spans="1:7" ht="20.149999999999999" customHeight="1">
      <c r="A124" s="3">
        <v>5</v>
      </c>
      <c r="B124" s="10" t="s">
        <v>396</v>
      </c>
      <c r="C124" s="11" t="s">
        <v>397</v>
      </c>
      <c r="D124" s="14" t="s">
        <v>342</v>
      </c>
      <c r="E124" s="200">
        <v>335272.06374999997</v>
      </c>
      <c r="F124" s="212">
        <f t="shared" si="9"/>
        <v>167636.03187499999</v>
      </c>
      <c r="G124" s="12"/>
    </row>
    <row r="125" spans="1:7" ht="20.149999999999999" customHeight="1">
      <c r="A125" s="3">
        <v>6</v>
      </c>
      <c r="B125" s="10" t="s">
        <v>398</v>
      </c>
      <c r="C125" s="11" t="s">
        <v>399</v>
      </c>
      <c r="D125" s="14" t="s">
        <v>260</v>
      </c>
      <c r="E125" s="200">
        <v>327211.36749999999</v>
      </c>
      <c r="F125" s="212">
        <f t="shared" si="9"/>
        <v>163605.68375</v>
      </c>
      <c r="G125" s="12"/>
    </row>
    <row r="126" spans="1:7" ht="20.149999999999999" customHeight="1">
      <c r="A126" s="3">
        <v>7</v>
      </c>
      <c r="B126" s="10" t="s">
        <v>400</v>
      </c>
      <c r="C126" s="11" t="s">
        <v>397</v>
      </c>
      <c r="D126" s="14" t="s">
        <v>260</v>
      </c>
      <c r="E126" s="71">
        <v>327211.36749999999</v>
      </c>
      <c r="F126" s="212">
        <f t="shared" si="9"/>
        <v>163605.68375</v>
      </c>
      <c r="G126" s="12"/>
    </row>
    <row r="127" spans="1:7" ht="20.149999999999999" customHeight="1">
      <c r="A127" s="3">
        <v>8</v>
      </c>
      <c r="B127" s="10" t="s">
        <v>401</v>
      </c>
      <c r="C127" s="11" t="s">
        <v>402</v>
      </c>
      <c r="D127" s="9" t="s">
        <v>283</v>
      </c>
      <c r="E127" s="200">
        <v>209356.04725</v>
      </c>
      <c r="F127" s="212">
        <f t="shared" si="9"/>
        <v>104678.023625</v>
      </c>
      <c r="G127" s="12"/>
    </row>
    <row r="128" spans="1:7" ht="20.149999999999999" customHeight="1">
      <c r="A128" s="3">
        <v>9</v>
      </c>
      <c r="B128" s="17" t="s">
        <v>403</v>
      </c>
      <c r="C128" s="11" t="s">
        <v>404</v>
      </c>
      <c r="D128" s="14" t="s">
        <v>31</v>
      </c>
      <c r="E128" s="200">
        <v>173338.22450000001</v>
      </c>
      <c r="F128" s="212">
        <f t="shared" si="9"/>
        <v>86669.112250000006</v>
      </c>
      <c r="G128" s="12"/>
    </row>
    <row r="129" spans="1:7" ht="20.149999999999999" customHeight="1">
      <c r="A129" s="3">
        <v>10</v>
      </c>
      <c r="B129" s="17" t="s">
        <v>405</v>
      </c>
      <c r="C129" s="11" t="s">
        <v>69</v>
      </c>
      <c r="D129" s="14" t="s">
        <v>31</v>
      </c>
      <c r="E129" s="200">
        <v>173329.04949999999</v>
      </c>
      <c r="F129" s="212">
        <f t="shared" si="9"/>
        <v>86664.524749999997</v>
      </c>
      <c r="G129" s="12"/>
    </row>
    <row r="130" spans="1:7" ht="28.5" customHeight="1">
      <c r="A130" s="3"/>
      <c r="B130" s="19" t="s">
        <v>34</v>
      </c>
      <c r="C130" s="25" t="s">
        <v>406</v>
      </c>
      <c r="D130" s="14"/>
      <c r="E130" s="133">
        <v>4802897.8959166696</v>
      </c>
      <c r="F130" s="214">
        <f>SUM(F120:F129)</f>
        <v>2106112.0315</v>
      </c>
      <c r="G130" s="12"/>
    </row>
    <row r="131" spans="1:7" ht="20.149999999999999" customHeight="1">
      <c r="A131" s="3"/>
      <c r="B131" s="21"/>
      <c r="C131" s="25"/>
      <c r="D131" s="14"/>
      <c r="E131" s="290"/>
      <c r="F131" s="214"/>
      <c r="G131" s="12"/>
    </row>
    <row r="132" spans="1:7" ht="20.149999999999999" customHeight="1">
      <c r="A132" s="3"/>
      <c r="B132" s="19" t="s">
        <v>71</v>
      </c>
      <c r="C132" s="11"/>
      <c r="D132" s="14"/>
      <c r="E132" s="200"/>
      <c r="F132" s="212"/>
      <c r="G132" s="12"/>
    </row>
    <row r="133" spans="1:7" ht="20.149999999999999" customHeight="1">
      <c r="A133" s="26">
        <v>1</v>
      </c>
      <c r="B133" s="10" t="s">
        <v>407</v>
      </c>
      <c r="C133" s="11" t="s">
        <v>408</v>
      </c>
      <c r="D133" s="14" t="s">
        <v>297</v>
      </c>
      <c r="E133" s="200">
        <v>950209.06350000005</v>
      </c>
      <c r="F133" s="212">
        <f>E133/2</f>
        <v>475104.53175000002</v>
      </c>
      <c r="G133" s="12"/>
    </row>
    <row r="134" spans="1:7" ht="20.149999999999999" customHeight="1">
      <c r="A134" s="26">
        <v>2</v>
      </c>
      <c r="B134" s="10" t="s">
        <v>229</v>
      </c>
      <c r="C134" s="11" t="s">
        <v>230</v>
      </c>
      <c r="D134" s="14" t="s">
        <v>231</v>
      </c>
      <c r="E134" s="200">
        <v>541465.02474999998</v>
      </c>
      <c r="F134" s="212">
        <f t="shared" ref="F134:F191" si="10">E134/2</f>
        <v>270732.51237499999</v>
      </c>
      <c r="G134" s="12"/>
    </row>
    <row r="135" spans="1:7" ht="20.149999999999999" customHeight="1">
      <c r="A135" s="26">
        <v>3</v>
      </c>
      <c r="B135" s="13" t="s">
        <v>409</v>
      </c>
      <c r="C135" s="3" t="s">
        <v>410</v>
      </c>
      <c r="D135" s="15" t="s">
        <v>308</v>
      </c>
      <c r="E135" s="200">
        <v>577743.99575</v>
      </c>
      <c r="F135" s="212">
        <f t="shared" si="10"/>
        <v>288871.997875</v>
      </c>
      <c r="G135" s="12"/>
    </row>
    <row r="136" spans="1:7" ht="20.149999999999999" customHeight="1">
      <c r="A136" s="26">
        <v>4</v>
      </c>
      <c r="B136" s="10" t="s">
        <v>411</v>
      </c>
      <c r="C136" s="11" t="s">
        <v>412</v>
      </c>
      <c r="D136" s="14" t="s">
        <v>257</v>
      </c>
      <c r="E136" s="200">
        <v>343333.03525000002</v>
      </c>
      <c r="F136" s="212">
        <f t="shared" si="10"/>
        <v>171666.51762500001</v>
      </c>
      <c r="G136" s="12"/>
    </row>
    <row r="137" spans="1:7" ht="20.149999999999999" customHeight="1">
      <c r="A137" s="26">
        <v>5</v>
      </c>
      <c r="B137" s="10" t="s">
        <v>413</v>
      </c>
      <c r="C137" s="3" t="s">
        <v>414</v>
      </c>
      <c r="D137" s="14" t="s">
        <v>257</v>
      </c>
      <c r="E137" s="200">
        <v>343333.03525000002</v>
      </c>
      <c r="F137" s="212">
        <f t="shared" si="10"/>
        <v>171666.51762500001</v>
      </c>
      <c r="G137" s="12"/>
    </row>
    <row r="138" spans="1:7" ht="20.149999999999999" customHeight="1">
      <c r="A138" s="26">
        <v>6</v>
      </c>
      <c r="B138" s="10" t="s">
        <v>415</v>
      </c>
      <c r="C138" s="3" t="s">
        <v>414</v>
      </c>
      <c r="D138" s="14" t="s">
        <v>257</v>
      </c>
      <c r="E138" s="200">
        <v>343333.03525000002</v>
      </c>
      <c r="F138" s="212">
        <f t="shared" si="10"/>
        <v>171666.51762500001</v>
      </c>
      <c r="G138" s="12"/>
    </row>
    <row r="139" spans="1:7" ht="20.149999999999999" customHeight="1">
      <c r="A139" s="26">
        <v>7</v>
      </c>
      <c r="B139" s="10" t="s">
        <v>416</v>
      </c>
      <c r="C139" s="11" t="s">
        <v>417</v>
      </c>
      <c r="D139" s="14" t="s">
        <v>271</v>
      </c>
      <c r="E139" s="200">
        <v>284536.99849999999</v>
      </c>
      <c r="F139" s="212">
        <f t="shared" si="10"/>
        <v>142268.49924999999</v>
      </c>
      <c r="G139" s="12"/>
    </row>
    <row r="140" spans="1:7" ht="20.149999999999999" customHeight="1">
      <c r="A140" s="26">
        <v>8</v>
      </c>
      <c r="B140" s="10" t="s">
        <v>418</v>
      </c>
      <c r="C140" s="11" t="s">
        <v>417</v>
      </c>
      <c r="D140" s="14" t="s">
        <v>271</v>
      </c>
      <c r="E140" s="200">
        <v>284536.99849999999</v>
      </c>
      <c r="F140" s="212">
        <f t="shared" si="10"/>
        <v>142268.49924999999</v>
      </c>
      <c r="G140" s="12"/>
    </row>
    <row r="141" spans="1:7" ht="20.149999999999999" customHeight="1">
      <c r="A141" s="26">
        <v>9</v>
      </c>
      <c r="B141" s="10" t="s">
        <v>419</v>
      </c>
      <c r="C141" s="3" t="s">
        <v>420</v>
      </c>
      <c r="D141" s="14" t="s">
        <v>271</v>
      </c>
      <c r="E141" s="200">
        <v>284536.99849999999</v>
      </c>
      <c r="F141" s="212">
        <f t="shared" si="10"/>
        <v>142268.49924999999</v>
      </c>
      <c r="G141" s="12"/>
    </row>
    <row r="142" spans="1:7" ht="20.149999999999999" customHeight="1">
      <c r="A142" s="26">
        <v>10</v>
      </c>
      <c r="B142" s="10" t="s">
        <v>421</v>
      </c>
      <c r="C142" s="11" t="s">
        <v>422</v>
      </c>
      <c r="D142" s="14" t="s">
        <v>332</v>
      </c>
      <c r="E142" s="200">
        <v>272454.07400000002</v>
      </c>
      <c r="F142" s="212">
        <f t="shared" si="10"/>
        <v>136227.03700000001</v>
      </c>
      <c r="G142" s="12"/>
    </row>
    <row r="143" spans="1:7" ht="20.149999999999999" customHeight="1">
      <c r="A143" s="26">
        <v>11</v>
      </c>
      <c r="B143" s="10" t="s">
        <v>423</v>
      </c>
      <c r="C143" s="11" t="s">
        <v>424</v>
      </c>
      <c r="D143" s="14" t="s">
        <v>42</v>
      </c>
      <c r="E143" s="71">
        <v>265372.07500000001</v>
      </c>
      <c r="F143" s="212">
        <f t="shared" si="10"/>
        <v>132686.03750000001</v>
      </c>
      <c r="G143" s="12"/>
    </row>
    <row r="144" spans="1:7" ht="20.149999999999999" customHeight="1">
      <c r="A144" s="26">
        <v>12</v>
      </c>
      <c r="B144" s="10" t="s">
        <v>425</v>
      </c>
      <c r="C144" s="11" t="s">
        <v>426</v>
      </c>
      <c r="D144" s="14" t="s">
        <v>271</v>
      </c>
      <c r="E144" s="200">
        <v>284536.99849999999</v>
      </c>
      <c r="F144" s="212">
        <f t="shared" si="10"/>
        <v>142268.49924999999</v>
      </c>
      <c r="G144" s="12"/>
    </row>
    <row r="145" spans="1:7" ht="20.149999999999999" customHeight="1">
      <c r="A145" s="26">
        <v>13</v>
      </c>
      <c r="B145" s="17" t="s">
        <v>427</v>
      </c>
      <c r="C145" s="3" t="s">
        <v>428</v>
      </c>
      <c r="D145" s="14" t="s">
        <v>42</v>
      </c>
      <c r="E145" s="71">
        <v>265372.07500000001</v>
      </c>
      <c r="F145" s="212">
        <f t="shared" si="10"/>
        <v>132686.03750000001</v>
      </c>
      <c r="G145" s="12"/>
    </row>
    <row r="146" spans="1:7" ht="20.149999999999999" customHeight="1">
      <c r="A146" s="26">
        <v>14</v>
      </c>
      <c r="B146" s="10" t="s">
        <v>429</v>
      </c>
      <c r="C146" s="3" t="s">
        <v>430</v>
      </c>
      <c r="D146" s="14" t="s">
        <v>301</v>
      </c>
      <c r="E146" s="200">
        <v>237734.04699999999</v>
      </c>
      <c r="F146" s="212">
        <f t="shared" si="10"/>
        <v>118867.0235</v>
      </c>
      <c r="G146" s="12"/>
    </row>
    <row r="147" spans="1:7" ht="20.149999999999999" customHeight="1">
      <c r="A147" s="26">
        <v>15</v>
      </c>
      <c r="B147" s="10" t="s">
        <v>431</v>
      </c>
      <c r="C147" s="3" t="s">
        <v>430</v>
      </c>
      <c r="D147" s="14" t="s">
        <v>345</v>
      </c>
      <c r="E147" s="200">
        <v>237734.04699999999</v>
      </c>
      <c r="F147" s="212">
        <f t="shared" si="10"/>
        <v>118867.0235</v>
      </c>
      <c r="G147" s="12"/>
    </row>
    <row r="148" spans="1:7" ht="20.149999999999999" customHeight="1">
      <c r="A148" s="26">
        <v>16</v>
      </c>
      <c r="B148" s="10" t="s">
        <v>433</v>
      </c>
      <c r="C148" s="3" t="s">
        <v>430</v>
      </c>
      <c r="D148" s="14" t="s">
        <v>345</v>
      </c>
      <c r="E148" s="200">
        <v>237734.04699999999</v>
      </c>
      <c r="F148" s="212">
        <f t="shared" si="10"/>
        <v>118867.0235</v>
      </c>
      <c r="G148" s="12"/>
    </row>
    <row r="149" spans="1:7" ht="20.149999999999999" customHeight="1">
      <c r="A149" s="26">
        <v>17</v>
      </c>
      <c r="B149" s="10" t="s">
        <v>434</v>
      </c>
      <c r="C149" s="11" t="s">
        <v>435</v>
      </c>
      <c r="D149" s="14" t="s">
        <v>38</v>
      </c>
      <c r="E149" s="200">
        <v>228602.07775</v>
      </c>
      <c r="F149" s="212">
        <f t="shared" si="10"/>
        <v>114301.038875</v>
      </c>
      <c r="G149" s="12"/>
    </row>
    <row r="150" spans="1:7" ht="20.149999999999999" customHeight="1">
      <c r="A150" s="26">
        <v>18</v>
      </c>
      <c r="B150" s="10" t="s">
        <v>953</v>
      </c>
      <c r="C150" s="11" t="s">
        <v>437</v>
      </c>
      <c r="D150" s="9" t="s">
        <v>25</v>
      </c>
      <c r="E150" s="200">
        <v>205204.0845</v>
      </c>
      <c r="F150" s="212">
        <f t="shared" si="10"/>
        <v>102602.04225</v>
      </c>
      <c r="G150" s="12"/>
    </row>
    <row r="151" spans="1:7" ht="20.149999999999999" customHeight="1">
      <c r="A151" s="26">
        <v>19</v>
      </c>
      <c r="B151" s="10" t="s">
        <v>438</v>
      </c>
      <c r="C151" s="11" t="s">
        <v>439</v>
      </c>
      <c r="D151" s="14" t="s">
        <v>301</v>
      </c>
      <c r="E151" s="200">
        <v>237734.04699999999</v>
      </c>
      <c r="F151" s="212">
        <f t="shared" si="10"/>
        <v>118867.0235</v>
      </c>
      <c r="G151" s="12"/>
    </row>
    <row r="152" spans="1:7" ht="20.149999999999999" customHeight="1">
      <c r="A152" s="26">
        <v>20</v>
      </c>
      <c r="B152" s="10" t="s">
        <v>440</v>
      </c>
      <c r="C152" s="11" t="s">
        <v>441</v>
      </c>
      <c r="D152" s="14" t="s">
        <v>283</v>
      </c>
      <c r="E152" s="200">
        <v>209356.04725</v>
      </c>
      <c r="F152" s="212">
        <f t="shared" si="10"/>
        <v>104678.023625</v>
      </c>
      <c r="G152" s="12"/>
    </row>
    <row r="153" spans="1:7" ht="20.149999999999999" customHeight="1">
      <c r="A153" s="26">
        <v>21</v>
      </c>
      <c r="B153" s="10" t="s">
        <v>442</v>
      </c>
      <c r="C153" s="11" t="s">
        <v>443</v>
      </c>
      <c r="D153" s="14" t="s">
        <v>301</v>
      </c>
      <c r="E153" s="200">
        <v>237734.04699999999</v>
      </c>
      <c r="F153" s="212">
        <f t="shared" si="10"/>
        <v>118867.0235</v>
      </c>
      <c r="G153" s="12"/>
    </row>
    <row r="154" spans="1:7" ht="20.149999999999999" customHeight="1">
      <c r="A154" s="26">
        <v>22</v>
      </c>
      <c r="B154" s="10" t="s">
        <v>444</v>
      </c>
      <c r="C154" s="11" t="s">
        <v>445</v>
      </c>
      <c r="D154" s="14" t="s">
        <v>283</v>
      </c>
      <c r="E154" s="200">
        <v>209356.04725</v>
      </c>
      <c r="F154" s="212">
        <f t="shared" si="10"/>
        <v>104678.023625</v>
      </c>
      <c r="G154" s="12"/>
    </row>
    <row r="155" spans="1:7" ht="20.149999999999999" customHeight="1">
      <c r="A155" s="26">
        <v>23</v>
      </c>
      <c r="B155" s="17" t="s">
        <v>446</v>
      </c>
      <c r="C155" s="11" t="s">
        <v>447</v>
      </c>
      <c r="D155" s="14" t="s">
        <v>25</v>
      </c>
      <c r="E155" s="71">
        <v>205204.0845</v>
      </c>
      <c r="F155" s="212">
        <f t="shared" si="10"/>
        <v>102602.04225</v>
      </c>
      <c r="G155" s="12"/>
    </row>
    <row r="156" spans="1:7" ht="20.149999999999999" customHeight="1">
      <c r="A156" s="26">
        <v>24</v>
      </c>
      <c r="B156" s="17" t="s">
        <v>448</v>
      </c>
      <c r="C156" s="11" t="s">
        <v>449</v>
      </c>
      <c r="D156" s="14" t="s">
        <v>31</v>
      </c>
      <c r="E156" s="200">
        <v>173329.04949999999</v>
      </c>
      <c r="F156" s="212">
        <f t="shared" si="10"/>
        <v>86664.524749999997</v>
      </c>
      <c r="G156" s="12"/>
    </row>
    <row r="157" spans="1:7" ht="20.149999999999999" customHeight="1">
      <c r="A157" s="26">
        <v>25</v>
      </c>
      <c r="B157" s="17" t="s">
        <v>450</v>
      </c>
      <c r="C157" s="11" t="s">
        <v>451</v>
      </c>
      <c r="D157" s="14" t="s">
        <v>31</v>
      </c>
      <c r="E157" s="200">
        <v>173338.22450000001</v>
      </c>
      <c r="F157" s="212">
        <f t="shared" si="10"/>
        <v>86669.112250000006</v>
      </c>
      <c r="G157" s="12"/>
    </row>
    <row r="158" spans="1:7" ht="20.149999999999999" customHeight="1">
      <c r="A158" s="26">
        <v>26</v>
      </c>
      <c r="B158" s="17" t="s">
        <v>452</v>
      </c>
      <c r="C158" s="11" t="s">
        <v>453</v>
      </c>
      <c r="D158" s="14" t="s">
        <v>31</v>
      </c>
      <c r="E158" s="200">
        <v>173338.22450000001</v>
      </c>
      <c r="F158" s="212">
        <f t="shared" si="10"/>
        <v>86669.112250000006</v>
      </c>
      <c r="G158" s="12"/>
    </row>
    <row r="159" spans="1:7" ht="20.149999999999999" customHeight="1">
      <c r="A159" s="26">
        <v>27</v>
      </c>
      <c r="B159" s="17" t="s">
        <v>454</v>
      </c>
      <c r="C159" s="11" t="s">
        <v>455</v>
      </c>
      <c r="D159" s="14" t="s">
        <v>294</v>
      </c>
      <c r="E159" s="200">
        <v>176816.1</v>
      </c>
      <c r="F159" s="212">
        <f t="shared" si="10"/>
        <v>88408.05</v>
      </c>
      <c r="G159" s="12"/>
    </row>
    <row r="160" spans="1:7" ht="20.149999999999999" customHeight="1">
      <c r="A160" s="26">
        <v>28</v>
      </c>
      <c r="B160" s="17" t="s">
        <v>456</v>
      </c>
      <c r="C160" s="11" t="s">
        <v>451</v>
      </c>
      <c r="D160" s="14" t="s">
        <v>31</v>
      </c>
      <c r="E160" s="200">
        <v>173339.22450000001</v>
      </c>
      <c r="F160" s="212">
        <f t="shared" si="10"/>
        <v>86669.612250000006</v>
      </c>
      <c r="G160" s="12"/>
    </row>
    <row r="161" spans="1:7" ht="20.149999999999999" customHeight="1">
      <c r="A161" s="26">
        <v>29</v>
      </c>
      <c r="B161" s="10" t="s">
        <v>457</v>
      </c>
      <c r="C161" s="11" t="s">
        <v>458</v>
      </c>
      <c r="D161" s="14" t="s">
        <v>465</v>
      </c>
      <c r="E161" s="200">
        <v>135590.73000000001</v>
      </c>
      <c r="F161" s="212">
        <f t="shared" si="10"/>
        <v>67795.365000000005</v>
      </c>
      <c r="G161" s="12"/>
    </row>
    <row r="162" spans="1:7" ht="20.149999999999999" customHeight="1">
      <c r="A162" s="26">
        <v>30</v>
      </c>
      <c r="B162" s="10" t="s">
        <v>460</v>
      </c>
      <c r="C162" s="11" t="s">
        <v>458</v>
      </c>
      <c r="D162" s="14" t="s">
        <v>465</v>
      </c>
      <c r="E162" s="200">
        <v>138590.73000000001</v>
      </c>
      <c r="F162" s="212">
        <f t="shared" si="10"/>
        <v>69295.365000000005</v>
      </c>
      <c r="G162" s="12"/>
    </row>
    <row r="163" spans="1:7" ht="20.149999999999999" customHeight="1">
      <c r="A163" s="26">
        <v>31</v>
      </c>
      <c r="B163" s="10" t="s">
        <v>461</v>
      </c>
      <c r="C163" s="11" t="s">
        <v>458</v>
      </c>
      <c r="D163" s="14" t="s">
        <v>465</v>
      </c>
      <c r="E163" s="200">
        <v>135590.73000000001</v>
      </c>
      <c r="F163" s="212">
        <f t="shared" si="10"/>
        <v>67795.365000000005</v>
      </c>
      <c r="G163" s="12"/>
    </row>
    <row r="164" spans="1:7" ht="20.149999999999999" customHeight="1">
      <c r="A164" s="26">
        <v>32</v>
      </c>
      <c r="B164" s="10" t="s">
        <v>462</v>
      </c>
      <c r="C164" s="11" t="s">
        <v>458</v>
      </c>
      <c r="D164" s="14" t="s">
        <v>465</v>
      </c>
      <c r="E164" s="200">
        <v>135590.73000000001</v>
      </c>
      <c r="F164" s="212">
        <f t="shared" si="10"/>
        <v>67795.365000000005</v>
      </c>
      <c r="G164" s="12"/>
    </row>
    <row r="165" spans="1:7" ht="20.149999999999999" customHeight="1">
      <c r="A165" s="26">
        <v>33</v>
      </c>
      <c r="B165" s="10" t="s">
        <v>463</v>
      </c>
      <c r="C165" s="11" t="s">
        <v>458</v>
      </c>
      <c r="D165" s="14" t="s">
        <v>465</v>
      </c>
      <c r="E165" s="200">
        <v>135590.73000000001</v>
      </c>
      <c r="F165" s="212">
        <f t="shared" si="10"/>
        <v>67795.365000000005</v>
      </c>
      <c r="G165" s="12"/>
    </row>
    <row r="166" spans="1:7" ht="20.149999999999999" customHeight="1">
      <c r="A166" s="26">
        <v>34</v>
      </c>
      <c r="B166" s="10" t="s">
        <v>464</v>
      </c>
      <c r="C166" s="11" t="s">
        <v>458</v>
      </c>
      <c r="D166" s="14" t="s">
        <v>476</v>
      </c>
      <c r="E166" s="200">
        <v>125035.03449999999</v>
      </c>
      <c r="F166" s="212">
        <f t="shared" si="10"/>
        <v>62517.517249999997</v>
      </c>
      <c r="G166" s="12"/>
    </row>
    <row r="167" spans="1:7" ht="20.149999999999999" customHeight="1">
      <c r="A167" s="26">
        <v>35</v>
      </c>
      <c r="B167" s="10" t="s">
        <v>466</v>
      </c>
      <c r="C167" s="11" t="s">
        <v>458</v>
      </c>
      <c r="D167" s="14" t="s">
        <v>476</v>
      </c>
      <c r="E167" s="200">
        <v>122035.03449999999</v>
      </c>
      <c r="F167" s="212">
        <f t="shared" si="10"/>
        <v>61017.517249999997</v>
      </c>
      <c r="G167" s="12"/>
    </row>
    <row r="168" spans="1:7" ht="20.149999999999999" customHeight="1">
      <c r="A168" s="26">
        <v>36</v>
      </c>
      <c r="B168" s="13" t="s">
        <v>467</v>
      </c>
      <c r="C168" s="11" t="s">
        <v>458</v>
      </c>
      <c r="D168" s="14" t="s">
        <v>476</v>
      </c>
      <c r="E168" s="200">
        <v>125035.03449999999</v>
      </c>
      <c r="F168" s="212">
        <f t="shared" si="10"/>
        <v>62517.517249999997</v>
      </c>
      <c r="G168" s="12"/>
    </row>
    <row r="169" spans="1:7" ht="20.149999999999999" customHeight="1">
      <c r="A169" s="26">
        <v>37</v>
      </c>
      <c r="B169" s="10" t="s">
        <v>468</v>
      </c>
      <c r="C169" s="11" t="s">
        <v>458</v>
      </c>
      <c r="D169" s="14" t="s">
        <v>476</v>
      </c>
      <c r="E169" s="200">
        <v>122035.03449999999</v>
      </c>
      <c r="F169" s="212">
        <f t="shared" si="10"/>
        <v>61017.517249999997</v>
      </c>
      <c r="G169" s="12"/>
    </row>
    <row r="170" spans="1:7" ht="20.149999999999999" customHeight="1">
      <c r="A170" s="26">
        <v>38</v>
      </c>
      <c r="B170" s="17" t="s">
        <v>469</v>
      </c>
      <c r="C170" s="11" t="s">
        <v>458</v>
      </c>
      <c r="D170" s="14" t="s">
        <v>476</v>
      </c>
      <c r="E170" s="200">
        <v>122035.03449999999</v>
      </c>
      <c r="F170" s="212">
        <f t="shared" si="10"/>
        <v>61017.517249999997</v>
      </c>
      <c r="G170" s="12"/>
    </row>
    <row r="171" spans="1:7" ht="20.149999999999999" customHeight="1">
      <c r="A171" s="26">
        <v>39</v>
      </c>
      <c r="B171" s="17" t="s">
        <v>470</v>
      </c>
      <c r="C171" s="11" t="s">
        <v>458</v>
      </c>
      <c r="D171" s="14" t="s">
        <v>476</v>
      </c>
      <c r="E171" s="200">
        <v>125035.03449999999</v>
      </c>
      <c r="F171" s="212">
        <f t="shared" si="10"/>
        <v>62517.517249999997</v>
      </c>
      <c r="G171" s="12"/>
    </row>
    <row r="172" spans="1:7" ht="20.149999999999999" customHeight="1">
      <c r="A172" s="26">
        <v>40</v>
      </c>
      <c r="B172" s="10" t="s">
        <v>471</v>
      </c>
      <c r="C172" s="11" t="s">
        <v>472</v>
      </c>
      <c r="D172" s="14" t="s">
        <v>473</v>
      </c>
      <c r="E172" s="71">
        <v>122104.99825</v>
      </c>
      <c r="F172" s="212">
        <f t="shared" si="10"/>
        <v>61052.499125000002</v>
      </c>
      <c r="G172" s="12"/>
    </row>
    <row r="173" spans="1:7" ht="20.149999999999999" customHeight="1">
      <c r="A173" s="26">
        <v>41</v>
      </c>
      <c r="B173" s="10" t="s">
        <v>474</v>
      </c>
      <c r="C173" s="11" t="s">
        <v>472</v>
      </c>
      <c r="D173" s="14" t="s">
        <v>473</v>
      </c>
      <c r="E173" s="71">
        <v>122104.99825</v>
      </c>
      <c r="F173" s="212">
        <f t="shared" si="10"/>
        <v>61052.499125000002</v>
      </c>
      <c r="G173" s="12"/>
    </row>
    <row r="174" spans="1:7" ht="20.149999999999999" customHeight="1">
      <c r="A174" s="26">
        <v>42</v>
      </c>
      <c r="B174" s="17" t="s">
        <v>475</v>
      </c>
      <c r="C174" s="11" t="s">
        <v>472</v>
      </c>
      <c r="D174" s="14" t="s">
        <v>473</v>
      </c>
      <c r="E174" s="71">
        <v>122104.99825</v>
      </c>
      <c r="F174" s="212">
        <f t="shared" si="10"/>
        <v>61052.499125000002</v>
      </c>
      <c r="G174" s="12"/>
    </row>
    <row r="175" spans="1:7" ht="20.149999999999999" customHeight="1">
      <c r="A175" s="26">
        <v>43</v>
      </c>
      <c r="B175" s="10" t="s">
        <v>477</v>
      </c>
      <c r="C175" s="11" t="s">
        <v>478</v>
      </c>
      <c r="D175" s="14" t="s">
        <v>954</v>
      </c>
      <c r="E175" s="200">
        <v>80237.012000000002</v>
      </c>
      <c r="F175" s="212">
        <f t="shared" si="10"/>
        <v>40118.506000000001</v>
      </c>
      <c r="G175" s="12"/>
    </row>
    <row r="176" spans="1:7" ht="20.149999999999999" customHeight="1">
      <c r="A176" s="26">
        <v>44</v>
      </c>
      <c r="B176" s="10" t="s">
        <v>480</v>
      </c>
      <c r="C176" s="11" t="s">
        <v>481</v>
      </c>
      <c r="D176" s="14" t="s">
        <v>955</v>
      </c>
      <c r="E176" s="200">
        <v>78671.023000000001</v>
      </c>
      <c r="F176" s="212">
        <f t="shared" si="10"/>
        <v>39335.511500000001</v>
      </c>
      <c r="G176" s="12"/>
    </row>
    <row r="177" spans="1:7" ht="20.149999999999999" customHeight="1">
      <c r="A177" s="26">
        <v>45</v>
      </c>
      <c r="B177" s="10" t="s">
        <v>483</v>
      </c>
      <c r="C177" s="11" t="s">
        <v>481</v>
      </c>
      <c r="D177" s="14" t="s">
        <v>955</v>
      </c>
      <c r="E177" s="200">
        <v>75671.023000000001</v>
      </c>
      <c r="F177" s="212">
        <f t="shared" si="10"/>
        <v>37835.511500000001</v>
      </c>
      <c r="G177" s="12"/>
    </row>
    <row r="178" spans="1:7" ht="20.149999999999999" customHeight="1">
      <c r="A178" s="26">
        <v>46</v>
      </c>
      <c r="B178" s="10" t="s">
        <v>484</v>
      </c>
      <c r="C178" s="11" t="s">
        <v>481</v>
      </c>
      <c r="D178" s="14" t="s">
        <v>955</v>
      </c>
      <c r="E178" s="200">
        <v>78671.023000000001</v>
      </c>
      <c r="F178" s="212">
        <f t="shared" si="10"/>
        <v>39335.511500000001</v>
      </c>
      <c r="G178" s="12"/>
    </row>
    <row r="179" spans="1:7" ht="20.149999999999999" customHeight="1">
      <c r="A179" s="26">
        <v>47</v>
      </c>
      <c r="B179" s="10" t="s">
        <v>485</v>
      </c>
      <c r="C179" s="11" t="s">
        <v>481</v>
      </c>
      <c r="D179" s="14" t="s">
        <v>955</v>
      </c>
      <c r="E179" s="200">
        <v>75671.023000000001</v>
      </c>
      <c r="F179" s="212">
        <f t="shared" si="10"/>
        <v>37835.511500000001</v>
      </c>
      <c r="G179" s="12"/>
    </row>
    <row r="180" spans="1:7" ht="20.149999999999999" customHeight="1">
      <c r="A180" s="26">
        <v>48</v>
      </c>
      <c r="B180" s="10" t="s">
        <v>486</v>
      </c>
      <c r="C180" s="11" t="s">
        <v>481</v>
      </c>
      <c r="D180" s="14" t="s">
        <v>955</v>
      </c>
      <c r="E180" s="200">
        <v>78671.023000000001</v>
      </c>
      <c r="F180" s="212">
        <f t="shared" si="10"/>
        <v>39335.511500000001</v>
      </c>
      <c r="G180" s="12"/>
    </row>
    <row r="181" spans="1:7" ht="20.149999999999999" customHeight="1">
      <c r="A181" s="26">
        <v>49</v>
      </c>
      <c r="B181" s="17" t="s">
        <v>487</v>
      </c>
      <c r="C181" s="11" t="s">
        <v>481</v>
      </c>
      <c r="D181" s="14" t="s">
        <v>955</v>
      </c>
      <c r="E181" s="200">
        <v>75671.023000000001</v>
      </c>
      <c r="F181" s="212">
        <f t="shared" si="10"/>
        <v>37835.511500000001</v>
      </c>
      <c r="G181" s="12"/>
    </row>
    <row r="182" spans="1:7" ht="20.149999999999999" customHeight="1">
      <c r="A182" s="26">
        <v>50</v>
      </c>
      <c r="B182" s="17" t="s">
        <v>488</v>
      </c>
      <c r="C182" s="11" t="s">
        <v>481</v>
      </c>
      <c r="D182" s="14" t="s">
        <v>955</v>
      </c>
      <c r="E182" s="200">
        <v>78671.023000000001</v>
      </c>
      <c r="F182" s="212">
        <f t="shared" si="10"/>
        <v>39335.511500000001</v>
      </c>
      <c r="G182" s="12"/>
    </row>
    <row r="183" spans="1:7" ht="20.149999999999999" customHeight="1">
      <c r="A183" s="26">
        <v>51</v>
      </c>
      <c r="B183" s="10" t="s">
        <v>489</v>
      </c>
      <c r="C183" s="11" t="s">
        <v>478</v>
      </c>
      <c r="D183" s="14" t="s">
        <v>955</v>
      </c>
      <c r="E183" s="200">
        <v>78671.023000000001</v>
      </c>
      <c r="F183" s="212">
        <f t="shared" si="10"/>
        <v>39335.511500000001</v>
      </c>
      <c r="G183" s="12"/>
    </row>
    <row r="184" spans="1:7" ht="20.149999999999999" customHeight="1">
      <c r="A184" s="26">
        <v>52</v>
      </c>
      <c r="B184" s="10" t="s">
        <v>490</v>
      </c>
      <c r="C184" s="11" t="s">
        <v>478</v>
      </c>
      <c r="D184" s="14" t="s">
        <v>955</v>
      </c>
      <c r="E184" s="200">
        <v>78671.023000000001</v>
      </c>
      <c r="F184" s="212">
        <f t="shared" si="10"/>
        <v>39335.511500000001</v>
      </c>
      <c r="G184" s="12"/>
    </row>
    <row r="185" spans="1:7" ht="20.149999999999999" customHeight="1">
      <c r="A185" s="26">
        <v>53</v>
      </c>
      <c r="B185" s="17" t="s">
        <v>491</v>
      </c>
      <c r="C185" s="11" t="s">
        <v>172</v>
      </c>
      <c r="D185" s="14" t="s">
        <v>502</v>
      </c>
      <c r="E185" s="71">
        <v>77103.749500000005</v>
      </c>
      <c r="F185" s="212">
        <f t="shared" si="10"/>
        <v>38551.874750000003</v>
      </c>
      <c r="G185" s="12"/>
    </row>
    <row r="186" spans="1:7" ht="20.149999999999999" customHeight="1">
      <c r="A186" s="26">
        <v>54</v>
      </c>
      <c r="B186" s="17" t="s">
        <v>493</v>
      </c>
      <c r="C186" s="11" t="s">
        <v>481</v>
      </c>
      <c r="D186" s="14" t="s">
        <v>956</v>
      </c>
      <c r="E186" s="200">
        <v>67328.070250000004</v>
      </c>
      <c r="F186" s="212">
        <f t="shared" si="10"/>
        <v>33664.035125000002</v>
      </c>
      <c r="G186" s="12"/>
    </row>
    <row r="187" spans="1:7" ht="20.149999999999999" customHeight="1">
      <c r="A187" s="26">
        <v>55</v>
      </c>
      <c r="B187" s="17" t="s">
        <v>495</v>
      </c>
      <c r="C187" s="11" t="s">
        <v>496</v>
      </c>
      <c r="D187" s="14" t="s">
        <v>957</v>
      </c>
      <c r="E187" s="333">
        <v>61631.996500000001</v>
      </c>
      <c r="F187" s="212">
        <f t="shared" si="10"/>
        <v>30815.998250000001</v>
      </c>
      <c r="G187" s="12"/>
    </row>
    <row r="188" spans="1:7" ht="20.149999999999999" customHeight="1">
      <c r="A188" s="26">
        <v>56</v>
      </c>
      <c r="B188" s="17" t="s">
        <v>498</v>
      </c>
      <c r="C188" s="11" t="s">
        <v>496</v>
      </c>
      <c r="D188" s="14" t="s">
        <v>957</v>
      </c>
      <c r="E188" s="333">
        <v>61631.996500000001</v>
      </c>
      <c r="F188" s="212">
        <f t="shared" si="10"/>
        <v>30815.998250000001</v>
      </c>
      <c r="G188" s="12"/>
    </row>
    <row r="189" spans="1:7" ht="20.149999999999999" customHeight="1">
      <c r="A189" s="26">
        <v>57</v>
      </c>
      <c r="B189" s="17" t="s">
        <v>499</v>
      </c>
      <c r="C189" s="11" t="s">
        <v>496</v>
      </c>
      <c r="D189" s="14" t="s">
        <v>957</v>
      </c>
      <c r="E189" s="333">
        <v>61631.996500000001</v>
      </c>
      <c r="F189" s="212">
        <f t="shared" si="10"/>
        <v>30815.998250000001</v>
      </c>
      <c r="G189" s="12"/>
    </row>
    <row r="190" spans="1:7" ht="20.149999999999999" customHeight="1">
      <c r="A190" s="26">
        <v>58</v>
      </c>
      <c r="B190" s="17" t="s">
        <v>500</v>
      </c>
      <c r="C190" s="11" t="s">
        <v>501</v>
      </c>
      <c r="D190" s="14" t="s">
        <v>173</v>
      </c>
      <c r="E190" s="200">
        <v>70538.035749999995</v>
      </c>
      <c r="F190" s="212">
        <f t="shared" si="10"/>
        <v>35269.017874999998</v>
      </c>
      <c r="G190" s="12"/>
    </row>
    <row r="191" spans="1:7" ht="20.149999999999999" customHeight="1">
      <c r="A191" s="26">
        <v>59</v>
      </c>
      <c r="B191" s="17" t="s">
        <v>503</v>
      </c>
      <c r="C191" s="11" t="s">
        <v>501</v>
      </c>
      <c r="D191" s="14" t="s">
        <v>173</v>
      </c>
      <c r="E191" s="200">
        <v>70538.035749999995</v>
      </c>
      <c r="F191" s="212">
        <f t="shared" si="10"/>
        <v>35269.017874999998</v>
      </c>
      <c r="G191" s="12"/>
    </row>
    <row r="192" spans="1:7" ht="20.149999999999999" customHeight="1">
      <c r="A192" s="26"/>
      <c r="B192" s="7" t="s">
        <v>34</v>
      </c>
      <c r="C192" s="27" t="s">
        <v>504</v>
      </c>
      <c r="D192" s="28"/>
      <c r="E192" s="79">
        <v>11195475.7585</v>
      </c>
      <c r="F192" s="300">
        <f>SUM(F133:F191)</f>
        <v>5597737.8792500002</v>
      </c>
      <c r="G192" s="12"/>
    </row>
    <row r="193" spans="1:7" ht="19.5" customHeight="1">
      <c r="A193" s="3"/>
      <c r="B193" s="29" t="s">
        <v>80</v>
      </c>
      <c r="C193" s="30">
        <f>C31+C37+C52+C57+C71+C81+C95+C102+C112+C130+C192</f>
        <v>151</v>
      </c>
      <c r="D193" s="31"/>
      <c r="E193" s="208">
        <v>52931904.066892602</v>
      </c>
      <c r="F193" s="208">
        <f>F192+F130+F117+F112+F102+F95+F81+F71+F57+F52+F37+F31</f>
        <v>25569552.508302499</v>
      </c>
      <c r="G193" s="12"/>
    </row>
    <row r="194" spans="1:7" ht="20.149999999999999" customHeight="1">
      <c r="A194" s="2"/>
      <c r="B194" s="32"/>
      <c r="C194" s="2"/>
      <c r="D194" s="33"/>
      <c r="E194" s="209"/>
      <c r="F194" s="210"/>
      <c r="G194" s="34"/>
    </row>
    <row r="195" spans="1:7" ht="36.75" customHeight="1">
      <c r="A195" s="2"/>
      <c r="B195" s="32"/>
      <c r="C195" s="33"/>
      <c r="D195" s="33"/>
      <c r="E195" s="209"/>
      <c r="F195" s="34"/>
    </row>
    <row r="198" spans="1:7" ht="20.149999999999999" customHeight="1">
      <c r="E198" s="34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18" width="19.26953125" style="1" customWidth="1"/>
    <col min="19" max="19" width="20.453125" style="276" customWidth="1"/>
    <col min="20" max="20" width="16.453125" style="1" customWidth="1"/>
    <col min="21" max="22" width="17.7265625" style="1" customWidth="1"/>
    <col min="23" max="23" width="14.54296875" style="1" customWidth="1"/>
    <col min="24" max="24" width="17.81640625" style="1" customWidth="1"/>
    <col min="25" max="25" width="21.7265625" style="1" customWidth="1"/>
    <col min="26" max="16384" width="9.1796875" style="1"/>
  </cols>
  <sheetData>
    <row r="1" spans="1:25" ht="27" customHeight="1">
      <c r="A1" s="764" t="s">
        <v>0</v>
      </c>
      <c r="B1" s="764"/>
      <c r="C1" s="764"/>
      <c r="D1" s="764"/>
      <c r="E1" s="764"/>
      <c r="F1" s="764"/>
      <c r="G1" s="198">
        <f>'[1]FEB 08'!F8/'[1]FEB 08'!Q8</f>
        <v>0.3</v>
      </c>
      <c r="H1" s="198"/>
      <c r="I1" s="198"/>
      <c r="J1" s="198"/>
      <c r="K1" s="198"/>
      <c r="L1" s="198"/>
      <c r="M1" s="198"/>
      <c r="N1" s="198"/>
      <c r="O1" s="198"/>
      <c r="P1" s="198"/>
    </row>
    <row r="2" spans="1:25" ht="33.75" customHeight="1">
      <c r="A2" s="62" t="s">
        <v>934</v>
      </c>
      <c r="B2" s="63"/>
      <c r="C2" s="62"/>
      <c r="D2" s="62"/>
      <c r="E2" s="197"/>
      <c r="F2" s="19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64"/>
      <c r="R2" s="64"/>
      <c r="S2" s="283"/>
      <c r="T2" s="64"/>
      <c r="U2" s="64"/>
      <c r="V2" s="64"/>
      <c r="W2" s="64"/>
      <c r="X2" s="64"/>
    </row>
    <row r="3" spans="1:25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 t="e">
        <f>'[1]FEB 08'!F11/'[1]FEB 08'!Q11</f>
        <v>#REF!</v>
      </c>
      <c r="H3" s="198"/>
      <c r="I3" s="198"/>
      <c r="J3" s="198"/>
      <c r="K3" s="198"/>
      <c r="L3" s="198"/>
      <c r="M3" s="198"/>
      <c r="N3" s="198"/>
      <c r="O3" s="198"/>
      <c r="P3" s="198"/>
    </row>
    <row r="4" spans="1:25" ht="60" customHeight="1">
      <c r="A4" s="3"/>
      <c r="B4" s="5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23" t="s">
        <v>566</v>
      </c>
      <c r="H4" s="23" t="s">
        <v>567</v>
      </c>
      <c r="I4" s="199" t="s">
        <v>568</v>
      </c>
      <c r="J4" s="23" t="s">
        <v>569</v>
      </c>
      <c r="K4" s="23" t="s">
        <v>570</v>
      </c>
      <c r="L4" s="23" t="s">
        <v>571</v>
      </c>
      <c r="M4" s="199" t="s">
        <v>7</v>
      </c>
      <c r="N4" s="199" t="s">
        <v>7</v>
      </c>
      <c r="O4" s="23" t="s">
        <v>572</v>
      </c>
      <c r="P4" s="23" t="s">
        <v>572</v>
      </c>
      <c r="Q4" s="199" t="s">
        <v>8</v>
      </c>
      <c r="R4" s="312" t="s">
        <v>9</v>
      </c>
      <c r="S4" s="23" t="s">
        <v>14</v>
      </c>
      <c r="T4" s="325" t="s">
        <v>17</v>
      </c>
      <c r="U4" s="66" t="s">
        <v>960</v>
      </c>
      <c r="V4" s="299" t="s">
        <v>961</v>
      </c>
      <c r="W4" s="66" t="s">
        <v>148</v>
      </c>
      <c r="X4" s="299" t="s">
        <v>197</v>
      </c>
    </row>
    <row r="5" spans="1:25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68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285" t="s">
        <v>20</v>
      </c>
      <c r="R5" s="7"/>
      <c r="S5" s="286" t="s">
        <v>20</v>
      </c>
      <c r="T5" s="68"/>
      <c r="U5" s="68"/>
      <c r="V5" s="211"/>
      <c r="W5" s="68"/>
      <c r="X5" s="211"/>
    </row>
    <row r="6" spans="1:25" ht="20.149999999999999" customHeight="1">
      <c r="A6" s="8" t="s">
        <v>21</v>
      </c>
      <c r="B6" s="7" t="s">
        <v>22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5"/>
      <c r="R6" s="7"/>
      <c r="S6" s="286"/>
      <c r="T6" s="68"/>
      <c r="U6" s="68"/>
      <c r="V6" s="211"/>
      <c r="W6" s="68"/>
      <c r="X6" s="211"/>
    </row>
    <row r="7" spans="1:25" ht="20.149999999999999" customHeight="1">
      <c r="A7" s="3">
        <v>3</v>
      </c>
      <c r="B7" s="10" t="s">
        <v>261</v>
      </c>
      <c r="C7" s="3" t="s">
        <v>262</v>
      </c>
      <c r="D7" s="9" t="s">
        <v>263</v>
      </c>
      <c r="E7" s="71">
        <v>26339.3</v>
      </c>
      <c r="F7" s="71"/>
      <c r="G7" s="71">
        <f>E7*300%</f>
        <v>79017.899999999994</v>
      </c>
      <c r="H7" s="71">
        <f>E7*7.5%</f>
        <v>1975.4475</v>
      </c>
      <c r="I7" s="71">
        <v>0</v>
      </c>
      <c r="J7" s="71">
        <f>E7*50%</f>
        <v>13169.65</v>
      </c>
      <c r="K7" s="71">
        <f>E7*350%</f>
        <v>92187.55</v>
      </c>
      <c r="L7" s="71">
        <f>E7*100%</f>
        <v>26339.3</v>
      </c>
      <c r="M7" s="201">
        <v>70000</v>
      </c>
      <c r="N7" s="201"/>
      <c r="O7" s="71">
        <f>E7*10%</f>
        <v>2633.93</v>
      </c>
      <c r="P7" s="71">
        <v>15000</v>
      </c>
      <c r="Q7" s="71"/>
      <c r="R7" s="200">
        <f>SUM(E7:Q7)</f>
        <v>326663.07750000001</v>
      </c>
      <c r="S7" s="71">
        <f>42046.06</f>
        <v>42046.06</v>
      </c>
      <c r="T7" s="71">
        <f>42046.06</f>
        <v>42046.06</v>
      </c>
      <c r="U7" s="71"/>
      <c r="V7" s="212">
        <f>R7-T7</f>
        <v>284617.01750000002</v>
      </c>
      <c r="W7" s="12">
        <v>1</v>
      </c>
      <c r="X7" s="313">
        <f>V7*W7</f>
        <v>284617.01750000002</v>
      </c>
    </row>
    <row r="8" spans="1:25" ht="26.25" customHeight="1">
      <c r="A8" s="9"/>
      <c r="B8" s="19" t="s">
        <v>34</v>
      </c>
      <c r="C8" s="20"/>
      <c r="D8" s="14"/>
      <c r="E8" s="202">
        <f t="shared" ref="E8:P8" si="0">SUM(E7:E7)</f>
        <v>26339.3</v>
      </c>
      <c r="F8" s="202">
        <f t="shared" si="0"/>
        <v>0</v>
      </c>
      <c r="G8" s="202">
        <f t="shared" si="0"/>
        <v>79017.899999999994</v>
      </c>
      <c r="H8" s="202">
        <f t="shared" si="0"/>
        <v>1975.4475</v>
      </c>
      <c r="I8" s="202">
        <f t="shared" si="0"/>
        <v>0</v>
      </c>
      <c r="J8" s="202">
        <f t="shared" si="0"/>
        <v>13169.65</v>
      </c>
      <c r="K8" s="202">
        <f t="shared" si="0"/>
        <v>92187.55</v>
      </c>
      <c r="L8" s="202">
        <f t="shared" si="0"/>
        <v>26339.3</v>
      </c>
      <c r="M8" s="202">
        <f t="shared" si="0"/>
        <v>70000</v>
      </c>
      <c r="N8" s="202">
        <f t="shared" si="0"/>
        <v>0</v>
      </c>
      <c r="O8" s="202">
        <f t="shared" si="0"/>
        <v>2633.93</v>
      </c>
      <c r="P8" s="202">
        <f t="shared" si="0"/>
        <v>15000</v>
      </c>
      <c r="R8" s="326">
        <f>SUM(R7)</f>
        <v>326663.07750000001</v>
      </c>
      <c r="S8" s="202">
        <f>SUM(S7:S7)</f>
        <v>42046.06</v>
      </c>
      <c r="T8" s="202">
        <f>SUM(T7:T7)</f>
        <v>42046.06</v>
      </c>
      <c r="U8" s="202">
        <f>SUM(U7:U7)</f>
        <v>0</v>
      </c>
      <c r="V8" s="213">
        <f>SUM(V7:V7)</f>
        <v>284617.01750000002</v>
      </c>
      <c r="W8" s="202"/>
      <c r="X8" s="213">
        <f>SUM(X7:X7)</f>
        <v>284617.01750000002</v>
      </c>
      <c r="Y8" s="12"/>
    </row>
    <row r="9" spans="1:25" ht="20.149999999999999" customHeight="1">
      <c r="A9" s="9"/>
      <c r="B9" s="13"/>
      <c r="C9" s="3"/>
      <c r="D9" s="9"/>
      <c r="E9" s="202"/>
      <c r="F9" s="202"/>
      <c r="G9" s="202"/>
      <c r="H9" s="202"/>
      <c r="I9" s="202"/>
      <c r="J9" s="202"/>
      <c r="K9" s="202"/>
      <c r="L9" s="201"/>
      <c r="M9" s="201"/>
      <c r="N9" s="202"/>
      <c r="O9" s="202"/>
      <c r="P9" s="202"/>
      <c r="Q9" s="288"/>
      <c r="R9" s="327"/>
      <c r="S9" s="289"/>
      <c r="T9" s="202"/>
      <c r="U9" s="71"/>
      <c r="V9" s="212"/>
      <c r="W9" s="202"/>
      <c r="X9" s="212"/>
      <c r="Y9" s="12"/>
    </row>
    <row r="10" spans="1:25" ht="20.149999999999999" customHeight="1">
      <c r="A10" s="9"/>
      <c r="B10" s="22" t="s">
        <v>962</v>
      </c>
      <c r="C10" s="4"/>
      <c r="D10" s="23"/>
      <c r="E10" s="202"/>
      <c r="F10" s="202"/>
      <c r="G10" s="71"/>
      <c r="H10" s="71"/>
      <c r="I10" s="71"/>
      <c r="J10" s="71"/>
      <c r="K10" s="71"/>
      <c r="L10" s="201"/>
      <c r="M10" s="201"/>
      <c r="N10" s="71"/>
      <c r="O10" s="71"/>
      <c r="P10" s="71"/>
      <c r="Q10" s="200"/>
      <c r="R10" s="23"/>
      <c r="S10" s="287"/>
      <c r="T10" s="71"/>
      <c r="U10" s="71"/>
      <c r="V10" s="212"/>
      <c r="W10" s="71"/>
      <c r="X10" s="212"/>
      <c r="Y10" s="12"/>
    </row>
    <row r="11" spans="1:25" ht="21.65" customHeight="1">
      <c r="A11" s="9">
        <v>10</v>
      </c>
      <c r="B11" s="10" t="s">
        <v>337</v>
      </c>
      <c r="C11" s="3" t="s">
        <v>63</v>
      </c>
      <c r="D11" s="9" t="s">
        <v>38</v>
      </c>
      <c r="E11" s="71">
        <v>17286.330000000002</v>
      </c>
      <c r="F11" s="71"/>
      <c r="G11" s="71">
        <f t="shared" ref="G11" si="1">E11*300%</f>
        <v>51858.99</v>
      </c>
      <c r="H11" s="71">
        <f t="shared" ref="H11" si="2">E11*7.5%</f>
        <v>1296.4747500000001</v>
      </c>
      <c r="I11" s="71"/>
      <c r="J11" s="71">
        <f t="shared" ref="J11" si="3">E11*50%</f>
        <v>8643.1650000000009</v>
      </c>
      <c r="K11" s="71">
        <f t="shared" ref="K11" si="4">E11*350%</f>
        <v>60502.154999999999</v>
      </c>
      <c r="L11" s="71">
        <f t="shared" ref="L11" si="5">E11*100%</f>
        <v>17286.330000000002</v>
      </c>
      <c r="M11" s="201">
        <v>100000</v>
      </c>
      <c r="N11" s="201"/>
      <c r="O11" s="71">
        <f t="shared" ref="O11" si="6">E11*10%</f>
        <v>1728.633</v>
      </c>
      <c r="P11" s="71">
        <v>10000</v>
      </c>
      <c r="Q11" s="71"/>
      <c r="R11" s="200">
        <f t="shared" ref="R11" si="7">SUM(E11:Q11)</f>
        <v>268602.07775</v>
      </c>
      <c r="S11" s="71">
        <f>32291.82</f>
        <v>32291.82</v>
      </c>
      <c r="T11" s="71">
        <f>32291.82</f>
        <v>32291.82</v>
      </c>
      <c r="U11" s="71"/>
      <c r="V11" s="212">
        <f>R11-T11</f>
        <v>236310.25774999999</v>
      </c>
      <c r="W11" s="12">
        <f>(25/31)+2</f>
        <v>2.80645161290323</v>
      </c>
      <c r="X11" s="1">
        <f>V11*W11</f>
        <v>663193.30400806502</v>
      </c>
    </row>
    <row r="12" spans="1:25" ht="25.5" customHeight="1">
      <c r="A12" s="9"/>
      <c r="B12" s="19" t="s">
        <v>34</v>
      </c>
      <c r="C12" s="20"/>
      <c r="D12" s="20"/>
      <c r="E12" s="79">
        <f t="shared" ref="E12:X12" si="8">SUM(E11:E11)</f>
        <v>17286.330000000002</v>
      </c>
      <c r="F12" s="79">
        <f t="shared" si="8"/>
        <v>0</v>
      </c>
      <c r="G12" s="79">
        <f t="shared" si="8"/>
        <v>51858.99</v>
      </c>
      <c r="H12" s="79">
        <f t="shared" si="8"/>
        <v>1296.4747500000001</v>
      </c>
      <c r="I12" s="79">
        <f t="shared" si="8"/>
        <v>0</v>
      </c>
      <c r="J12" s="79">
        <f t="shared" si="8"/>
        <v>8643.1650000000009</v>
      </c>
      <c r="K12" s="79">
        <f t="shared" si="8"/>
        <v>60502.154999999999</v>
      </c>
      <c r="L12" s="79">
        <f t="shared" si="8"/>
        <v>17286.330000000002</v>
      </c>
      <c r="M12" s="79">
        <f t="shared" si="8"/>
        <v>100000</v>
      </c>
      <c r="N12" s="79">
        <f t="shared" si="8"/>
        <v>0</v>
      </c>
      <c r="O12" s="79">
        <f t="shared" si="8"/>
        <v>1728.633</v>
      </c>
      <c r="P12" s="79">
        <f t="shared" si="8"/>
        <v>10000</v>
      </c>
      <c r="Q12" s="79">
        <f t="shared" si="8"/>
        <v>0</v>
      </c>
      <c r="R12" s="79">
        <f t="shared" si="8"/>
        <v>268602.07775</v>
      </c>
      <c r="S12" s="79">
        <f t="shared" si="8"/>
        <v>32291.82</v>
      </c>
      <c r="T12" s="79">
        <f t="shared" si="8"/>
        <v>32291.82</v>
      </c>
      <c r="U12" s="79">
        <f t="shared" si="8"/>
        <v>0</v>
      </c>
      <c r="V12" s="79">
        <f t="shared" si="8"/>
        <v>236310.25774999999</v>
      </c>
      <c r="W12" s="79">
        <f t="shared" si="8"/>
        <v>2.80645161290323</v>
      </c>
      <c r="X12" s="79">
        <f t="shared" si="8"/>
        <v>663193.30400806502</v>
      </c>
      <c r="Y12" s="12"/>
    </row>
    <row r="13" spans="1:25" ht="20.149999999999999" customHeight="1">
      <c r="A13" s="9"/>
      <c r="B13" s="19"/>
      <c r="C13" s="20"/>
      <c r="D13" s="20"/>
      <c r="E13" s="133"/>
      <c r="F13" s="133"/>
      <c r="G13" s="133"/>
      <c r="H13" s="133"/>
      <c r="I13" s="133"/>
      <c r="J13" s="133"/>
      <c r="K13" s="133"/>
      <c r="L13" s="201"/>
      <c r="M13" s="201"/>
      <c r="N13" s="133"/>
      <c r="O13" s="133"/>
      <c r="P13" s="133"/>
      <c r="Q13" s="290"/>
      <c r="R13" s="20"/>
      <c r="S13" s="291"/>
      <c r="T13" s="133"/>
      <c r="U13" s="71"/>
      <c r="V13" s="212"/>
      <c r="W13" s="133"/>
      <c r="X13" s="212"/>
      <c r="Y13" s="12"/>
    </row>
    <row r="14" spans="1:25" ht="19.5" customHeight="1">
      <c r="A14" s="3"/>
      <c r="B14" s="29" t="s">
        <v>80</v>
      </c>
      <c r="C14" s="30"/>
      <c r="D14" s="31"/>
      <c r="E14" s="208">
        <f>E8+E12</f>
        <v>43625.63</v>
      </c>
      <c r="F14" s="208">
        <f t="shared" ref="F14:X14" si="9">F8+F12</f>
        <v>0</v>
      </c>
      <c r="G14" s="208">
        <f t="shared" si="9"/>
        <v>130876.89</v>
      </c>
      <c r="H14" s="208">
        <f t="shared" si="9"/>
        <v>3271.9222500000001</v>
      </c>
      <c r="I14" s="208">
        <f t="shared" si="9"/>
        <v>0</v>
      </c>
      <c r="J14" s="208">
        <f t="shared" si="9"/>
        <v>21812.814999999999</v>
      </c>
      <c r="K14" s="208">
        <f t="shared" si="9"/>
        <v>152689.70499999999</v>
      </c>
      <c r="L14" s="208">
        <f t="shared" si="9"/>
        <v>43625.63</v>
      </c>
      <c r="M14" s="208">
        <f t="shared" si="9"/>
        <v>170000</v>
      </c>
      <c r="N14" s="208">
        <f t="shared" si="9"/>
        <v>0</v>
      </c>
      <c r="O14" s="208">
        <f t="shared" si="9"/>
        <v>4362.5630000000001</v>
      </c>
      <c r="P14" s="208">
        <f t="shared" si="9"/>
        <v>25000</v>
      </c>
      <c r="Q14" s="208">
        <f t="shared" si="9"/>
        <v>0</v>
      </c>
      <c r="R14" s="208">
        <f t="shared" si="9"/>
        <v>595265.15524999995</v>
      </c>
      <c r="S14" s="208">
        <f t="shared" si="9"/>
        <v>74337.88</v>
      </c>
      <c r="T14" s="208">
        <f t="shared" si="9"/>
        <v>74337.88</v>
      </c>
      <c r="U14" s="208">
        <f t="shared" si="9"/>
        <v>0</v>
      </c>
      <c r="V14" s="208">
        <f t="shared" si="9"/>
        <v>520927.27525000001</v>
      </c>
      <c r="W14" s="208"/>
      <c r="X14" s="208">
        <f t="shared" si="9"/>
        <v>947810.32150806498</v>
      </c>
      <c r="Y14" s="12"/>
    </row>
    <row r="15" spans="1:25" ht="20.149999999999999" customHeight="1">
      <c r="A15" s="2"/>
      <c r="B15" s="32"/>
      <c r="C15" s="2"/>
      <c r="D15" s="33"/>
      <c r="E15" s="33"/>
      <c r="F15" s="33"/>
      <c r="G15" s="33"/>
      <c r="H15" s="33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96"/>
      <c r="T15" s="210"/>
      <c r="U15" s="210"/>
      <c r="V15" s="210"/>
      <c r="W15" s="210"/>
      <c r="X15" s="210"/>
      <c r="Y15" s="34"/>
    </row>
    <row r="16" spans="1:25" ht="36.75" customHeight="1">
      <c r="A16" s="2"/>
      <c r="B16" s="32"/>
      <c r="C16" s="33"/>
      <c r="D16" s="33"/>
      <c r="E16" s="33"/>
      <c r="F16" s="33"/>
      <c r="G16" s="33"/>
      <c r="H16" s="33"/>
      <c r="I16" s="209"/>
      <c r="J16" s="209"/>
      <c r="K16" s="209"/>
      <c r="L16" s="209"/>
      <c r="M16" s="209"/>
      <c r="N16" s="209"/>
      <c r="O16" s="209"/>
      <c r="Q16" s="209"/>
      <c r="R16" s="209"/>
      <c r="S16" s="296"/>
      <c r="T16" s="210"/>
      <c r="U16" s="210"/>
      <c r="V16" s="210"/>
      <c r="W16" s="210"/>
      <c r="X16" s="210"/>
    </row>
    <row r="19" spans="17:18" ht="20.149999999999999" customHeight="1">
      <c r="Q19" s="34"/>
      <c r="R19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796875" defaultRowHeight="20.149999999999999" customHeight="1"/>
  <cols>
    <col min="1" max="1" width="5.453125" style="1" customWidth="1"/>
    <col min="2" max="2" width="37.1796875" style="1" customWidth="1"/>
    <col min="3" max="3" width="37.2695312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18" width="19.26953125" style="1" customWidth="1"/>
    <col min="19" max="19" width="20.453125" style="276" customWidth="1"/>
    <col min="20" max="20" width="16.453125" style="1" customWidth="1"/>
    <col min="21" max="22" width="17.7265625" style="1" customWidth="1"/>
    <col min="23" max="23" width="14.54296875" style="1" customWidth="1"/>
    <col min="24" max="24" width="17.81640625" style="1" customWidth="1"/>
    <col min="25" max="25" width="21.7265625" style="1" customWidth="1"/>
    <col min="26" max="26" width="18.81640625" style="1" customWidth="1"/>
    <col min="27" max="27" width="17.7265625" style="1" customWidth="1"/>
    <col min="28" max="28" width="15.7265625" style="1" customWidth="1"/>
    <col min="29" max="29" width="18.26953125" style="1" customWidth="1"/>
    <col min="30" max="30" width="17.7265625" style="1" customWidth="1"/>
    <col min="31" max="31" width="19.81640625" style="1" customWidth="1"/>
    <col min="32" max="16384" width="9.1796875" style="1"/>
  </cols>
  <sheetData>
    <row r="1" spans="1:31" ht="27" customHeight="1">
      <c r="A1" s="764" t="s">
        <v>0</v>
      </c>
      <c r="B1" s="764"/>
      <c r="C1" s="764"/>
      <c r="D1" s="764"/>
      <c r="E1" s="764"/>
      <c r="F1" s="764"/>
      <c r="G1" s="198">
        <f>'[1]FEB 08'!F8/'[1]FEB 08'!Q8</f>
        <v>0.3</v>
      </c>
      <c r="H1" s="198"/>
      <c r="I1" s="198"/>
      <c r="J1" s="198"/>
      <c r="K1" s="198"/>
      <c r="L1" s="198"/>
      <c r="M1" s="198"/>
      <c r="N1" s="198"/>
      <c r="O1" s="198"/>
      <c r="P1" s="198"/>
    </row>
    <row r="2" spans="1:31" ht="33.75" customHeight="1">
      <c r="A2" s="62" t="s">
        <v>934</v>
      </c>
      <c r="B2" s="63"/>
      <c r="C2" s="62"/>
      <c r="D2" s="62"/>
      <c r="E2" s="197"/>
      <c r="F2" s="19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64"/>
      <c r="R2" s="64"/>
      <c r="S2" s="283"/>
      <c r="T2" s="64"/>
      <c r="U2" s="64"/>
      <c r="V2" s="64"/>
      <c r="W2" s="64"/>
      <c r="X2" s="64"/>
    </row>
    <row r="3" spans="1:31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 t="e">
        <f>'[1]FEB 08'!F11/'[1]FEB 08'!Q11</f>
        <v>#REF!</v>
      </c>
      <c r="H3" s="198"/>
      <c r="I3" s="198"/>
      <c r="J3" s="198"/>
      <c r="K3" s="198"/>
      <c r="L3" s="198"/>
      <c r="M3" s="198"/>
      <c r="N3" s="198"/>
      <c r="O3" s="198"/>
      <c r="P3" s="198"/>
    </row>
    <row r="4" spans="1:31" ht="62.25" customHeight="1">
      <c r="A4" s="3"/>
      <c r="B4" s="4" t="s">
        <v>2</v>
      </c>
      <c r="C4" s="5" t="s">
        <v>3</v>
      </c>
      <c r="D4" s="6" t="s">
        <v>4</v>
      </c>
      <c r="E4" s="199" t="s">
        <v>5</v>
      </c>
      <c r="F4" s="199" t="s">
        <v>6</v>
      </c>
      <c r="G4" s="23" t="s">
        <v>566</v>
      </c>
      <c r="H4" s="23" t="s">
        <v>567</v>
      </c>
      <c r="I4" s="199" t="s">
        <v>568</v>
      </c>
      <c r="J4" s="23" t="s">
        <v>569</v>
      </c>
      <c r="K4" s="23" t="s">
        <v>570</v>
      </c>
      <c r="L4" s="23" t="s">
        <v>571</v>
      </c>
      <c r="M4" s="199" t="s">
        <v>7</v>
      </c>
      <c r="N4" s="199" t="s">
        <v>7</v>
      </c>
      <c r="O4" s="23" t="s">
        <v>572</v>
      </c>
      <c r="P4" s="23" t="s">
        <v>572</v>
      </c>
      <c r="Q4" s="199" t="s">
        <v>8</v>
      </c>
      <c r="R4" s="312" t="s">
        <v>9</v>
      </c>
      <c r="S4" s="6" t="s">
        <v>936</v>
      </c>
      <c r="T4" s="284" t="s">
        <v>542</v>
      </c>
      <c r="U4" s="66" t="s">
        <v>937</v>
      </c>
      <c r="V4" s="66" t="s">
        <v>938</v>
      </c>
      <c r="W4" s="66" t="s">
        <v>939</v>
      </c>
      <c r="X4" s="66" t="s">
        <v>940</v>
      </c>
      <c r="Y4" s="66" t="s">
        <v>516</v>
      </c>
      <c r="Z4" s="297" t="s">
        <v>941</v>
      </c>
      <c r="AA4" s="298" t="s">
        <v>942</v>
      </c>
      <c r="AB4" s="66" t="s">
        <v>148</v>
      </c>
      <c r="AC4" s="299" t="s">
        <v>197</v>
      </c>
      <c r="AD4" s="299" t="s">
        <v>963</v>
      </c>
      <c r="AE4" s="299" t="s">
        <v>964</v>
      </c>
    </row>
    <row r="5" spans="1:31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68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285" t="s">
        <v>20</v>
      </c>
      <c r="R5" s="7"/>
      <c r="S5" s="286" t="s">
        <v>20</v>
      </c>
      <c r="T5" s="68"/>
      <c r="U5" s="68"/>
      <c r="V5" s="211"/>
      <c r="W5" s="68"/>
      <c r="X5" s="211"/>
    </row>
    <row r="6" spans="1:31" ht="20.149999999999999" customHeight="1">
      <c r="A6" s="8" t="s">
        <v>21</v>
      </c>
      <c r="B6" s="7" t="s">
        <v>965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5"/>
      <c r="R6" s="7"/>
      <c r="S6" s="286"/>
      <c r="T6" s="68"/>
      <c r="U6" s="68"/>
      <c r="V6" s="211"/>
      <c r="W6" s="68"/>
      <c r="X6" s="211"/>
    </row>
    <row r="7" spans="1:31" ht="20.149999999999999" customHeight="1">
      <c r="A7" s="3"/>
      <c r="B7" s="10"/>
      <c r="C7" s="3"/>
      <c r="D7" s="9"/>
      <c r="E7" s="71"/>
      <c r="F7" s="71"/>
      <c r="G7" s="71"/>
      <c r="H7" s="71"/>
      <c r="I7" s="71"/>
      <c r="J7" s="71"/>
      <c r="K7" s="71"/>
      <c r="L7" s="71"/>
      <c r="M7" s="201"/>
      <c r="N7" s="201"/>
      <c r="O7" s="71"/>
      <c r="P7" s="71"/>
      <c r="Q7" s="71"/>
      <c r="R7" s="200"/>
      <c r="S7" s="71"/>
      <c r="T7" s="71"/>
      <c r="U7" s="71"/>
      <c r="V7" s="212"/>
      <c r="W7" s="12"/>
      <c r="X7" s="313"/>
    </row>
    <row r="8" spans="1:31" s="304" customFormat="1" ht="20.149999999999999" customHeight="1">
      <c r="A8" s="305">
        <v>40</v>
      </c>
      <c r="B8" s="306" t="s">
        <v>471</v>
      </c>
      <c r="C8" s="307" t="s">
        <v>472</v>
      </c>
      <c r="D8" s="308" t="s">
        <v>473</v>
      </c>
      <c r="E8" s="309">
        <v>5428.12</v>
      </c>
      <c r="F8" s="310"/>
      <c r="G8" s="309">
        <f t="shared" ref="G8:G10" si="0">E8*300%</f>
        <v>16284.36</v>
      </c>
      <c r="H8" s="309">
        <f t="shared" ref="H8:H10" si="1">E8*7.5%</f>
        <v>407.10899999999998</v>
      </c>
      <c r="I8" s="309"/>
      <c r="J8" s="309">
        <f t="shared" ref="J8:J10" si="2">E8*50%</f>
        <v>2714.06</v>
      </c>
      <c r="K8" s="309">
        <f t="shared" ref="K8:K10" si="3">E8*350%</f>
        <v>18998.419999999998</v>
      </c>
      <c r="L8" s="309">
        <f t="shared" ref="L8:L10" si="4">E8*100%</f>
        <v>5428.12</v>
      </c>
      <c r="M8" s="310"/>
      <c r="N8" s="310">
        <f>20000</f>
        <v>20000</v>
      </c>
      <c r="O8" s="309">
        <f t="shared" ref="O8:O10" si="5">E8*10%</f>
        <v>542.81200000000001</v>
      </c>
      <c r="P8" s="309">
        <v>5000</v>
      </c>
      <c r="Q8" s="309">
        <f>7000</f>
        <v>7000</v>
      </c>
      <c r="R8" s="309">
        <f t="shared" ref="R8:R10" si="6">SUM(E8:Q8)</f>
        <v>81803.001000000004</v>
      </c>
      <c r="S8" s="314" t="s">
        <v>473</v>
      </c>
      <c r="T8" s="309">
        <f>122105</f>
        <v>122105</v>
      </c>
      <c r="U8" s="309">
        <f>T8-R8</f>
        <v>40301.999000000003</v>
      </c>
      <c r="V8" s="309"/>
      <c r="W8" s="309"/>
      <c r="X8" s="71">
        <v>4365.3307546666701</v>
      </c>
      <c r="Y8" s="309">
        <f>9152.6</f>
        <v>9152.6</v>
      </c>
      <c r="Z8" s="212">
        <f>Y8-X8</f>
        <v>4787.2692453333302</v>
      </c>
      <c r="AA8" s="318">
        <f>U8-Z8</f>
        <v>35514.729754666703</v>
      </c>
      <c r="AB8" s="319">
        <f>(11/31)+3</f>
        <v>3.3548387096774199</v>
      </c>
      <c r="AC8" s="320">
        <f>AA8*AB8</f>
        <v>119146.19014468799</v>
      </c>
      <c r="AD8" s="53">
        <f>66227.57</f>
        <v>66227.570000000007</v>
      </c>
      <c r="AE8" s="321">
        <f>AC8-AD8</f>
        <v>52918.620144688102</v>
      </c>
    </row>
    <row r="9" spans="1:31" s="304" customFormat="1" ht="20.149999999999999" customHeight="1">
      <c r="A9" s="305">
        <v>41</v>
      </c>
      <c r="B9" s="306" t="s">
        <v>474</v>
      </c>
      <c r="C9" s="307" t="s">
        <v>472</v>
      </c>
      <c r="D9" s="308" t="s">
        <v>473</v>
      </c>
      <c r="E9" s="309">
        <v>5428.12</v>
      </c>
      <c r="F9" s="310"/>
      <c r="G9" s="309">
        <f t="shared" si="0"/>
        <v>16284.36</v>
      </c>
      <c r="H9" s="309">
        <f t="shared" si="1"/>
        <v>407.10899999999998</v>
      </c>
      <c r="I9" s="309"/>
      <c r="J9" s="309">
        <f t="shared" si="2"/>
        <v>2714.06</v>
      </c>
      <c r="K9" s="309">
        <f t="shared" si="3"/>
        <v>18998.419999999998</v>
      </c>
      <c r="L9" s="309">
        <f t="shared" si="4"/>
        <v>5428.12</v>
      </c>
      <c r="M9" s="310"/>
      <c r="N9" s="310">
        <f>20000</f>
        <v>20000</v>
      </c>
      <c r="O9" s="309">
        <f t="shared" si="5"/>
        <v>542.81200000000001</v>
      </c>
      <c r="P9" s="309">
        <v>5000</v>
      </c>
      <c r="Q9" s="309">
        <f>7000</f>
        <v>7000</v>
      </c>
      <c r="R9" s="309">
        <f t="shared" si="6"/>
        <v>81803.001000000004</v>
      </c>
      <c r="S9" s="314" t="s">
        <v>473</v>
      </c>
      <c r="T9" s="309">
        <f t="shared" ref="T9:T10" si="7">122105</f>
        <v>122105</v>
      </c>
      <c r="U9" s="309">
        <f t="shared" ref="U9:U10" si="8">T9-R9</f>
        <v>40301.999000000003</v>
      </c>
      <c r="V9" s="309"/>
      <c r="W9" s="309"/>
      <c r="X9" s="71">
        <f>4365.33075466667</f>
        <v>4365.3307546666701</v>
      </c>
      <c r="Y9" s="309">
        <f t="shared" ref="Y9:Y10" si="9">9152.6</f>
        <v>9152.6</v>
      </c>
      <c r="Z9" s="212">
        <f t="shared" ref="Z9:Z10" si="10">Y9-X9</f>
        <v>4787.2692453333302</v>
      </c>
      <c r="AA9" s="318">
        <f t="shared" ref="AA9:AA10" si="11">U9-Z9</f>
        <v>35514.729754666703</v>
      </c>
      <c r="AB9" s="319">
        <f>(17/31)+2</f>
        <v>2.54838709677419</v>
      </c>
      <c r="AC9" s="320">
        <f t="shared" ref="AC9:AC10" si="12">AA9*AB9</f>
        <v>90505.279052215003</v>
      </c>
      <c r="AD9" s="212">
        <v>44151.71</v>
      </c>
      <c r="AE9" s="321">
        <f t="shared" ref="AE9:AE10" si="13">AC9-AD9</f>
        <v>46353.569052215003</v>
      </c>
    </row>
    <row r="10" spans="1:31" s="304" customFormat="1" ht="20.149999999999999" customHeight="1">
      <c r="A10" s="305">
        <v>42</v>
      </c>
      <c r="B10" s="311" t="s">
        <v>475</v>
      </c>
      <c r="C10" s="307" t="s">
        <v>472</v>
      </c>
      <c r="D10" s="308" t="s">
        <v>473</v>
      </c>
      <c r="E10" s="309">
        <v>5598.92</v>
      </c>
      <c r="F10" s="310"/>
      <c r="G10" s="309">
        <f t="shared" si="0"/>
        <v>16796.759999999998</v>
      </c>
      <c r="H10" s="309">
        <f t="shared" si="1"/>
        <v>419.91899999999998</v>
      </c>
      <c r="I10" s="309"/>
      <c r="J10" s="309">
        <f t="shared" si="2"/>
        <v>2799.46</v>
      </c>
      <c r="K10" s="309">
        <f t="shared" si="3"/>
        <v>19596.22</v>
      </c>
      <c r="L10" s="309">
        <f t="shared" si="4"/>
        <v>5598.92</v>
      </c>
      <c r="M10" s="310"/>
      <c r="N10" s="310">
        <f>20000</f>
        <v>20000</v>
      </c>
      <c r="O10" s="309">
        <f t="shared" si="5"/>
        <v>559.89200000000005</v>
      </c>
      <c r="P10" s="309">
        <v>5000</v>
      </c>
      <c r="Q10" s="309">
        <f>7000</f>
        <v>7000</v>
      </c>
      <c r="R10" s="309">
        <f t="shared" si="6"/>
        <v>83370.091</v>
      </c>
      <c r="S10" s="314" t="s">
        <v>473</v>
      </c>
      <c r="T10" s="309">
        <f t="shared" si="7"/>
        <v>122105</v>
      </c>
      <c r="U10" s="309">
        <f t="shared" si="8"/>
        <v>38734.909</v>
      </c>
      <c r="V10" s="309"/>
      <c r="W10" s="309"/>
      <c r="X10" s="71">
        <v>4504.4109200000003</v>
      </c>
      <c r="Y10" s="309">
        <f t="shared" si="9"/>
        <v>9152.6</v>
      </c>
      <c r="Z10" s="212">
        <f t="shared" si="10"/>
        <v>4648.1890800000001</v>
      </c>
      <c r="AA10" s="318">
        <f t="shared" si="11"/>
        <v>34086.719920000003</v>
      </c>
      <c r="AB10" s="319">
        <v>9</v>
      </c>
      <c r="AC10" s="320">
        <f t="shared" si="12"/>
        <v>306780.47928000003</v>
      </c>
      <c r="AD10" s="212">
        <v>216693.09</v>
      </c>
      <c r="AE10" s="321">
        <f t="shared" si="13"/>
        <v>90087.389280000003</v>
      </c>
    </row>
    <row r="11" spans="1:31" s="304" customFormat="1" ht="20.149999999999999" customHeight="1">
      <c r="A11" s="305"/>
      <c r="B11" s="311"/>
      <c r="C11" s="307"/>
      <c r="D11" s="308"/>
      <c r="E11" s="309"/>
      <c r="F11" s="310"/>
      <c r="G11" s="309"/>
      <c r="H11" s="309"/>
      <c r="I11" s="309"/>
      <c r="J11" s="309"/>
      <c r="K11" s="309"/>
      <c r="L11" s="309"/>
      <c r="M11" s="310"/>
      <c r="N11" s="310"/>
      <c r="O11" s="309"/>
      <c r="P11" s="309"/>
      <c r="Q11" s="309"/>
      <c r="R11" s="309"/>
      <c r="S11" s="309"/>
      <c r="T11" s="309"/>
      <c r="U11" s="309"/>
      <c r="V11" s="309"/>
      <c r="W11" s="315"/>
      <c r="X11" s="316"/>
      <c r="Y11" s="315"/>
      <c r="Z11" s="322"/>
      <c r="AA11" s="323"/>
      <c r="AE11" s="324">
        <f>SUM(AE8:AE10)</f>
        <v>189359.578476903</v>
      </c>
    </row>
    <row r="12" spans="1:31" ht="21.65" customHeight="1">
      <c r="A12" s="9"/>
      <c r="B12" s="10"/>
      <c r="C12" s="3"/>
      <c r="D12" s="9"/>
      <c r="E12" s="71"/>
      <c r="F12" s="71"/>
      <c r="G12" s="71"/>
      <c r="H12" s="71"/>
      <c r="I12" s="71"/>
      <c r="J12" s="71"/>
      <c r="K12" s="71"/>
      <c r="L12" s="71"/>
      <c r="M12" s="201"/>
      <c r="N12" s="201"/>
      <c r="O12" s="71"/>
      <c r="P12" s="71"/>
      <c r="Q12" s="71"/>
      <c r="R12" s="200"/>
      <c r="S12" s="71"/>
      <c r="T12" s="71"/>
      <c r="U12" s="71"/>
      <c r="V12" s="212"/>
      <c r="W12" s="12"/>
    </row>
    <row r="13" spans="1:31" s="304" customFormat="1" ht="20.149999999999999" customHeight="1">
      <c r="A13" s="305">
        <v>40</v>
      </c>
      <c r="B13" s="306" t="s">
        <v>471</v>
      </c>
      <c r="C13" s="307" t="s">
        <v>472</v>
      </c>
      <c r="D13" s="308" t="s">
        <v>473</v>
      </c>
      <c r="E13" s="309">
        <f>8730.79</f>
        <v>8730.7900000000009</v>
      </c>
      <c r="F13" s="310"/>
      <c r="G13" s="309">
        <f t="shared" ref="G13:G15" si="14">E13*300%</f>
        <v>26192.37</v>
      </c>
      <c r="H13" s="309">
        <f t="shared" ref="H13:H15" si="15">E13*7.5%</f>
        <v>654.80925000000002</v>
      </c>
      <c r="I13" s="309"/>
      <c r="J13" s="309">
        <f t="shared" ref="J13:J15" si="16">E13*50%</f>
        <v>4365.3950000000004</v>
      </c>
      <c r="K13" s="309">
        <f t="shared" ref="K13:K15" si="17">E13*350%</f>
        <v>30557.764999999999</v>
      </c>
      <c r="L13" s="309">
        <f t="shared" ref="L13:L15" si="18">E13*100%</f>
        <v>8730.7900000000009</v>
      </c>
      <c r="M13" s="310"/>
      <c r="N13" s="310">
        <v>30000</v>
      </c>
      <c r="O13" s="309">
        <f t="shared" ref="O13:O15" si="19">E13*10%</f>
        <v>873.07899999999995</v>
      </c>
      <c r="P13" s="309">
        <v>5000</v>
      </c>
      <c r="Q13" s="309">
        <f>7000</f>
        <v>7000</v>
      </c>
      <c r="R13" s="309">
        <f t="shared" ref="R13:R14" si="20">SUM(E13:Q13)</f>
        <v>122104.99825</v>
      </c>
      <c r="S13" s="309"/>
      <c r="T13" s="309">
        <f>10000+5000+5000</f>
        <v>20000</v>
      </c>
      <c r="U13" s="309">
        <f>15625</f>
        <v>15625</v>
      </c>
      <c r="V13" s="309"/>
      <c r="W13" s="309">
        <f>[9]PROMOTIONS!$X$42</f>
        <v>8312.59</v>
      </c>
      <c r="X13" s="317">
        <f t="shared" ref="X13:X15" si="21">W13+V13+U13+T13+S13</f>
        <v>43937.59</v>
      </c>
      <c r="Y13" s="309">
        <v>106043.967849548</v>
      </c>
      <c r="Z13" s="212">
        <f t="shared" ref="Z13:Z15" si="22">R13-X13</f>
        <v>78167.408249999993</v>
      </c>
      <c r="AA13" s="323"/>
    </row>
    <row r="14" spans="1:31" s="304" customFormat="1" ht="20.149999999999999" customHeight="1">
      <c r="A14" s="305">
        <v>41</v>
      </c>
      <c r="B14" s="306" t="s">
        <v>474</v>
      </c>
      <c r="C14" s="307" t="s">
        <v>472</v>
      </c>
      <c r="D14" s="308" t="s">
        <v>473</v>
      </c>
      <c r="E14" s="309">
        <f t="shared" ref="E14:E15" si="23">8730.79</f>
        <v>8730.7900000000009</v>
      </c>
      <c r="F14" s="310"/>
      <c r="G14" s="309">
        <f t="shared" si="14"/>
        <v>26192.37</v>
      </c>
      <c r="H14" s="309">
        <f t="shared" si="15"/>
        <v>654.80925000000002</v>
      </c>
      <c r="I14" s="309"/>
      <c r="J14" s="309">
        <f t="shared" si="16"/>
        <v>4365.3950000000004</v>
      </c>
      <c r="K14" s="309">
        <f t="shared" si="17"/>
        <v>30557.764999999999</v>
      </c>
      <c r="L14" s="309">
        <f t="shared" si="18"/>
        <v>8730.7900000000009</v>
      </c>
      <c r="M14" s="310"/>
      <c r="N14" s="310">
        <v>30000</v>
      </c>
      <c r="O14" s="309">
        <f t="shared" si="19"/>
        <v>873.07899999999995</v>
      </c>
      <c r="P14" s="309">
        <v>5000</v>
      </c>
      <c r="Q14" s="309">
        <f>7000</f>
        <v>7000</v>
      </c>
      <c r="R14" s="309">
        <f t="shared" si="20"/>
        <v>122104.99825</v>
      </c>
      <c r="S14" s="309"/>
      <c r="T14" s="309">
        <v>20000</v>
      </c>
      <c r="U14" s="309">
        <v>18333.330000000002</v>
      </c>
      <c r="V14" s="309"/>
      <c r="W14" s="309">
        <f>[9]PROMOTIONS!$X$42</f>
        <v>8312.59</v>
      </c>
      <c r="X14" s="317">
        <f t="shared" si="21"/>
        <v>46645.919999999998</v>
      </c>
      <c r="Y14" s="309">
        <v>80609.452233032207</v>
      </c>
      <c r="Z14" s="212">
        <f t="shared" si="22"/>
        <v>75459.078250000006</v>
      </c>
      <c r="AA14" s="323"/>
    </row>
    <row r="15" spans="1:31" s="304" customFormat="1" ht="20.149999999999999" customHeight="1">
      <c r="A15" s="305">
        <v>42</v>
      </c>
      <c r="B15" s="311" t="s">
        <v>475</v>
      </c>
      <c r="C15" s="307" t="s">
        <v>472</v>
      </c>
      <c r="D15" s="308" t="s">
        <v>473</v>
      </c>
      <c r="E15" s="309">
        <f t="shared" si="23"/>
        <v>8730.7900000000009</v>
      </c>
      <c r="F15" s="310"/>
      <c r="G15" s="309">
        <f t="shared" si="14"/>
        <v>26192.37</v>
      </c>
      <c r="H15" s="309">
        <f t="shared" si="15"/>
        <v>654.80925000000002</v>
      </c>
      <c r="I15" s="309"/>
      <c r="J15" s="309">
        <f t="shared" si="16"/>
        <v>4365.3950000000004</v>
      </c>
      <c r="K15" s="309">
        <f t="shared" si="17"/>
        <v>30557.764999999999</v>
      </c>
      <c r="L15" s="309">
        <f t="shared" si="18"/>
        <v>8730.7900000000009</v>
      </c>
      <c r="M15" s="310"/>
      <c r="N15" s="310">
        <v>30000</v>
      </c>
      <c r="O15" s="309">
        <f t="shared" si="19"/>
        <v>873.07899999999995</v>
      </c>
      <c r="P15" s="309">
        <v>5000</v>
      </c>
      <c r="Q15" s="309">
        <f>7000</f>
        <v>7000</v>
      </c>
      <c r="R15" s="309">
        <f t="shared" ref="R15" si="24">SUM(E15:Q15)</f>
        <v>122104.99825</v>
      </c>
      <c r="S15" s="309"/>
      <c r="T15" s="309">
        <f>3000+5000+5000</f>
        <v>13000</v>
      </c>
      <c r="U15" s="309">
        <f>44000</f>
        <v>44000</v>
      </c>
      <c r="V15" s="309"/>
      <c r="W15" s="309">
        <f>[9]PROMOTIONS!$X$42</f>
        <v>8312.59</v>
      </c>
      <c r="X15" s="317">
        <f t="shared" si="21"/>
        <v>65312.59</v>
      </c>
      <c r="Y15" s="309">
        <v>239903.583693333</v>
      </c>
      <c r="Z15" s="212">
        <f t="shared" si="22"/>
        <v>56792.40825</v>
      </c>
      <c r="AA15" s="323"/>
    </row>
    <row r="16" spans="1:31" ht="19.5" customHeight="1">
      <c r="A16" s="3"/>
      <c r="B16" s="29" t="s">
        <v>80</v>
      </c>
      <c r="C16" s="30"/>
      <c r="D16" s="31"/>
      <c r="E16" s="208">
        <f t="shared" ref="E16:V16" si="25">E8+E14</f>
        <v>14158.91</v>
      </c>
      <c r="F16" s="208">
        <f t="shared" si="25"/>
        <v>0</v>
      </c>
      <c r="G16" s="208">
        <f t="shared" si="25"/>
        <v>42476.73</v>
      </c>
      <c r="H16" s="208">
        <f t="shared" si="25"/>
        <v>1061.9182499999999</v>
      </c>
      <c r="I16" s="208">
        <f t="shared" si="25"/>
        <v>0</v>
      </c>
      <c r="J16" s="208">
        <f t="shared" si="25"/>
        <v>7079.4549999999999</v>
      </c>
      <c r="K16" s="208">
        <f t="shared" si="25"/>
        <v>49556.184999999998</v>
      </c>
      <c r="L16" s="208">
        <f t="shared" si="25"/>
        <v>14158.91</v>
      </c>
      <c r="M16" s="208">
        <f t="shared" si="25"/>
        <v>0</v>
      </c>
      <c r="N16" s="208">
        <f t="shared" si="25"/>
        <v>50000</v>
      </c>
      <c r="O16" s="208">
        <f t="shared" si="25"/>
        <v>1415.8910000000001</v>
      </c>
      <c r="P16" s="208">
        <f t="shared" si="25"/>
        <v>10000</v>
      </c>
      <c r="Q16" s="208">
        <f t="shared" si="25"/>
        <v>14000</v>
      </c>
      <c r="R16" s="208">
        <f t="shared" si="25"/>
        <v>203907.99924999999</v>
      </c>
      <c r="S16" s="208" t="e">
        <f t="shared" si="25"/>
        <v>#VALUE!</v>
      </c>
      <c r="T16" s="208">
        <f t="shared" si="25"/>
        <v>142105</v>
      </c>
      <c r="U16" s="208">
        <f t="shared" si="25"/>
        <v>58635.328999999998</v>
      </c>
      <c r="V16" s="208">
        <f t="shared" si="25"/>
        <v>0</v>
      </c>
      <c r="W16" s="208"/>
      <c r="X16" s="208">
        <f>X8+X14</f>
        <v>51011.250754666697</v>
      </c>
      <c r="Y16" s="12"/>
    </row>
    <row r="17" spans="1:27" ht="20.149999999999999" customHeight="1">
      <c r="A17" s="2"/>
      <c r="B17" s="32"/>
      <c r="C17" s="2"/>
      <c r="D17" s="33"/>
      <c r="E17" s="33"/>
      <c r="F17" s="33"/>
      <c r="G17" s="33"/>
      <c r="H17" s="33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96"/>
      <c r="T17" s="210"/>
      <c r="U17" s="210"/>
      <c r="V17" s="210"/>
      <c r="W17" s="210"/>
      <c r="X17" s="210"/>
      <c r="Y17" s="34"/>
    </row>
    <row r="18" spans="1:27" ht="36.75" customHeight="1">
      <c r="A18" s="2"/>
      <c r="B18" s="32"/>
      <c r="C18" s="33"/>
      <c r="D18" s="33"/>
      <c r="E18" s="33"/>
      <c r="F18" s="33"/>
      <c r="G18" s="33"/>
      <c r="H18" s="33"/>
      <c r="I18" s="209"/>
      <c r="J18" s="209"/>
      <c r="K18" s="209"/>
      <c r="L18" s="209"/>
      <c r="M18" s="209"/>
      <c r="N18" s="209"/>
      <c r="O18" s="209"/>
      <c r="Q18" s="209"/>
      <c r="R18" s="209"/>
      <c r="S18" s="296"/>
      <c r="T18" s="210"/>
      <c r="U18" s="210"/>
      <c r="V18" s="210"/>
      <c r="W18" s="210"/>
      <c r="X18" s="210"/>
    </row>
    <row r="21" spans="1:27" s="276" customFormat="1" ht="20.14999999999999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4"/>
      <c r="R21" s="34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796875" defaultRowHeight="20.149999999999999" customHeight="1"/>
  <cols>
    <col min="1" max="1" width="5.453125" style="1" customWidth="1"/>
    <col min="2" max="2" width="39.453125" style="1" customWidth="1"/>
    <col min="3" max="3" width="26.54296875" style="1" customWidth="1"/>
    <col min="4" max="4" width="14.81640625" style="1" customWidth="1"/>
    <col min="5" max="5" width="17.81640625" style="1" customWidth="1"/>
    <col min="6" max="6" width="19.453125" style="1" customWidth="1"/>
    <col min="7" max="7" width="16" style="1" customWidth="1"/>
    <col min="8" max="8" width="18.1796875" style="1" customWidth="1"/>
    <col min="9" max="9" width="18" style="1" customWidth="1"/>
    <col min="10" max="10" width="20" style="1" customWidth="1"/>
    <col min="11" max="11" width="18.1796875" style="1" customWidth="1"/>
    <col min="12" max="12" width="18.26953125" style="1" customWidth="1"/>
    <col min="13" max="13" width="18.1796875" style="1" customWidth="1"/>
    <col min="14" max="14" width="15.7265625" style="1" customWidth="1"/>
    <col min="15" max="15" width="18.26953125" style="1" customWidth="1"/>
    <col min="16" max="16" width="17.81640625" style="1" customWidth="1"/>
    <col min="17" max="20" width="19.26953125" style="1" customWidth="1"/>
    <col min="21" max="21" width="14.81640625" style="1" customWidth="1"/>
    <col min="22" max="22" width="13.54296875" style="1" customWidth="1"/>
    <col min="23" max="23" width="20.453125" style="276" customWidth="1"/>
    <col min="24" max="24" width="16.453125" style="1" customWidth="1"/>
    <col min="25" max="26" width="17.7265625" style="1" customWidth="1"/>
    <col min="27" max="27" width="11.1796875" style="1" customWidth="1"/>
    <col min="28" max="28" width="17.81640625" style="1" customWidth="1"/>
    <col min="29" max="29" width="21.7265625" style="1" customWidth="1"/>
    <col min="30" max="16384" width="9.1796875" style="1"/>
  </cols>
  <sheetData>
    <row r="1" spans="1:29" ht="27" customHeight="1">
      <c r="A1" s="764" t="s">
        <v>0</v>
      </c>
      <c r="B1" s="764"/>
      <c r="C1" s="764"/>
      <c r="D1" s="764"/>
      <c r="E1" s="764"/>
      <c r="F1" s="764"/>
      <c r="G1" s="198">
        <f>'[1]FEB 08'!F8/'[1]FEB 08'!Q8</f>
        <v>0.3</v>
      </c>
      <c r="H1" s="198"/>
      <c r="I1" s="198"/>
      <c r="J1" s="198"/>
      <c r="K1" s="198"/>
      <c r="L1" s="198"/>
      <c r="M1" s="198"/>
      <c r="N1" s="198"/>
      <c r="O1" s="198"/>
      <c r="P1" s="198"/>
    </row>
    <row r="2" spans="1:29" ht="33.75" customHeight="1">
      <c r="A2" s="62" t="s">
        <v>966</v>
      </c>
      <c r="B2" s="63"/>
      <c r="C2" s="62"/>
      <c r="D2" s="62"/>
      <c r="E2" s="197"/>
      <c r="F2" s="19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64"/>
      <c r="R2" s="64"/>
      <c r="S2" s="64"/>
      <c r="T2" s="64"/>
      <c r="U2" s="64"/>
      <c r="V2" s="64"/>
      <c r="W2" s="283"/>
      <c r="X2" s="64"/>
      <c r="Y2" s="64"/>
      <c r="Z2" s="64"/>
      <c r="AA2" s="64"/>
      <c r="AB2" s="64"/>
    </row>
    <row r="3" spans="1:29" ht="9.75" customHeight="1">
      <c r="A3" s="2"/>
      <c r="B3" s="2"/>
      <c r="C3" s="2"/>
      <c r="D3" s="2"/>
      <c r="E3" s="198" t="e">
        <f>'[1]FEB 08'!E11/'[1]FEB 08'!M11</f>
        <v>#REF!</v>
      </c>
      <c r="F3" s="198"/>
      <c r="G3" s="198" t="e">
        <f>'[1]FEB 08'!F11/'[1]FEB 08'!Q11</f>
        <v>#REF!</v>
      </c>
      <c r="H3" s="198"/>
      <c r="I3" s="198"/>
      <c r="J3" s="198"/>
      <c r="K3" s="198"/>
      <c r="L3" s="198"/>
      <c r="M3" s="198"/>
      <c r="N3" s="198"/>
      <c r="O3" s="198"/>
      <c r="P3" s="198"/>
    </row>
    <row r="4" spans="1:29" ht="60" customHeight="1">
      <c r="A4" s="3"/>
      <c r="B4" s="5" t="s">
        <v>2</v>
      </c>
      <c r="C4" s="5" t="s">
        <v>3</v>
      </c>
      <c r="D4" s="6" t="s">
        <v>935</v>
      </c>
      <c r="E4" s="66" t="s">
        <v>5</v>
      </c>
      <c r="F4" s="20" t="s">
        <v>566</v>
      </c>
      <c r="G4" s="20" t="s">
        <v>567</v>
      </c>
      <c r="H4" s="66" t="s">
        <v>568</v>
      </c>
      <c r="I4" s="20" t="s">
        <v>569</v>
      </c>
      <c r="J4" s="20" t="s">
        <v>570</v>
      </c>
      <c r="K4" s="20" t="s">
        <v>571</v>
      </c>
      <c r="L4" s="66" t="s">
        <v>7</v>
      </c>
      <c r="M4" s="66" t="s">
        <v>7</v>
      </c>
      <c r="N4" s="20" t="s">
        <v>572</v>
      </c>
      <c r="O4" s="20" t="s">
        <v>572</v>
      </c>
      <c r="P4" s="66" t="s">
        <v>8</v>
      </c>
      <c r="Q4" s="284" t="s">
        <v>140</v>
      </c>
      <c r="R4" s="6" t="s">
        <v>936</v>
      </c>
      <c r="S4" s="284" t="s">
        <v>542</v>
      </c>
      <c r="T4" s="66" t="s">
        <v>937</v>
      </c>
      <c r="U4" s="66" t="s">
        <v>938</v>
      </c>
      <c r="V4" s="66" t="s">
        <v>939</v>
      </c>
      <c r="W4" s="66" t="s">
        <v>940</v>
      </c>
      <c r="X4" s="66" t="s">
        <v>516</v>
      </c>
      <c r="Y4" s="297" t="s">
        <v>941</v>
      </c>
      <c r="Z4" s="298" t="s">
        <v>942</v>
      </c>
      <c r="AA4" s="66" t="s">
        <v>148</v>
      </c>
      <c r="AB4" s="299" t="s">
        <v>197</v>
      </c>
    </row>
    <row r="5" spans="1:29" ht="17.25" customHeight="1"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  <c r="I5" s="68" t="s">
        <v>20</v>
      </c>
      <c r="J5" s="68" t="s">
        <v>20</v>
      </c>
      <c r="K5" s="68" t="s">
        <v>20</v>
      </c>
      <c r="L5" s="68" t="s">
        <v>20</v>
      </c>
      <c r="M5" s="68" t="s">
        <v>20</v>
      </c>
      <c r="N5" s="68" t="s">
        <v>20</v>
      </c>
      <c r="O5" s="68" t="s">
        <v>20</v>
      </c>
      <c r="P5" s="68" t="s">
        <v>20</v>
      </c>
      <c r="Q5" s="285" t="s">
        <v>20</v>
      </c>
      <c r="R5" s="7"/>
      <c r="S5" s="285" t="s">
        <v>20</v>
      </c>
      <c r="T5" s="68"/>
      <c r="U5" s="68" t="s">
        <v>20</v>
      </c>
      <c r="V5" s="68"/>
      <c r="W5" s="286" t="s">
        <v>20</v>
      </c>
      <c r="X5" s="68"/>
      <c r="Y5" s="68"/>
      <c r="Z5" s="211"/>
      <c r="AA5" s="68"/>
      <c r="AB5" s="211"/>
    </row>
    <row r="6" spans="1:29" ht="20.149999999999999" customHeight="1">
      <c r="A6" s="8" t="s">
        <v>21</v>
      </c>
      <c r="B6" s="7" t="s">
        <v>22</v>
      </c>
      <c r="C6" s="7"/>
      <c r="D6" s="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285"/>
      <c r="R6" s="7"/>
      <c r="S6" s="285"/>
      <c r="T6" s="68"/>
      <c r="U6" s="68"/>
      <c r="V6" s="68"/>
      <c r="W6" s="286"/>
      <c r="X6" s="68"/>
      <c r="Y6" s="68"/>
      <c r="Z6" s="211"/>
      <c r="AA6" s="68"/>
      <c r="AB6" s="211"/>
    </row>
    <row r="7" spans="1:29" ht="18.75" customHeight="1">
      <c r="A7" s="9">
        <v>1</v>
      </c>
      <c r="B7" s="17" t="s">
        <v>282</v>
      </c>
      <c r="C7" s="11" t="s">
        <v>967</v>
      </c>
      <c r="D7" s="14" t="s">
        <v>945</v>
      </c>
      <c r="E7" s="201">
        <v>13492.21</v>
      </c>
      <c r="F7" s="71">
        <f>E7*300%</f>
        <v>40476.629999999997</v>
      </c>
      <c r="G7" s="71">
        <f>E7*7.5%</f>
        <v>1011.91575</v>
      </c>
      <c r="H7" s="71"/>
      <c r="I7" s="71">
        <f>E7*50%</f>
        <v>6746.1049999999996</v>
      </c>
      <c r="J7" s="71">
        <f>E7*350%</f>
        <v>47222.735000000001</v>
      </c>
      <c r="K7" s="71">
        <f>E7*100%</f>
        <v>13492.21</v>
      </c>
      <c r="L7" s="201"/>
      <c r="M7" s="201">
        <f>50000</f>
        <v>50000</v>
      </c>
      <c r="N7" s="71">
        <f>E7*10%</f>
        <v>1349.221</v>
      </c>
      <c r="O7" s="71">
        <v>10000</v>
      </c>
      <c r="P7" s="3"/>
      <c r="Q7" s="200">
        <f>SUM(E7:P7)</f>
        <v>183791.02674999999</v>
      </c>
      <c r="R7" s="14" t="s">
        <v>25</v>
      </c>
      <c r="S7" s="200">
        <f>'SALARY STRUCTURE'!H13+60000</f>
        <v>205203.66666666701</v>
      </c>
      <c r="T7" s="71">
        <f t="shared" ref="T7:T45" si="0">S7-Q7</f>
        <v>21412.6399166667</v>
      </c>
      <c r="U7" s="71"/>
      <c r="V7" s="71"/>
      <c r="W7" s="287">
        <v>18102.902732666698</v>
      </c>
      <c r="X7" s="71">
        <f>'[8]October 2023'!$Z$29</f>
        <v>21640.882666666701</v>
      </c>
      <c r="Y7" s="71">
        <f>X7-W7</f>
        <v>3537.979934</v>
      </c>
      <c r="Z7" s="212">
        <f>T7-Y7</f>
        <v>17874.659982666701</v>
      </c>
      <c r="AA7" s="71">
        <f>(19/31)+4</f>
        <v>4.6129032258064502</v>
      </c>
      <c r="AB7" s="212">
        <f>Z7*AA7</f>
        <v>82454.076694236603</v>
      </c>
      <c r="AC7" s="12"/>
    </row>
    <row r="8" spans="1:29" ht="26.25" customHeight="1">
      <c r="A8" s="9"/>
      <c r="B8" s="19" t="s">
        <v>34</v>
      </c>
      <c r="C8" s="20">
        <v>1</v>
      </c>
      <c r="D8" s="14"/>
      <c r="E8" s="202">
        <f t="shared" ref="E8:Q8" si="1">SUM(E7:E7)</f>
        <v>13492.21</v>
      </c>
      <c r="F8" s="202">
        <f t="shared" si="1"/>
        <v>40476.629999999997</v>
      </c>
      <c r="G8" s="202">
        <f t="shared" si="1"/>
        <v>1011.91575</v>
      </c>
      <c r="H8" s="202">
        <f t="shared" si="1"/>
        <v>0</v>
      </c>
      <c r="I8" s="202">
        <f t="shared" si="1"/>
        <v>6746.1049999999996</v>
      </c>
      <c r="J8" s="202">
        <f t="shared" si="1"/>
        <v>47222.735000000001</v>
      </c>
      <c r="K8" s="202">
        <f t="shared" si="1"/>
        <v>13492.21</v>
      </c>
      <c r="L8" s="202">
        <f t="shared" si="1"/>
        <v>0</v>
      </c>
      <c r="M8" s="202">
        <f t="shared" si="1"/>
        <v>50000</v>
      </c>
      <c r="N8" s="202">
        <f t="shared" si="1"/>
        <v>1349.221</v>
      </c>
      <c r="O8" s="202">
        <f t="shared" si="1"/>
        <v>10000</v>
      </c>
      <c r="P8" s="202">
        <f t="shared" si="1"/>
        <v>0</v>
      </c>
      <c r="Q8" s="202">
        <f t="shared" si="1"/>
        <v>183791.02674999999</v>
      </c>
      <c r="R8" s="14"/>
      <c r="S8" s="202">
        <f t="shared" ref="S8:Z8" si="2">SUM(S7:S7)</f>
        <v>205203.66666666701</v>
      </c>
      <c r="T8" s="202">
        <f t="shared" si="2"/>
        <v>21412.6399166667</v>
      </c>
      <c r="U8" s="202">
        <f t="shared" si="2"/>
        <v>0</v>
      </c>
      <c r="V8" s="202">
        <f t="shared" si="2"/>
        <v>0</v>
      </c>
      <c r="W8" s="202">
        <f t="shared" si="2"/>
        <v>18102.902732666698</v>
      </c>
      <c r="X8" s="202">
        <f t="shared" si="2"/>
        <v>21640.882666666701</v>
      </c>
      <c r="Y8" s="202">
        <f t="shared" si="2"/>
        <v>3537.979934</v>
      </c>
      <c r="Z8" s="213">
        <f t="shared" si="2"/>
        <v>17874.659982666701</v>
      </c>
      <c r="AA8" s="202"/>
      <c r="AB8" s="213">
        <f>SUM(AB7:AB7)</f>
        <v>82454.076694236603</v>
      </c>
      <c r="AC8" s="12"/>
    </row>
    <row r="9" spans="1:29" ht="20.149999999999999" customHeight="1">
      <c r="A9" s="9"/>
      <c r="B9" s="13"/>
      <c r="C9" s="3"/>
      <c r="D9" s="9"/>
      <c r="E9" s="202"/>
      <c r="F9" s="202"/>
      <c r="G9" s="202"/>
      <c r="H9" s="202"/>
      <c r="I9" s="202"/>
      <c r="J9" s="202"/>
      <c r="K9" s="202"/>
      <c r="L9" s="201"/>
      <c r="M9" s="201"/>
      <c r="N9" s="202"/>
      <c r="O9" s="202"/>
      <c r="P9" s="202"/>
      <c r="Q9" s="288"/>
      <c r="R9" s="9"/>
      <c r="S9" s="288"/>
      <c r="T9" s="71"/>
      <c r="U9" s="202"/>
      <c r="V9" s="202"/>
      <c r="W9" s="289"/>
      <c r="X9" s="202"/>
      <c r="Y9" s="71"/>
      <c r="Z9" s="212"/>
      <c r="AA9" s="202"/>
      <c r="AB9" s="212"/>
      <c r="AC9" s="12"/>
    </row>
    <row r="10" spans="1:29" ht="20.149999999999999" customHeight="1">
      <c r="A10" s="9"/>
      <c r="B10" s="22" t="s">
        <v>39</v>
      </c>
      <c r="C10" s="4"/>
      <c r="D10" s="23"/>
      <c r="E10" s="202"/>
      <c r="F10" s="202"/>
      <c r="G10" s="71"/>
      <c r="H10" s="71"/>
      <c r="I10" s="71"/>
      <c r="J10" s="71"/>
      <c r="K10" s="71"/>
      <c r="L10" s="201"/>
      <c r="M10" s="201"/>
      <c r="N10" s="71"/>
      <c r="O10" s="71"/>
      <c r="P10" s="71"/>
      <c r="Q10" s="200"/>
      <c r="R10" s="23"/>
      <c r="S10" s="200"/>
      <c r="T10" s="71"/>
      <c r="U10" s="71"/>
      <c r="V10" s="71"/>
      <c r="W10" s="287"/>
      <c r="X10" s="71"/>
      <c r="Y10" s="71"/>
      <c r="Z10" s="212"/>
      <c r="AA10" s="71"/>
      <c r="AB10" s="212"/>
      <c r="AC10" s="12"/>
    </row>
    <row r="11" spans="1:29" ht="20.149999999999999" customHeight="1">
      <c r="A11" s="9">
        <v>2</v>
      </c>
      <c r="B11" s="10" t="s">
        <v>258</v>
      </c>
      <c r="C11" s="3" t="s">
        <v>353</v>
      </c>
      <c r="D11" s="9" t="s">
        <v>266</v>
      </c>
      <c r="E11" s="71">
        <v>25523.45</v>
      </c>
      <c r="F11" s="71">
        <f>E11*300%</f>
        <v>76570.350000000006</v>
      </c>
      <c r="G11" s="71">
        <f>E11*7.5%</f>
        <v>1914.25875</v>
      </c>
      <c r="H11" s="71"/>
      <c r="I11" s="71">
        <f>E11*50%</f>
        <v>12761.725</v>
      </c>
      <c r="J11" s="71">
        <f>E11*350%</f>
        <v>89332.074999999997</v>
      </c>
      <c r="K11" s="71">
        <f>E11*100%</f>
        <v>25523.45</v>
      </c>
      <c r="L11" s="201">
        <f t="shared" ref="L11" si="3">120000</f>
        <v>120000</v>
      </c>
      <c r="M11" s="201"/>
      <c r="N11" s="71">
        <f>E11*10%</f>
        <v>2552.3449999999998</v>
      </c>
      <c r="O11" s="71">
        <v>15000</v>
      </c>
      <c r="P11" s="71"/>
      <c r="Q11" s="200">
        <f>SUM(E11:P11)</f>
        <v>369177.65375</v>
      </c>
      <c r="R11" s="9" t="s">
        <v>260</v>
      </c>
      <c r="S11" s="200">
        <f>'SALARY STRUCTURE'!I17+140000</f>
        <v>397211.25</v>
      </c>
      <c r="T11" s="71">
        <f t="shared" si="0"/>
        <v>28033.596249999999</v>
      </c>
      <c r="U11" s="71">
        <v>638.08624999999995</v>
      </c>
      <c r="V11" s="71">
        <f>690.28</f>
        <v>690.28</v>
      </c>
      <c r="W11" s="287">
        <v>49548.776186666699</v>
      </c>
      <c r="X11" s="71">
        <f>'[8]October 2023'!$Z$50</f>
        <v>54812.468586666699</v>
      </c>
      <c r="Y11" s="71">
        <f t="shared" ref="Y11:Y45" si="4">X11-W11</f>
        <v>5263.6923999999999</v>
      </c>
      <c r="Z11" s="212">
        <f t="shared" ref="Z11:Z45" si="5">T11-Y11</f>
        <v>22769.903849999999</v>
      </c>
      <c r="AA11" s="71">
        <f>(18/31)+1</f>
        <v>1.5806451612903201</v>
      </c>
      <c r="AB11" s="212">
        <f t="shared" ref="AB11:AB45" si="6">Z11*AA11</f>
        <v>35991.138343548402</v>
      </c>
      <c r="AC11" s="12"/>
    </row>
    <row r="12" spans="1:29" ht="25.5" customHeight="1">
      <c r="A12" s="9"/>
      <c r="B12" s="19" t="s">
        <v>34</v>
      </c>
      <c r="C12" s="20">
        <v>1</v>
      </c>
      <c r="D12" s="20"/>
      <c r="E12" s="79">
        <f t="shared" ref="E12:Q12" si="7">SUM(E11:E11)</f>
        <v>25523.45</v>
      </c>
      <c r="F12" s="79">
        <f t="shared" si="7"/>
        <v>76570.350000000006</v>
      </c>
      <c r="G12" s="79">
        <f t="shared" si="7"/>
        <v>1914.25875</v>
      </c>
      <c r="H12" s="79">
        <f t="shared" si="7"/>
        <v>0</v>
      </c>
      <c r="I12" s="79">
        <f t="shared" si="7"/>
        <v>12761.725</v>
      </c>
      <c r="J12" s="79">
        <f t="shared" si="7"/>
        <v>89332.074999999997</v>
      </c>
      <c r="K12" s="79">
        <f t="shared" si="7"/>
        <v>25523.45</v>
      </c>
      <c r="L12" s="79">
        <f t="shared" si="7"/>
        <v>120000</v>
      </c>
      <c r="M12" s="79">
        <f t="shared" si="7"/>
        <v>0</v>
      </c>
      <c r="N12" s="79">
        <f t="shared" si="7"/>
        <v>2552.3449999999998</v>
      </c>
      <c r="O12" s="79">
        <f t="shared" si="7"/>
        <v>15000</v>
      </c>
      <c r="P12" s="79">
        <f t="shared" si="7"/>
        <v>0</v>
      </c>
      <c r="Q12" s="79">
        <f t="shared" si="7"/>
        <v>369177.65375</v>
      </c>
      <c r="R12" s="20"/>
      <c r="S12" s="79">
        <f t="shared" ref="S12:Z12" si="8">SUM(S11:S11)</f>
        <v>397211.25</v>
      </c>
      <c r="T12" s="79">
        <f t="shared" si="8"/>
        <v>28033.596249999999</v>
      </c>
      <c r="U12" s="79">
        <f t="shared" si="8"/>
        <v>638.08624999999995</v>
      </c>
      <c r="V12" s="79">
        <f t="shared" si="8"/>
        <v>690.28</v>
      </c>
      <c r="W12" s="79">
        <f t="shared" si="8"/>
        <v>49548.776186666699</v>
      </c>
      <c r="X12" s="79">
        <f t="shared" si="8"/>
        <v>54812.468586666699</v>
      </c>
      <c r="Y12" s="79">
        <f t="shared" si="8"/>
        <v>5263.6923999999999</v>
      </c>
      <c r="Z12" s="300">
        <f t="shared" si="8"/>
        <v>22769.903849999999</v>
      </c>
      <c r="AA12" s="79"/>
      <c r="AB12" s="300">
        <f>SUM(AB11:AB11)</f>
        <v>35991.138343548402</v>
      </c>
      <c r="AC12" s="12"/>
    </row>
    <row r="13" spans="1:29" ht="20.149999999999999" customHeight="1">
      <c r="A13" s="9"/>
      <c r="B13" s="19"/>
      <c r="C13" s="20"/>
      <c r="D13" s="20"/>
      <c r="E13" s="133"/>
      <c r="F13" s="133"/>
      <c r="G13" s="133"/>
      <c r="H13" s="133"/>
      <c r="I13" s="133"/>
      <c r="J13" s="133"/>
      <c r="K13" s="133"/>
      <c r="L13" s="201"/>
      <c r="M13" s="201"/>
      <c r="N13" s="133"/>
      <c r="O13" s="133"/>
      <c r="P13" s="133"/>
      <c r="Q13" s="290"/>
      <c r="R13" s="20"/>
      <c r="S13" s="290"/>
      <c r="T13" s="71">
        <f t="shared" si="0"/>
        <v>0</v>
      </c>
      <c r="U13" s="133"/>
      <c r="V13" s="133"/>
      <c r="W13" s="291"/>
      <c r="X13" s="133"/>
      <c r="Y13" s="71"/>
      <c r="Z13" s="212"/>
      <c r="AA13" s="133"/>
      <c r="AB13" s="212"/>
      <c r="AC13" s="12"/>
    </row>
    <row r="14" spans="1:29" ht="20.149999999999999" customHeight="1">
      <c r="A14" s="9"/>
      <c r="B14" s="19" t="s">
        <v>45</v>
      </c>
      <c r="C14" s="20"/>
      <c r="D14" s="20"/>
      <c r="E14" s="133"/>
      <c r="F14" s="133"/>
      <c r="G14" s="133"/>
      <c r="H14" s="133"/>
      <c r="I14" s="133"/>
      <c r="J14" s="133"/>
      <c r="K14" s="133"/>
      <c r="L14" s="201"/>
      <c r="M14" s="201"/>
      <c r="N14" s="133"/>
      <c r="O14" s="133"/>
      <c r="P14" s="133"/>
      <c r="Q14" s="290"/>
      <c r="R14" s="20"/>
      <c r="S14" s="290"/>
      <c r="T14" s="71">
        <f t="shared" si="0"/>
        <v>0</v>
      </c>
      <c r="U14" s="133"/>
      <c r="V14" s="133"/>
      <c r="W14" s="291"/>
      <c r="X14" s="133"/>
      <c r="Y14" s="71"/>
      <c r="Z14" s="212"/>
      <c r="AA14" s="133"/>
      <c r="AB14" s="212"/>
      <c r="AC14" s="12"/>
    </row>
    <row r="15" spans="1:29" ht="20.149999999999999" customHeight="1">
      <c r="A15" s="9">
        <v>3</v>
      </c>
      <c r="B15" s="13" t="s">
        <v>386</v>
      </c>
      <c r="C15" s="3" t="s">
        <v>256</v>
      </c>
      <c r="D15" s="9" t="s">
        <v>254</v>
      </c>
      <c r="E15" s="71">
        <f>28489.81</f>
        <v>28489.81</v>
      </c>
      <c r="F15" s="71">
        <f>E15*300%</f>
        <v>85469.43</v>
      </c>
      <c r="G15" s="71">
        <f>E15*7.5%</f>
        <v>2136.7357499999998</v>
      </c>
      <c r="H15" s="71"/>
      <c r="I15" s="71">
        <f>E15*50%</f>
        <v>14244.905000000001</v>
      </c>
      <c r="J15" s="71">
        <f>E15*350%</f>
        <v>99714.335000000006</v>
      </c>
      <c r="K15" s="71">
        <f>E15*100%</f>
        <v>28489.81</v>
      </c>
      <c r="L15" s="201">
        <v>140000</v>
      </c>
      <c r="M15" s="201"/>
      <c r="N15" s="71">
        <f>E15*10%</f>
        <v>2848.9810000000002</v>
      </c>
      <c r="O15" s="71">
        <v>20000</v>
      </c>
      <c r="P15" s="71">
        <v>0</v>
      </c>
      <c r="Q15" s="200">
        <f>SUM(E15:P15)</f>
        <v>421394.00675</v>
      </c>
      <c r="R15" s="9" t="s">
        <v>228</v>
      </c>
      <c r="S15" s="200">
        <f>'SALARY STRUCTURE'!H18+160000</f>
        <v>504720.16666666698</v>
      </c>
      <c r="T15" s="71">
        <f t="shared" si="0"/>
        <v>83326.159916666598</v>
      </c>
      <c r="U15" s="71">
        <v>712.24525000000006</v>
      </c>
      <c r="V15" s="71">
        <f>837.69</f>
        <v>837.69</v>
      </c>
      <c r="W15" s="287">
        <v>59441.782042666702</v>
      </c>
      <c r="X15" s="71">
        <f>'[8]October 2023'!$Z$85</f>
        <v>75440.404746666696</v>
      </c>
      <c r="Y15" s="71">
        <f t="shared" si="4"/>
        <v>15998.622703999999</v>
      </c>
      <c r="Z15" s="212">
        <f t="shared" si="5"/>
        <v>67327.537212666604</v>
      </c>
      <c r="AA15" s="71">
        <f>9</f>
        <v>9</v>
      </c>
      <c r="AB15" s="212">
        <f t="shared" si="6"/>
        <v>605947.83491400001</v>
      </c>
      <c r="AC15" s="12"/>
    </row>
    <row r="16" spans="1:29" ht="20.149999999999999" customHeight="1">
      <c r="A16" s="9">
        <v>4</v>
      </c>
      <c r="B16" s="10" t="s">
        <v>328</v>
      </c>
      <c r="C16" s="3" t="s">
        <v>47</v>
      </c>
      <c r="D16" s="9" t="s">
        <v>266</v>
      </c>
      <c r="E16" s="71">
        <v>25523.45</v>
      </c>
      <c r="F16" s="71">
        <f>E16*300%</f>
        <v>76570.350000000006</v>
      </c>
      <c r="G16" s="71">
        <f>E16*7.5%</f>
        <v>1914.25875</v>
      </c>
      <c r="H16" s="71"/>
      <c r="I16" s="71">
        <f>E16*50%</f>
        <v>12761.725</v>
      </c>
      <c r="J16" s="71">
        <f>E16*350%</f>
        <v>89332.074999999997</v>
      </c>
      <c r="K16" s="71">
        <f>E16*100%</f>
        <v>25523.45</v>
      </c>
      <c r="L16" s="201">
        <f t="shared" ref="L16" si="9">120000</f>
        <v>120000</v>
      </c>
      <c r="M16" s="201"/>
      <c r="N16" s="71">
        <f>E16*10%</f>
        <v>2552.3449999999998</v>
      </c>
      <c r="O16" s="71">
        <v>15000</v>
      </c>
      <c r="P16" s="71"/>
      <c r="Q16" s="200">
        <f>SUM(E16:P16)</f>
        <v>369177.65375</v>
      </c>
      <c r="R16" s="9" t="s">
        <v>260</v>
      </c>
      <c r="S16" s="200">
        <f>'SALARY STRUCTURE'!I17+140000</f>
        <v>397211.25</v>
      </c>
      <c r="T16" s="71">
        <f t="shared" si="0"/>
        <v>28033.596249999999</v>
      </c>
      <c r="U16" s="71"/>
      <c r="V16" s="71"/>
      <c r="W16" s="287">
        <v>49548.776186666699</v>
      </c>
      <c r="X16" s="71">
        <f>'[8]October 2023'!$Z$62</f>
        <v>54931.226666666698</v>
      </c>
      <c r="Y16" s="71">
        <f t="shared" si="4"/>
        <v>5382.4504800000004</v>
      </c>
      <c r="Z16" s="212">
        <f t="shared" si="5"/>
        <v>22651.145769999999</v>
      </c>
      <c r="AA16" s="71">
        <f>(7/31)+2</f>
        <v>2.2258064516128999</v>
      </c>
      <c r="AB16" s="212">
        <f t="shared" si="6"/>
        <v>50417.066391290296</v>
      </c>
      <c r="AC16" s="12"/>
    </row>
    <row r="17" spans="1:29" ht="20.149999999999999" customHeight="1">
      <c r="A17" s="9"/>
      <c r="B17" s="19" t="s">
        <v>34</v>
      </c>
      <c r="C17" s="20">
        <v>2</v>
      </c>
      <c r="D17" s="20"/>
      <c r="E17" s="79">
        <f t="shared" ref="E17:Q17" si="10">SUM(E15:E16)</f>
        <v>54013.26</v>
      </c>
      <c r="F17" s="79">
        <f t="shared" si="10"/>
        <v>162039.78</v>
      </c>
      <c r="G17" s="79">
        <f t="shared" si="10"/>
        <v>4050.9944999999998</v>
      </c>
      <c r="H17" s="79">
        <f t="shared" si="10"/>
        <v>0</v>
      </c>
      <c r="I17" s="79">
        <f t="shared" si="10"/>
        <v>27006.63</v>
      </c>
      <c r="J17" s="79">
        <f t="shared" si="10"/>
        <v>189046.41</v>
      </c>
      <c r="K17" s="79">
        <f t="shared" si="10"/>
        <v>54013.26</v>
      </c>
      <c r="L17" s="79">
        <f t="shared" si="10"/>
        <v>260000</v>
      </c>
      <c r="M17" s="79">
        <f t="shared" si="10"/>
        <v>0</v>
      </c>
      <c r="N17" s="79">
        <f t="shared" si="10"/>
        <v>5401.326</v>
      </c>
      <c r="O17" s="79">
        <f t="shared" si="10"/>
        <v>35000</v>
      </c>
      <c r="P17" s="79">
        <f t="shared" si="10"/>
        <v>0</v>
      </c>
      <c r="Q17" s="79">
        <f t="shared" si="10"/>
        <v>790571.6605</v>
      </c>
      <c r="R17" s="20"/>
      <c r="S17" s="79">
        <f>SUM(S15:S16)</f>
        <v>901931.41666666698</v>
      </c>
      <c r="T17" s="79">
        <f t="shared" ref="T17:AB17" si="11">SUM(T15:T16)</f>
        <v>111359.75616666699</v>
      </c>
      <c r="U17" s="79">
        <f t="shared" si="11"/>
        <v>712.24525000000006</v>
      </c>
      <c r="V17" s="79">
        <f t="shared" si="11"/>
        <v>837.69</v>
      </c>
      <c r="W17" s="79">
        <f t="shared" si="11"/>
        <v>108990.55822933299</v>
      </c>
      <c r="X17" s="79">
        <f t="shared" si="11"/>
        <v>130371.631413333</v>
      </c>
      <c r="Y17" s="79">
        <f t="shared" si="11"/>
        <v>21381.073184000001</v>
      </c>
      <c r="Z17" s="300">
        <f t="shared" si="11"/>
        <v>89978.682982666607</v>
      </c>
      <c r="AA17" s="79"/>
      <c r="AB17" s="300">
        <f t="shared" si="11"/>
        <v>656364.90130529006</v>
      </c>
      <c r="AC17" s="12"/>
    </row>
    <row r="18" spans="1:29" ht="20.149999999999999" customHeight="1">
      <c r="A18" s="9"/>
      <c r="B18" s="21"/>
      <c r="C18" s="20"/>
      <c r="D18" s="20"/>
      <c r="E18" s="133"/>
      <c r="F18" s="133"/>
      <c r="G18" s="133"/>
      <c r="H18" s="133"/>
      <c r="I18" s="133"/>
      <c r="J18" s="133"/>
      <c r="K18" s="133"/>
      <c r="L18" s="201"/>
      <c r="M18" s="201"/>
      <c r="N18" s="133"/>
      <c r="O18" s="133"/>
      <c r="P18" s="133"/>
      <c r="Q18" s="290"/>
      <c r="R18" s="20"/>
      <c r="S18" s="290"/>
      <c r="T18" s="71"/>
      <c r="U18" s="133"/>
      <c r="V18" s="133"/>
      <c r="W18" s="291"/>
      <c r="X18" s="133"/>
      <c r="Y18" s="71">
        <f t="shared" si="4"/>
        <v>0</v>
      </c>
      <c r="Z18" s="212">
        <f t="shared" si="5"/>
        <v>0</v>
      </c>
      <c r="AA18" s="133"/>
      <c r="AB18" s="212">
        <f t="shared" si="6"/>
        <v>0</v>
      </c>
      <c r="AC18" s="12"/>
    </row>
    <row r="19" spans="1:29" ht="20.149999999999999" customHeight="1">
      <c r="A19" s="9"/>
      <c r="B19" s="19" t="s">
        <v>51</v>
      </c>
      <c r="C19" s="20"/>
      <c r="D19" s="20"/>
      <c r="E19" s="133"/>
      <c r="F19" s="133"/>
      <c r="G19" s="133"/>
      <c r="H19" s="133"/>
      <c r="I19" s="133"/>
      <c r="J19" s="133"/>
      <c r="K19" s="133"/>
      <c r="L19" s="201"/>
      <c r="M19" s="201"/>
      <c r="N19" s="133"/>
      <c r="O19" s="133"/>
      <c r="P19" s="133"/>
      <c r="Q19" s="290"/>
      <c r="R19" s="20"/>
      <c r="S19" s="290"/>
      <c r="T19" s="71"/>
      <c r="U19" s="133"/>
      <c r="V19" s="133"/>
      <c r="W19" s="291"/>
      <c r="X19" s="133"/>
      <c r="Y19" s="71">
        <f t="shared" si="4"/>
        <v>0</v>
      </c>
      <c r="Z19" s="212">
        <f t="shared" si="5"/>
        <v>0</v>
      </c>
      <c r="AA19" s="133"/>
      <c r="AB19" s="212">
        <f t="shared" si="6"/>
        <v>0</v>
      </c>
      <c r="AC19" s="12"/>
    </row>
    <row r="20" spans="1:29" ht="20.149999999999999" customHeight="1">
      <c r="A20" s="9">
        <v>5</v>
      </c>
      <c r="B20" s="10" t="s">
        <v>340</v>
      </c>
      <c r="C20" s="3" t="s">
        <v>968</v>
      </c>
      <c r="D20" s="14" t="s">
        <v>266</v>
      </c>
      <c r="E20" s="71">
        <v>25523.45</v>
      </c>
      <c r="F20" s="71">
        <f>E20*300%</f>
        <v>76570.350000000006</v>
      </c>
      <c r="G20" s="71">
        <f>E20*7.5%</f>
        <v>1914.25875</v>
      </c>
      <c r="H20" s="71">
        <v>0</v>
      </c>
      <c r="I20" s="71">
        <f>E20*50%</f>
        <v>12761.725</v>
      </c>
      <c r="J20" s="71">
        <f>E20*350%</f>
        <v>89332.074999999997</v>
      </c>
      <c r="K20" s="71">
        <f>E20*100%</f>
        <v>25523.45</v>
      </c>
      <c r="L20" s="201">
        <f>120000</f>
        <v>120000</v>
      </c>
      <c r="M20" s="201"/>
      <c r="N20" s="71">
        <f>E20*10%</f>
        <v>2552.3449999999998</v>
      </c>
      <c r="O20" s="71">
        <v>15000</v>
      </c>
      <c r="P20" s="71">
        <v>0</v>
      </c>
      <c r="Q20" s="200">
        <f>SUM(E20:P20)</f>
        <v>369177.65375</v>
      </c>
      <c r="R20" s="14" t="s">
        <v>260</v>
      </c>
      <c r="S20" s="200">
        <f>'SALARY STRUCTURE'!I17+140000</f>
        <v>397211.25</v>
      </c>
      <c r="T20" s="71">
        <f t="shared" si="0"/>
        <v>28033.596249999999</v>
      </c>
      <c r="U20" s="71">
        <v>638.08624999999995</v>
      </c>
      <c r="V20" s="71"/>
      <c r="W20" s="287">
        <v>49548.776186666699</v>
      </c>
      <c r="X20" s="71">
        <f>'[8]October 2023'!$Z$78</f>
        <v>54931.226666666698</v>
      </c>
      <c r="Y20" s="71">
        <f t="shared" si="4"/>
        <v>5382.4504800000004</v>
      </c>
      <c r="Z20" s="212">
        <f t="shared" si="5"/>
        <v>22651.145769999999</v>
      </c>
      <c r="AA20" s="71">
        <f>9</f>
        <v>9</v>
      </c>
      <c r="AB20" s="212">
        <f t="shared" si="6"/>
        <v>203860.31193</v>
      </c>
      <c r="AC20" s="12"/>
    </row>
    <row r="21" spans="1:29" ht="20.149999999999999" customHeight="1">
      <c r="A21" s="9"/>
      <c r="B21" s="19" t="s">
        <v>34</v>
      </c>
      <c r="C21" s="20">
        <v>1</v>
      </c>
      <c r="D21" s="20"/>
      <c r="E21" s="79">
        <f t="shared" ref="E21:Q21" si="12">SUM(E20:E20)</f>
        <v>25523.45</v>
      </c>
      <c r="F21" s="79">
        <f t="shared" si="12"/>
        <v>76570.350000000006</v>
      </c>
      <c r="G21" s="79">
        <f t="shared" si="12"/>
        <v>1914.25875</v>
      </c>
      <c r="H21" s="79">
        <f t="shared" si="12"/>
        <v>0</v>
      </c>
      <c r="I21" s="79">
        <f t="shared" si="12"/>
        <v>12761.725</v>
      </c>
      <c r="J21" s="79">
        <f t="shared" si="12"/>
        <v>89332.074999999997</v>
      </c>
      <c r="K21" s="79">
        <f t="shared" si="12"/>
        <v>25523.45</v>
      </c>
      <c r="L21" s="79">
        <f t="shared" si="12"/>
        <v>120000</v>
      </c>
      <c r="M21" s="79">
        <f t="shared" si="12"/>
        <v>0</v>
      </c>
      <c r="N21" s="79">
        <f t="shared" si="12"/>
        <v>2552.3449999999998</v>
      </c>
      <c r="O21" s="79">
        <f t="shared" si="12"/>
        <v>15000</v>
      </c>
      <c r="P21" s="79">
        <f t="shared" si="12"/>
        <v>0</v>
      </c>
      <c r="Q21" s="79">
        <f t="shared" si="12"/>
        <v>369177.65375</v>
      </c>
      <c r="R21" s="20"/>
      <c r="S21" s="79">
        <f>SUM(S20:S20)</f>
        <v>397211.25</v>
      </c>
      <c r="T21" s="71"/>
      <c r="U21" s="79">
        <f>SUM(U20:U20)</f>
        <v>638.08624999999995</v>
      </c>
      <c r="V21" s="79"/>
      <c r="W21" s="292">
        <f>SUM(W20:W20)</f>
        <v>49548.776186666699</v>
      </c>
      <c r="X21" s="292">
        <f t="shared" ref="X21:AB21" si="13">SUM(X20:X20)</f>
        <v>54931.226666666698</v>
      </c>
      <c r="Y21" s="292">
        <f t="shared" si="13"/>
        <v>5382.4504800000004</v>
      </c>
      <c r="Z21" s="301">
        <f t="shared" si="13"/>
        <v>22651.145769999999</v>
      </c>
      <c r="AA21" s="292"/>
      <c r="AB21" s="301">
        <f t="shared" si="13"/>
        <v>203860.31193</v>
      </c>
      <c r="AC21" s="12"/>
    </row>
    <row r="22" spans="1:29" ht="20.149999999999999" customHeight="1">
      <c r="A22" s="9"/>
      <c r="B22" s="19"/>
      <c r="C22" s="20"/>
      <c r="D22" s="20"/>
      <c r="E22" s="133"/>
      <c r="F22" s="133"/>
      <c r="G22" s="133"/>
      <c r="H22" s="133"/>
      <c r="I22" s="133"/>
      <c r="J22" s="133"/>
      <c r="K22" s="133"/>
      <c r="L22" s="201"/>
      <c r="M22" s="201"/>
      <c r="N22" s="133"/>
      <c r="O22" s="133"/>
      <c r="P22" s="133"/>
      <c r="Q22" s="290"/>
      <c r="R22" s="20"/>
      <c r="S22" s="290"/>
      <c r="T22" s="71"/>
      <c r="U22" s="133"/>
      <c r="V22" s="133"/>
      <c r="W22" s="291"/>
      <c r="X22" s="133"/>
      <c r="Y22" s="71">
        <f t="shared" si="4"/>
        <v>0</v>
      </c>
      <c r="Z22" s="212">
        <f t="shared" si="5"/>
        <v>0</v>
      </c>
      <c r="AA22" s="133"/>
      <c r="AB22" s="212">
        <f t="shared" si="6"/>
        <v>0</v>
      </c>
      <c r="AC22" s="12"/>
    </row>
    <row r="23" spans="1:29" ht="20.149999999999999" customHeight="1">
      <c r="A23" s="9"/>
      <c r="B23" s="19" t="s">
        <v>56</v>
      </c>
      <c r="C23" s="24"/>
      <c r="D23" s="20"/>
      <c r="E23" s="133"/>
      <c r="F23" s="133"/>
      <c r="G23" s="133"/>
      <c r="H23" s="133"/>
      <c r="I23" s="133"/>
      <c r="J23" s="133"/>
      <c r="K23" s="133"/>
      <c r="L23" s="201"/>
      <c r="M23" s="201"/>
      <c r="N23" s="133"/>
      <c r="O23" s="133"/>
      <c r="P23" s="133"/>
      <c r="Q23" s="290"/>
      <c r="R23" s="20"/>
      <c r="S23" s="290"/>
      <c r="T23" s="71"/>
      <c r="U23" s="133"/>
      <c r="V23" s="133"/>
      <c r="W23" s="291"/>
      <c r="X23" s="133"/>
      <c r="Y23" s="71">
        <f t="shared" si="4"/>
        <v>0</v>
      </c>
      <c r="Z23" s="212">
        <f t="shared" si="5"/>
        <v>0</v>
      </c>
      <c r="AA23" s="133"/>
      <c r="AB23" s="212">
        <f t="shared" si="6"/>
        <v>0</v>
      </c>
      <c r="AC23" s="12"/>
    </row>
    <row r="24" spans="1:29" ht="20.149999999999999" customHeight="1">
      <c r="A24" s="9">
        <v>6</v>
      </c>
      <c r="B24" s="10" t="s">
        <v>351</v>
      </c>
      <c r="C24" s="3" t="s">
        <v>259</v>
      </c>
      <c r="D24" s="9" t="s">
        <v>257</v>
      </c>
      <c r="E24" s="71">
        <v>27611.23</v>
      </c>
      <c r="F24" s="71">
        <f>E24*300%</f>
        <v>82833.69</v>
      </c>
      <c r="G24" s="71">
        <f>E24*7.5%</f>
        <v>2070.8422500000001</v>
      </c>
      <c r="H24" s="71"/>
      <c r="I24" s="71">
        <f>E24*50%</f>
        <v>13805.615</v>
      </c>
      <c r="J24" s="71">
        <f>E24*350%</f>
        <v>96639.304999999993</v>
      </c>
      <c r="K24" s="71">
        <f>E24*100%</f>
        <v>27611.23</v>
      </c>
      <c r="L24" s="201">
        <v>140000</v>
      </c>
      <c r="M24" s="201"/>
      <c r="N24" s="71">
        <f>E24*10%</f>
        <v>2761.123</v>
      </c>
      <c r="O24" s="71">
        <v>20000</v>
      </c>
      <c r="P24" s="71"/>
      <c r="Q24" s="200">
        <f>SUM(E24:P24)</f>
        <v>413333.03525000002</v>
      </c>
      <c r="R24" s="9" t="s">
        <v>228</v>
      </c>
      <c r="S24" s="200">
        <f>'SALARY STRUCTURE'!H18+160000</f>
        <v>504720.16666666698</v>
      </c>
      <c r="T24" s="71">
        <f t="shared" si="0"/>
        <v>91387.131416666598</v>
      </c>
      <c r="U24" s="71"/>
      <c r="V24" s="71"/>
      <c r="W24" s="287">
        <v>58026.609434666701</v>
      </c>
      <c r="X24" s="71">
        <f>'[8]October 2023'!$Z$86</f>
        <v>75572.938666666698</v>
      </c>
      <c r="Y24" s="71">
        <f t="shared" si="4"/>
        <v>17546.329232</v>
      </c>
      <c r="Z24" s="212">
        <f t="shared" si="5"/>
        <v>73840.802184666594</v>
      </c>
      <c r="AA24" s="71">
        <v>1</v>
      </c>
      <c r="AB24" s="212">
        <f t="shared" si="6"/>
        <v>73840.802184666594</v>
      </c>
      <c r="AC24" s="12"/>
    </row>
    <row r="25" spans="1:29" ht="21.65" customHeight="1">
      <c r="A25" s="9">
        <v>7</v>
      </c>
      <c r="B25" s="10" t="s">
        <v>355</v>
      </c>
      <c r="C25" s="11" t="s">
        <v>47</v>
      </c>
      <c r="D25" s="14" t="s">
        <v>950</v>
      </c>
      <c r="E25" s="71">
        <v>24741.26</v>
      </c>
      <c r="F25" s="71">
        <f>E25*300%</f>
        <v>74223.78</v>
      </c>
      <c r="G25" s="71">
        <f>E25*7.5%</f>
        <v>1855.5944999999999</v>
      </c>
      <c r="H25" s="71">
        <v>0</v>
      </c>
      <c r="I25" s="71">
        <f>E25*50%</f>
        <v>12370.63</v>
      </c>
      <c r="J25" s="71">
        <f>E25*350%</f>
        <v>86594.41</v>
      </c>
      <c r="K25" s="71">
        <f>E25*100%</f>
        <v>24741.26</v>
      </c>
      <c r="L25" s="201">
        <f t="shared" ref="L25" si="14">120000</f>
        <v>120000</v>
      </c>
      <c r="M25" s="201"/>
      <c r="N25" s="71">
        <f>E25*10%</f>
        <v>2474.1260000000002</v>
      </c>
      <c r="O25" s="71">
        <v>15000</v>
      </c>
      <c r="P25" s="71">
        <v>0</v>
      </c>
      <c r="Q25" s="200">
        <f>SUM(E25:P25)</f>
        <v>362001.06050000002</v>
      </c>
      <c r="R25" s="14" t="s">
        <v>356</v>
      </c>
      <c r="S25" s="200">
        <f>'SALARY STRUCTURE'!H17+140000</f>
        <v>389153.41666666698</v>
      </c>
      <c r="T25" s="71">
        <f t="shared" si="0"/>
        <v>27152.356166666701</v>
      </c>
      <c r="U25" s="71"/>
      <c r="V25" s="71"/>
      <c r="W25" s="287">
        <v>48170.870282666699</v>
      </c>
      <c r="X25" s="71">
        <f>'[8]October 2023'!$Z$89</f>
        <v>53384.122666666699</v>
      </c>
      <c r="Y25" s="71">
        <f t="shared" si="4"/>
        <v>5213.2523840000003</v>
      </c>
      <c r="Z25" s="212">
        <f t="shared" si="5"/>
        <v>21939.103782666702</v>
      </c>
      <c r="AA25" s="71">
        <f>(19/31)+2</f>
        <v>2.6129032258064502</v>
      </c>
      <c r="AB25" s="212">
        <f t="shared" si="6"/>
        <v>57324.755045032303</v>
      </c>
      <c r="AC25" s="12"/>
    </row>
    <row r="26" spans="1:29" ht="20.149999999999999" customHeight="1">
      <c r="A26" s="9"/>
      <c r="B26" s="19" t="s">
        <v>34</v>
      </c>
      <c r="C26" s="20">
        <v>2</v>
      </c>
      <c r="D26" s="20"/>
      <c r="E26" s="79">
        <f t="shared" ref="E26:Q26" si="15">SUM(E24:E25)</f>
        <v>52352.49</v>
      </c>
      <c r="F26" s="79">
        <f t="shared" si="15"/>
        <v>157057.47</v>
      </c>
      <c r="G26" s="79">
        <f t="shared" si="15"/>
        <v>3926.4367499999998</v>
      </c>
      <c r="H26" s="79">
        <f t="shared" si="15"/>
        <v>0</v>
      </c>
      <c r="I26" s="79">
        <f t="shared" si="15"/>
        <v>26176.244999999999</v>
      </c>
      <c r="J26" s="79">
        <f t="shared" si="15"/>
        <v>183233.715</v>
      </c>
      <c r="K26" s="79">
        <f t="shared" si="15"/>
        <v>52352.49</v>
      </c>
      <c r="L26" s="79">
        <f t="shared" si="15"/>
        <v>260000</v>
      </c>
      <c r="M26" s="79">
        <f t="shared" si="15"/>
        <v>0</v>
      </c>
      <c r="N26" s="79">
        <f t="shared" si="15"/>
        <v>5235.2489999999998</v>
      </c>
      <c r="O26" s="79">
        <f t="shared" si="15"/>
        <v>35000</v>
      </c>
      <c r="P26" s="79">
        <f t="shared" si="15"/>
        <v>0</v>
      </c>
      <c r="Q26" s="79">
        <f t="shared" si="15"/>
        <v>775334.09574999998</v>
      </c>
      <c r="R26" s="20"/>
      <c r="S26" s="79">
        <f>SUM(S24:S25)</f>
        <v>893873.58333333302</v>
      </c>
      <c r="T26" s="79">
        <f t="shared" ref="T26:AB26" si="16">SUM(T24:T25)</f>
        <v>118539.487583333</v>
      </c>
      <c r="U26" s="79">
        <f t="shared" si="16"/>
        <v>0</v>
      </c>
      <c r="V26" s="79">
        <f t="shared" si="16"/>
        <v>0</v>
      </c>
      <c r="W26" s="79">
        <f t="shared" si="16"/>
        <v>106197.479717333</v>
      </c>
      <c r="X26" s="79">
        <f t="shared" si="16"/>
        <v>128957.061333333</v>
      </c>
      <c r="Y26" s="79">
        <f t="shared" si="16"/>
        <v>22759.581615999999</v>
      </c>
      <c r="Z26" s="300">
        <f t="shared" si="16"/>
        <v>95779.905967333296</v>
      </c>
      <c r="AA26" s="79"/>
      <c r="AB26" s="300">
        <f t="shared" si="16"/>
        <v>131165.55722969901</v>
      </c>
      <c r="AC26" s="12"/>
    </row>
    <row r="27" spans="1:29" ht="20.149999999999999" customHeight="1">
      <c r="A27" s="9"/>
      <c r="B27" s="21"/>
      <c r="C27" s="20"/>
      <c r="D27" s="20"/>
      <c r="E27" s="133"/>
      <c r="F27" s="133"/>
      <c r="G27" s="133"/>
      <c r="H27" s="133"/>
      <c r="I27" s="133"/>
      <c r="J27" s="133"/>
      <c r="K27" s="133"/>
      <c r="L27" s="201"/>
      <c r="M27" s="201"/>
      <c r="N27" s="133"/>
      <c r="O27" s="133"/>
      <c r="P27" s="133"/>
      <c r="Q27" s="290"/>
      <c r="R27" s="20"/>
      <c r="S27" s="290"/>
      <c r="T27" s="71">
        <f t="shared" si="0"/>
        <v>0</v>
      </c>
      <c r="U27" s="133"/>
      <c r="V27" s="133"/>
      <c r="W27" s="291"/>
      <c r="X27" s="133"/>
      <c r="Y27" s="71">
        <f t="shared" si="4"/>
        <v>0</v>
      </c>
      <c r="Z27" s="212">
        <f t="shared" si="5"/>
        <v>0</v>
      </c>
      <c r="AA27" s="133"/>
      <c r="AB27" s="212">
        <f t="shared" si="6"/>
        <v>0</v>
      </c>
      <c r="AC27" s="12"/>
    </row>
    <row r="28" spans="1:29" ht="20.149999999999999" customHeight="1">
      <c r="A28" s="9"/>
      <c r="B28" s="19" t="s">
        <v>58</v>
      </c>
      <c r="C28" s="20"/>
      <c r="D28" s="20"/>
      <c r="E28" s="133"/>
      <c r="F28" s="133"/>
      <c r="G28" s="133"/>
      <c r="H28" s="133"/>
      <c r="I28" s="133"/>
      <c r="J28" s="133"/>
      <c r="K28" s="133"/>
      <c r="L28" s="201"/>
      <c r="M28" s="201"/>
      <c r="N28" s="133"/>
      <c r="O28" s="133"/>
      <c r="P28" s="133"/>
      <c r="Q28" s="290"/>
      <c r="R28" s="20"/>
      <c r="S28" s="290"/>
      <c r="T28" s="71">
        <f t="shared" si="0"/>
        <v>0</v>
      </c>
      <c r="U28" s="133"/>
      <c r="V28" s="133"/>
      <c r="W28" s="291"/>
      <c r="X28" s="133"/>
      <c r="Y28" s="71">
        <f t="shared" si="4"/>
        <v>0</v>
      </c>
      <c r="Z28" s="212">
        <f t="shared" si="5"/>
        <v>0</v>
      </c>
      <c r="AA28" s="133"/>
      <c r="AB28" s="212">
        <f t="shared" si="6"/>
        <v>0</v>
      </c>
      <c r="AC28" s="12"/>
    </row>
    <row r="29" spans="1:29" ht="20.149999999999999" customHeight="1">
      <c r="A29" s="9">
        <v>8</v>
      </c>
      <c r="B29" s="10" t="s">
        <v>250</v>
      </c>
      <c r="C29" s="3" t="s">
        <v>367</v>
      </c>
      <c r="D29" s="9" t="s">
        <v>257</v>
      </c>
      <c r="E29" s="71">
        <v>27611.23</v>
      </c>
      <c r="F29" s="71">
        <f>E29*300%</f>
        <v>82833.69</v>
      </c>
      <c r="G29" s="71">
        <f>E29*7.5%</f>
        <v>2070.8422500000001</v>
      </c>
      <c r="H29" s="71"/>
      <c r="I29" s="71">
        <f>E29*50%</f>
        <v>13805.615</v>
      </c>
      <c r="J29" s="71">
        <f>E29*350%</f>
        <v>96639.304999999993</v>
      </c>
      <c r="K29" s="71">
        <f>E29*100%</f>
        <v>27611.23</v>
      </c>
      <c r="L29" s="201">
        <v>140000</v>
      </c>
      <c r="M29" s="201"/>
      <c r="N29" s="71">
        <f>E29*10%</f>
        <v>2761.123</v>
      </c>
      <c r="O29" s="71">
        <v>20000</v>
      </c>
      <c r="P29" s="71">
        <f>100000</f>
        <v>100000</v>
      </c>
      <c r="Q29" s="200">
        <f>SUM(E29:P29)</f>
        <v>513333.03525000002</v>
      </c>
      <c r="R29" s="9" t="s">
        <v>228</v>
      </c>
      <c r="S29" s="200">
        <f>'SALARY STRUCTURE'!H18+160000+100000</f>
        <v>604720.16666666698</v>
      </c>
      <c r="T29" s="71">
        <f t="shared" si="0"/>
        <v>91387.1314166667</v>
      </c>
      <c r="U29" s="71">
        <v>690.28075000000001</v>
      </c>
      <c r="V29" s="71">
        <f>837.69</f>
        <v>837.69</v>
      </c>
      <c r="W29" s="287">
        <f>77098.29</f>
        <v>77098.289999999994</v>
      </c>
      <c r="X29" s="71">
        <f>'[8]October 2023'!$Z$97</f>
        <v>94644.621866666697</v>
      </c>
      <c r="Y29" s="71">
        <f t="shared" si="4"/>
        <v>17546.3318666667</v>
      </c>
      <c r="Z29" s="212">
        <f t="shared" si="5"/>
        <v>73840.799549999996</v>
      </c>
      <c r="AA29" s="71">
        <f>3</f>
        <v>3</v>
      </c>
      <c r="AB29" s="212">
        <f t="shared" si="6"/>
        <v>221522.39864999999</v>
      </c>
      <c r="AC29" s="12"/>
    </row>
    <row r="30" spans="1:29" ht="20.149999999999999" customHeight="1">
      <c r="A30" s="9">
        <v>9</v>
      </c>
      <c r="B30" s="10" t="s">
        <v>366</v>
      </c>
      <c r="C30" s="3" t="s">
        <v>420</v>
      </c>
      <c r="D30" s="14" t="s">
        <v>266</v>
      </c>
      <c r="E30" s="71">
        <v>25523.45</v>
      </c>
      <c r="F30" s="71">
        <f>E30*300%</f>
        <v>76570.350000000006</v>
      </c>
      <c r="G30" s="71">
        <f>E30*7.5%</f>
        <v>1914.25875</v>
      </c>
      <c r="H30" s="71">
        <v>0</v>
      </c>
      <c r="I30" s="71">
        <f>E30*50%</f>
        <v>12761.725</v>
      </c>
      <c r="J30" s="71">
        <f>E30*350%</f>
        <v>89332.074999999997</v>
      </c>
      <c r="K30" s="71">
        <f>E30*100%</f>
        <v>25523.45</v>
      </c>
      <c r="L30" s="201"/>
      <c r="M30" s="201">
        <v>70000</v>
      </c>
      <c r="N30" s="71">
        <f>E30*10%</f>
        <v>2552.3449999999998</v>
      </c>
      <c r="O30" s="71">
        <v>15000</v>
      </c>
      <c r="P30" s="71">
        <v>0</v>
      </c>
      <c r="Q30" s="200">
        <f>SUM(E30:P30)</f>
        <v>319177.65375</v>
      </c>
      <c r="R30" s="14" t="s">
        <v>260</v>
      </c>
      <c r="S30" s="200">
        <f>'SALARY STRUCTURE'!I17+70000</f>
        <v>327211.25</v>
      </c>
      <c r="T30" s="71">
        <f t="shared" si="0"/>
        <v>8033.5962499999996</v>
      </c>
      <c r="U30" s="71"/>
      <c r="V30" s="71"/>
      <c r="W30" s="287">
        <v>40698.124856666698</v>
      </c>
      <c r="X30" s="71">
        <f>'[8]October 2023'!$Z$129</f>
        <v>42047.769026666698</v>
      </c>
      <c r="Y30" s="71">
        <f t="shared" si="4"/>
        <v>1349.64417000001</v>
      </c>
      <c r="Z30" s="212">
        <f t="shared" si="5"/>
        <v>6683.95208</v>
      </c>
      <c r="AA30" s="71">
        <v>7</v>
      </c>
      <c r="AB30" s="212">
        <f t="shared" si="6"/>
        <v>46787.664559999997</v>
      </c>
      <c r="AC30" s="12"/>
    </row>
    <row r="31" spans="1:29" ht="20.149999999999999" customHeight="1">
      <c r="A31" s="9">
        <v>10</v>
      </c>
      <c r="B31" s="10" t="s">
        <v>370</v>
      </c>
      <c r="C31" s="3" t="s">
        <v>969</v>
      </c>
      <c r="D31" s="14" t="s">
        <v>945</v>
      </c>
      <c r="E31" s="71">
        <v>13492.21</v>
      </c>
      <c r="F31" s="71">
        <v>40476.629999999997</v>
      </c>
      <c r="G31" s="71">
        <v>1011.91575</v>
      </c>
      <c r="H31" s="71"/>
      <c r="I31" s="71">
        <v>6746.1049999999996</v>
      </c>
      <c r="J31" s="71">
        <v>47222.735000000001</v>
      </c>
      <c r="K31" s="71">
        <v>13492.21</v>
      </c>
      <c r="L31" s="201"/>
      <c r="M31" s="201">
        <v>50000</v>
      </c>
      <c r="N31" s="71">
        <v>1349.221</v>
      </c>
      <c r="O31" s="71">
        <v>10000</v>
      </c>
      <c r="P31" s="71"/>
      <c r="Q31" s="200">
        <v>183791.02674999999</v>
      </c>
      <c r="R31" s="14" t="s">
        <v>38</v>
      </c>
      <c r="S31" s="200">
        <f>'SALARY STRUCTURE'!H14+60000</f>
        <v>228601.58333333299</v>
      </c>
      <c r="T31" s="71">
        <f t="shared" si="0"/>
        <v>44810.556583333397</v>
      </c>
      <c r="U31" s="71"/>
      <c r="V31" s="71"/>
      <c r="W31" s="287">
        <v>18102.902732666698</v>
      </c>
      <c r="X31" s="71">
        <f>'[8]October 2023'!$Z$30</f>
        <v>25571.7326666667</v>
      </c>
      <c r="Y31" s="71">
        <f t="shared" si="4"/>
        <v>7468.8299340000003</v>
      </c>
      <c r="Z31" s="212">
        <f t="shared" si="5"/>
        <v>37341.726649333403</v>
      </c>
      <c r="AA31" s="71">
        <v>1</v>
      </c>
      <c r="AB31" s="212">
        <f t="shared" si="6"/>
        <v>37341.726649333403</v>
      </c>
      <c r="AC31" s="12"/>
    </row>
    <row r="32" spans="1:29" ht="20.149999999999999" customHeight="1">
      <c r="A32" s="3"/>
      <c r="B32" s="19" t="s">
        <v>34</v>
      </c>
      <c r="C32" s="20">
        <v>3</v>
      </c>
      <c r="D32" s="25"/>
      <c r="E32" s="79">
        <f t="shared" ref="E32:Q32" si="17">SUM(E29:E31)</f>
        <v>66626.89</v>
      </c>
      <c r="F32" s="79">
        <f t="shared" si="17"/>
        <v>199880.67</v>
      </c>
      <c r="G32" s="79">
        <f t="shared" si="17"/>
        <v>4997.0167499999998</v>
      </c>
      <c r="H32" s="79">
        <f t="shared" si="17"/>
        <v>0</v>
      </c>
      <c r="I32" s="79">
        <f t="shared" si="17"/>
        <v>33313.445</v>
      </c>
      <c r="J32" s="79">
        <f t="shared" si="17"/>
        <v>233194.11499999999</v>
      </c>
      <c r="K32" s="79">
        <f t="shared" si="17"/>
        <v>66626.89</v>
      </c>
      <c r="L32" s="79">
        <f t="shared" si="17"/>
        <v>140000</v>
      </c>
      <c r="M32" s="79">
        <f t="shared" si="17"/>
        <v>120000</v>
      </c>
      <c r="N32" s="79">
        <f t="shared" si="17"/>
        <v>6662.6890000000003</v>
      </c>
      <c r="O32" s="79">
        <f t="shared" si="17"/>
        <v>45000</v>
      </c>
      <c r="P32" s="79">
        <f t="shared" si="17"/>
        <v>100000</v>
      </c>
      <c r="Q32" s="79">
        <f t="shared" si="17"/>
        <v>1016301.71575</v>
      </c>
      <c r="R32" s="25"/>
      <c r="S32" s="79">
        <f>SUM(S29:S31)</f>
        <v>1160533</v>
      </c>
      <c r="T32" s="71">
        <f t="shared" si="0"/>
        <v>144231.28425</v>
      </c>
      <c r="U32" s="79">
        <f>SUM(U29:U31)</f>
        <v>690.28075000000001</v>
      </c>
      <c r="V32" s="79"/>
      <c r="W32" s="292">
        <f>SUM(W29:W31)</f>
        <v>135899.31758933299</v>
      </c>
      <c r="X32" s="292">
        <f t="shared" ref="X32:AB32" si="18">SUM(X29:X31)</f>
        <v>162264.12356000001</v>
      </c>
      <c r="Y32" s="292">
        <f t="shared" si="18"/>
        <v>26364.805970666701</v>
      </c>
      <c r="Z32" s="301">
        <f t="shared" si="18"/>
        <v>117866.47827933299</v>
      </c>
      <c r="AA32" s="292"/>
      <c r="AB32" s="301">
        <f t="shared" si="18"/>
        <v>305651.78985933302</v>
      </c>
      <c r="AC32" s="12"/>
    </row>
    <row r="33" spans="1:29" ht="20.149999999999999" customHeight="1">
      <c r="A33" s="3"/>
      <c r="B33" s="21"/>
      <c r="C33" s="9"/>
      <c r="D33" s="3"/>
      <c r="E33" s="205"/>
      <c r="F33" s="205"/>
      <c r="G33" s="205"/>
      <c r="H33" s="205"/>
      <c r="I33" s="205"/>
      <c r="J33" s="205"/>
      <c r="K33" s="205"/>
      <c r="L33" s="201"/>
      <c r="M33" s="201"/>
      <c r="N33" s="205"/>
      <c r="O33" s="205"/>
      <c r="P33" s="205"/>
      <c r="Q33" s="293"/>
      <c r="R33" s="3"/>
      <c r="S33" s="293"/>
      <c r="T33" s="71"/>
      <c r="U33" s="205"/>
      <c r="V33" s="205"/>
      <c r="W33" s="294"/>
      <c r="X33" s="205"/>
      <c r="Y33" s="71">
        <f t="shared" si="4"/>
        <v>0</v>
      </c>
      <c r="Z33" s="212">
        <f t="shared" si="5"/>
        <v>0</v>
      </c>
      <c r="AA33" s="205"/>
      <c r="AB33" s="212">
        <f t="shared" si="6"/>
        <v>0</v>
      </c>
      <c r="AC33" s="12"/>
    </row>
    <row r="34" spans="1:29" ht="20.149999999999999" customHeight="1">
      <c r="A34" s="3"/>
      <c r="B34" s="19" t="s">
        <v>67</v>
      </c>
      <c r="C34" s="20"/>
      <c r="D34" s="20"/>
      <c r="E34" s="133"/>
      <c r="F34" s="133"/>
      <c r="G34" s="133"/>
      <c r="H34" s="133"/>
      <c r="I34" s="133"/>
      <c r="J34" s="133"/>
      <c r="K34" s="133"/>
      <c r="L34" s="201"/>
      <c r="M34" s="201"/>
      <c r="N34" s="133"/>
      <c r="O34" s="133"/>
      <c r="P34" s="133"/>
      <c r="Q34" s="290"/>
      <c r="R34" s="20"/>
      <c r="S34" s="290"/>
      <c r="T34" s="71"/>
      <c r="U34" s="133"/>
      <c r="V34" s="133"/>
      <c r="W34" s="291"/>
      <c r="X34" s="133"/>
      <c r="Y34" s="71">
        <f t="shared" si="4"/>
        <v>0</v>
      </c>
      <c r="Z34" s="212">
        <f t="shared" si="5"/>
        <v>0</v>
      </c>
      <c r="AA34" s="133"/>
      <c r="AB34" s="212">
        <f t="shared" si="6"/>
        <v>0</v>
      </c>
      <c r="AC34" s="12"/>
    </row>
    <row r="35" spans="1:29" ht="20.149999999999999" customHeight="1">
      <c r="A35" s="3">
        <v>11</v>
      </c>
      <c r="B35" s="10" t="s">
        <v>400</v>
      </c>
      <c r="C35" s="11" t="s">
        <v>970</v>
      </c>
      <c r="D35" s="14" t="s">
        <v>266</v>
      </c>
      <c r="E35" s="71">
        <v>25523.45</v>
      </c>
      <c r="F35" s="71">
        <f>E35*300%</f>
        <v>76570.350000000006</v>
      </c>
      <c r="G35" s="71">
        <f>E35*7.5%</f>
        <v>1914.25875</v>
      </c>
      <c r="H35" s="71"/>
      <c r="I35" s="71">
        <f>E35*50%</f>
        <v>12761.725</v>
      </c>
      <c r="J35" s="71">
        <f>E35*350%</f>
        <v>89332.074999999997</v>
      </c>
      <c r="K35" s="71">
        <f>E35*100%</f>
        <v>25523.45</v>
      </c>
      <c r="L35" s="201"/>
      <c r="M35" s="201">
        <f t="shared" ref="M35" si="19">70000</f>
        <v>70000</v>
      </c>
      <c r="N35" s="71">
        <f>E35*10%</f>
        <v>2552.3449999999998</v>
      </c>
      <c r="O35" s="71">
        <v>15000</v>
      </c>
      <c r="P35" s="71"/>
      <c r="Q35" s="200">
        <f>SUM(E35:P35)</f>
        <v>319177.65375</v>
      </c>
      <c r="R35" s="14" t="s">
        <v>260</v>
      </c>
      <c r="S35" s="200">
        <f>'SALARY STRUCTURE'!I17+70000</f>
        <v>327211.25</v>
      </c>
      <c r="T35" s="71">
        <f t="shared" si="0"/>
        <v>8033.5962499999996</v>
      </c>
      <c r="U35" s="71">
        <v>638.08624999999995</v>
      </c>
      <c r="V35" s="71">
        <f>690.28</f>
        <v>690.28</v>
      </c>
      <c r="W35" s="287">
        <v>40684.599176666699</v>
      </c>
      <c r="X35" s="71">
        <f>'[8]October 2023'!$Z$118</f>
        <v>42034.243346666699</v>
      </c>
      <c r="Y35" s="71">
        <f t="shared" si="4"/>
        <v>1349.64417</v>
      </c>
      <c r="Z35" s="212">
        <f t="shared" si="5"/>
        <v>6683.95208</v>
      </c>
      <c r="AA35" s="71">
        <f>9</f>
        <v>9</v>
      </c>
      <c r="AB35" s="212">
        <f t="shared" si="6"/>
        <v>60155.568720000003</v>
      </c>
      <c r="AC35" s="12"/>
    </row>
    <row r="36" spans="1:29" ht="28.5" customHeight="1">
      <c r="A36" s="3"/>
      <c r="B36" s="19" t="s">
        <v>34</v>
      </c>
      <c r="C36" s="25" t="s">
        <v>70</v>
      </c>
      <c r="D36" s="14"/>
      <c r="E36" s="133">
        <f t="shared" ref="E36:Q36" si="20">SUM(E35:E35)</f>
        <v>25523.45</v>
      </c>
      <c r="F36" s="133">
        <f t="shared" si="20"/>
        <v>76570.350000000006</v>
      </c>
      <c r="G36" s="133">
        <f t="shared" si="20"/>
        <v>1914.25875</v>
      </c>
      <c r="H36" s="133">
        <f t="shared" si="20"/>
        <v>0</v>
      </c>
      <c r="I36" s="133">
        <f t="shared" si="20"/>
        <v>12761.725</v>
      </c>
      <c r="J36" s="133">
        <f t="shared" si="20"/>
        <v>89332.074999999997</v>
      </c>
      <c r="K36" s="133">
        <f t="shared" si="20"/>
        <v>25523.45</v>
      </c>
      <c r="L36" s="133">
        <f t="shared" si="20"/>
        <v>0</v>
      </c>
      <c r="M36" s="133">
        <f t="shared" si="20"/>
        <v>70000</v>
      </c>
      <c r="N36" s="133">
        <f t="shared" si="20"/>
        <v>2552.3449999999998</v>
      </c>
      <c r="O36" s="133">
        <f t="shared" si="20"/>
        <v>15000</v>
      </c>
      <c r="P36" s="133">
        <f t="shared" si="20"/>
        <v>0</v>
      </c>
      <c r="Q36" s="133">
        <f t="shared" si="20"/>
        <v>319177.65375</v>
      </c>
      <c r="R36" s="14"/>
      <c r="S36" s="133">
        <f t="shared" ref="S36:Z36" si="21">SUM(S35:S35)</f>
        <v>327211.25</v>
      </c>
      <c r="T36" s="133">
        <f t="shared" si="21"/>
        <v>8033.5962499999996</v>
      </c>
      <c r="U36" s="133">
        <f t="shared" si="21"/>
        <v>638.08624999999995</v>
      </c>
      <c r="V36" s="133">
        <f t="shared" si="21"/>
        <v>690.28</v>
      </c>
      <c r="W36" s="133">
        <f t="shared" si="21"/>
        <v>40684.599176666699</v>
      </c>
      <c r="X36" s="133">
        <f t="shared" si="21"/>
        <v>42034.243346666699</v>
      </c>
      <c r="Y36" s="133">
        <f t="shared" si="21"/>
        <v>1349.64417</v>
      </c>
      <c r="Z36" s="214">
        <f t="shared" si="21"/>
        <v>6683.95208</v>
      </c>
      <c r="AA36" s="133"/>
      <c r="AB36" s="214">
        <f>SUM(AB35:AB35)</f>
        <v>60155.568720000003</v>
      </c>
      <c r="AC36" s="12"/>
    </row>
    <row r="37" spans="1:29" ht="20.149999999999999" customHeight="1">
      <c r="A37" s="3"/>
      <c r="B37" s="21"/>
      <c r="C37" s="25"/>
      <c r="D37" s="14"/>
      <c r="E37" s="133"/>
      <c r="F37" s="133"/>
      <c r="G37" s="133"/>
      <c r="H37" s="133"/>
      <c r="I37" s="133"/>
      <c r="J37" s="133"/>
      <c r="K37" s="133"/>
      <c r="L37" s="201">
        <f>226713.38+70000</f>
        <v>296713.38</v>
      </c>
      <c r="M37" s="201"/>
      <c r="N37" s="133"/>
      <c r="O37" s="133"/>
      <c r="P37" s="133"/>
      <c r="Q37" s="290"/>
      <c r="R37" s="14"/>
      <c r="S37" s="290"/>
      <c r="T37" s="71"/>
      <c r="U37" s="133"/>
      <c r="V37" s="133"/>
      <c r="W37" s="291"/>
      <c r="X37" s="133"/>
      <c r="Y37" s="71"/>
      <c r="Z37" s="212"/>
      <c r="AA37" s="133"/>
      <c r="AB37" s="212"/>
      <c r="AC37" s="12"/>
    </row>
    <row r="38" spans="1:29" ht="20.149999999999999" customHeight="1">
      <c r="A38" s="3"/>
      <c r="B38" s="19" t="s">
        <v>71</v>
      </c>
      <c r="C38" s="11"/>
      <c r="D38" s="14"/>
      <c r="E38" s="71"/>
      <c r="F38" s="71"/>
      <c r="G38" s="71"/>
      <c r="H38" s="71"/>
      <c r="I38" s="71"/>
      <c r="J38" s="71"/>
      <c r="K38" s="71"/>
      <c r="L38" s="201"/>
      <c r="M38" s="201"/>
      <c r="N38" s="71"/>
      <c r="O38" s="71"/>
      <c r="P38" s="71"/>
      <c r="Q38" s="200"/>
      <c r="R38" s="14"/>
      <c r="S38" s="200"/>
      <c r="T38" s="71"/>
      <c r="U38" s="71"/>
      <c r="V38" s="71"/>
      <c r="W38" s="287"/>
      <c r="X38" s="71"/>
      <c r="Y38" s="71"/>
      <c r="Z38" s="212"/>
      <c r="AA38" s="71"/>
      <c r="AB38" s="212"/>
      <c r="AC38" s="12"/>
    </row>
    <row r="39" spans="1:29" ht="20.149999999999999" customHeight="1">
      <c r="A39" s="26">
        <v>12</v>
      </c>
      <c r="B39" s="10" t="s">
        <v>423</v>
      </c>
      <c r="C39" s="11" t="s">
        <v>971</v>
      </c>
      <c r="D39" s="14" t="s">
        <v>432</v>
      </c>
      <c r="E39" s="201">
        <v>18779.3</v>
      </c>
      <c r="F39" s="71">
        <f t="shared" ref="F39:F45" si="22">E39*300%</f>
        <v>56337.9</v>
      </c>
      <c r="G39" s="71">
        <f t="shared" ref="G39:G45" si="23">E39*7.5%</f>
        <v>1408.4475</v>
      </c>
      <c r="H39" s="71"/>
      <c r="I39" s="71">
        <f t="shared" ref="I39:I45" si="24">E39*50%</f>
        <v>9389.65</v>
      </c>
      <c r="J39" s="71">
        <f t="shared" ref="J39:J45" si="25">E39*350%</f>
        <v>65727.55</v>
      </c>
      <c r="K39" s="71">
        <f t="shared" ref="K39:K45" si="26">E39*100%</f>
        <v>18779.3</v>
      </c>
      <c r="L39" s="201"/>
      <c r="M39" s="201">
        <f>60000</f>
        <v>60000</v>
      </c>
      <c r="N39" s="71">
        <f t="shared" ref="N39:N45" si="27">E39*10%</f>
        <v>1877.93</v>
      </c>
      <c r="O39" s="71">
        <v>10000</v>
      </c>
      <c r="P39" s="71"/>
      <c r="Q39" s="200">
        <f t="shared" ref="Q39:Q45" si="28">SUM(E39:P39)</f>
        <v>242300.07750000001</v>
      </c>
      <c r="R39" s="14" t="s">
        <v>42</v>
      </c>
      <c r="S39" s="200">
        <f>'SALARY STRUCTURE'!H15+60000</f>
        <v>265371.75</v>
      </c>
      <c r="T39" s="71">
        <f t="shared" si="0"/>
        <v>23071.672500000001</v>
      </c>
      <c r="U39" s="71">
        <v>469.48250000000002</v>
      </c>
      <c r="V39" s="71">
        <f>570.95</f>
        <v>570.95000000000005</v>
      </c>
      <c r="W39" s="287">
        <v>27794.206626666699</v>
      </c>
      <c r="X39" s="71">
        <f>'[8]October 2023'!$Z$134</f>
        <v>31653.201066666701</v>
      </c>
      <c r="Y39" s="71">
        <f t="shared" si="4"/>
        <v>3858.9944399999999</v>
      </c>
      <c r="Z39" s="212">
        <f t="shared" si="5"/>
        <v>19212.678059999998</v>
      </c>
      <c r="AA39" s="71">
        <v>9</v>
      </c>
      <c r="AB39" s="212">
        <f t="shared" si="6"/>
        <v>172914.10253999999</v>
      </c>
      <c r="AC39" s="12"/>
    </row>
    <row r="40" spans="1:29" ht="20.149999999999999" customHeight="1">
      <c r="A40" s="26">
        <v>13</v>
      </c>
      <c r="B40" s="17" t="s">
        <v>427</v>
      </c>
      <c r="C40" s="3" t="s">
        <v>437</v>
      </c>
      <c r="D40" s="14" t="s">
        <v>432</v>
      </c>
      <c r="E40" s="71">
        <f>18779.3</f>
        <v>18779.3</v>
      </c>
      <c r="F40" s="71">
        <f t="shared" si="22"/>
        <v>56337.9</v>
      </c>
      <c r="G40" s="71">
        <f t="shared" si="23"/>
        <v>1408.4475</v>
      </c>
      <c r="H40" s="71"/>
      <c r="I40" s="71">
        <f t="shared" si="24"/>
        <v>9389.65</v>
      </c>
      <c r="J40" s="71">
        <f t="shared" si="25"/>
        <v>65727.55</v>
      </c>
      <c r="K40" s="71">
        <f t="shared" si="26"/>
        <v>18779.3</v>
      </c>
      <c r="L40" s="201"/>
      <c r="M40" s="201">
        <v>60000</v>
      </c>
      <c r="N40" s="71">
        <f t="shared" si="27"/>
        <v>1877.93</v>
      </c>
      <c r="O40" s="71">
        <v>10000</v>
      </c>
      <c r="P40" s="71"/>
      <c r="Q40" s="200">
        <f t="shared" si="28"/>
        <v>242300.07750000001</v>
      </c>
      <c r="R40" s="14" t="s">
        <v>42</v>
      </c>
      <c r="S40" s="200">
        <f>'SALARY STRUCTURE'!H15+60000</f>
        <v>265371.75</v>
      </c>
      <c r="T40" s="71">
        <f t="shared" si="0"/>
        <v>23071.672500000001</v>
      </c>
      <c r="U40" s="71">
        <v>0</v>
      </c>
      <c r="V40" s="71"/>
      <c r="W40" s="287">
        <v>27873.079686666701</v>
      </c>
      <c r="X40" s="71">
        <f>'[8]October 2023'!$Z$24</f>
        <v>31749.120666666699</v>
      </c>
      <c r="Y40" s="71">
        <f t="shared" si="4"/>
        <v>3876.0409800000002</v>
      </c>
      <c r="Z40" s="212">
        <f t="shared" si="5"/>
        <v>19195.631519999999</v>
      </c>
      <c r="AA40" s="71">
        <v>1</v>
      </c>
      <c r="AB40" s="212">
        <f t="shared" si="6"/>
        <v>19195.631519999999</v>
      </c>
      <c r="AC40" s="12"/>
    </row>
    <row r="41" spans="1:29" ht="20.149999999999999" customHeight="1">
      <c r="A41" s="26">
        <v>14</v>
      </c>
      <c r="B41" s="17" t="s">
        <v>446</v>
      </c>
      <c r="C41" s="11" t="s">
        <v>451</v>
      </c>
      <c r="D41" s="14" t="s">
        <v>945</v>
      </c>
      <c r="E41" s="201">
        <v>13492.21</v>
      </c>
      <c r="F41" s="71">
        <f t="shared" si="22"/>
        <v>40476.629999999997</v>
      </c>
      <c r="G41" s="71">
        <f t="shared" si="23"/>
        <v>1011.91575</v>
      </c>
      <c r="H41" s="71"/>
      <c r="I41" s="71">
        <f t="shared" si="24"/>
        <v>6746.1049999999996</v>
      </c>
      <c r="J41" s="71">
        <f t="shared" si="25"/>
        <v>47222.735000000001</v>
      </c>
      <c r="K41" s="71">
        <f t="shared" si="26"/>
        <v>13492.21</v>
      </c>
      <c r="L41" s="201"/>
      <c r="M41" s="201">
        <f>50000</f>
        <v>50000</v>
      </c>
      <c r="N41" s="71">
        <f t="shared" si="27"/>
        <v>1349.221</v>
      </c>
      <c r="O41" s="71">
        <v>10000</v>
      </c>
      <c r="P41" s="3"/>
      <c r="Q41" s="200">
        <f t="shared" si="28"/>
        <v>183791.02674999999</v>
      </c>
      <c r="R41" s="14" t="s">
        <v>25</v>
      </c>
      <c r="S41" s="200">
        <f>'SALARY STRUCTURE'!H13+60000</f>
        <v>205203.66666666701</v>
      </c>
      <c r="T41" s="71">
        <f t="shared" si="0"/>
        <v>21412.6399166667</v>
      </c>
      <c r="U41" s="71"/>
      <c r="V41" s="71"/>
      <c r="W41" s="287">
        <v>18102.902732666698</v>
      </c>
      <c r="X41" s="71">
        <f>'[8]October 2023'!$Z$145</f>
        <v>21640.882666666701</v>
      </c>
      <c r="Y41" s="71">
        <f t="shared" si="4"/>
        <v>3537.979934</v>
      </c>
      <c r="Z41" s="212">
        <f t="shared" si="5"/>
        <v>17874.659982666701</v>
      </c>
      <c r="AA41" s="71">
        <v>2</v>
      </c>
      <c r="AB41" s="212">
        <f t="shared" si="6"/>
        <v>35749.319965333299</v>
      </c>
      <c r="AC41" s="12"/>
    </row>
    <row r="42" spans="1:29" ht="20.149999999999999" customHeight="1">
      <c r="A42" s="26">
        <v>15</v>
      </c>
      <c r="B42" s="10" t="s">
        <v>471</v>
      </c>
      <c r="C42" s="11" t="s">
        <v>478</v>
      </c>
      <c r="D42" s="14" t="s">
        <v>479</v>
      </c>
      <c r="E42" s="71">
        <v>5428.12</v>
      </c>
      <c r="F42" s="71">
        <f t="shared" si="22"/>
        <v>16284.36</v>
      </c>
      <c r="G42" s="71">
        <f t="shared" si="23"/>
        <v>407.10899999999998</v>
      </c>
      <c r="H42" s="71"/>
      <c r="I42" s="71">
        <f t="shared" si="24"/>
        <v>2714.06</v>
      </c>
      <c r="J42" s="71">
        <f t="shared" si="25"/>
        <v>18998.419999999998</v>
      </c>
      <c r="K42" s="71">
        <f t="shared" si="26"/>
        <v>5428.12</v>
      </c>
      <c r="L42" s="201"/>
      <c r="M42" s="201">
        <f>20000</f>
        <v>20000</v>
      </c>
      <c r="N42" s="71">
        <f t="shared" si="27"/>
        <v>542.81200000000001</v>
      </c>
      <c r="O42" s="71">
        <v>5000</v>
      </c>
      <c r="P42" s="71">
        <f>7000</f>
        <v>7000</v>
      </c>
      <c r="Q42" s="200">
        <f t="shared" si="28"/>
        <v>81803.001000000004</v>
      </c>
      <c r="R42" s="14" t="s">
        <v>473</v>
      </c>
      <c r="S42" s="200">
        <f>'SALARY STRUCTURE'!D11+30000</f>
        <v>115104.91666666701</v>
      </c>
      <c r="T42" s="71">
        <f t="shared" si="0"/>
        <v>33301.915666666697</v>
      </c>
      <c r="U42" s="71"/>
      <c r="V42" s="71"/>
      <c r="W42" s="287">
        <v>4365.3307546666701</v>
      </c>
      <c r="X42" s="71">
        <f>'[8]October 2023'!$Z$164</f>
        <v>8312.59</v>
      </c>
      <c r="Y42" s="71">
        <f t="shared" si="4"/>
        <v>3947.25924533333</v>
      </c>
      <c r="Z42" s="212">
        <f t="shared" si="5"/>
        <v>29354.6564213333</v>
      </c>
      <c r="AA42" s="71">
        <f>(10/31)+2</f>
        <v>2.32258064516129</v>
      </c>
      <c r="AB42" s="212">
        <f t="shared" si="6"/>
        <v>68178.556849548404</v>
      </c>
      <c r="AC42" s="12"/>
    </row>
    <row r="43" spans="1:29" s="275" customFormat="1" ht="20.149999999999999" customHeight="1">
      <c r="A43" s="278">
        <v>16</v>
      </c>
      <c r="B43" s="279" t="s">
        <v>474</v>
      </c>
      <c r="C43" s="280" t="s">
        <v>478</v>
      </c>
      <c r="D43" s="281" t="s">
        <v>479</v>
      </c>
      <c r="E43" s="53">
        <v>5428.12</v>
      </c>
      <c r="F43" s="53">
        <f t="shared" si="22"/>
        <v>16284.36</v>
      </c>
      <c r="G43" s="53">
        <f t="shared" si="23"/>
        <v>407.10899999999998</v>
      </c>
      <c r="H43" s="53"/>
      <c r="I43" s="53">
        <f t="shared" si="24"/>
        <v>2714.06</v>
      </c>
      <c r="J43" s="53">
        <f t="shared" si="25"/>
        <v>18998.419999999998</v>
      </c>
      <c r="K43" s="53">
        <f t="shared" si="26"/>
        <v>5428.12</v>
      </c>
      <c r="L43" s="282"/>
      <c r="M43" s="282">
        <f>20000</f>
        <v>20000</v>
      </c>
      <c r="N43" s="53">
        <f t="shared" si="27"/>
        <v>542.81200000000001</v>
      </c>
      <c r="O43" s="53">
        <v>5000</v>
      </c>
      <c r="P43" s="53">
        <f>7000</f>
        <v>7000</v>
      </c>
      <c r="Q43" s="53">
        <f t="shared" si="28"/>
        <v>81803.001000000004</v>
      </c>
      <c r="R43" s="281" t="s">
        <v>473</v>
      </c>
      <c r="S43" s="53">
        <f>'SALARY STRUCTURE'!D11+30000</f>
        <v>115104.91666666701</v>
      </c>
      <c r="T43" s="53">
        <f t="shared" si="0"/>
        <v>33301.915666666697</v>
      </c>
      <c r="U43" s="53"/>
      <c r="V43" s="53"/>
      <c r="W43" s="295">
        <f>4365.33075466667</f>
        <v>4365.3307546666701</v>
      </c>
      <c r="X43" s="53">
        <f>'[8]October 2023'!$Z$164</f>
        <v>8312.59</v>
      </c>
      <c r="Y43" s="53">
        <f t="shared" si="4"/>
        <v>3947.25924533333</v>
      </c>
      <c r="Z43" s="53">
        <f t="shared" si="5"/>
        <v>29354.6564213333</v>
      </c>
      <c r="AA43" s="53">
        <f>(17/31)+1</f>
        <v>1.54838709677419</v>
      </c>
      <c r="AB43" s="53">
        <f t="shared" si="6"/>
        <v>45452.371233032201</v>
      </c>
      <c r="AC43" s="302"/>
    </row>
    <row r="44" spans="1:29" ht="20.149999999999999" customHeight="1">
      <c r="A44" s="26">
        <v>17</v>
      </c>
      <c r="B44" s="17" t="s">
        <v>475</v>
      </c>
      <c r="C44" s="11" t="s">
        <v>478</v>
      </c>
      <c r="D44" s="14" t="s">
        <v>948</v>
      </c>
      <c r="E44" s="71">
        <f>5598.92</f>
        <v>5598.92</v>
      </c>
      <c r="F44" s="71">
        <f t="shared" si="22"/>
        <v>16796.759999999998</v>
      </c>
      <c r="G44" s="71">
        <f t="shared" si="23"/>
        <v>419.91899999999998</v>
      </c>
      <c r="H44" s="71"/>
      <c r="I44" s="71">
        <f t="shared" si="24"/>
        <v>2799.46</v>
      </c>
      <c r="J44" s="71">
        <f t="shared" si="25"/>
        <v>19596.22</v>
      </c>
      <c r="K44" s="71">
        <f t="shared" si="26"/>
        <v>5598.92</v>
      </c>
      <c r="L44" s="201"/>
      <c r="M44" s="201">
        <f>20000</f>
        <v>20000</v>
      </c>
      <c r="N44" s="71">
        <f t="shared" si="27"/>
        <v>559.89200000000005</v>
      </c>
      <c r="O44" s="71">
        <v>5000</v>
      </c>
      <c r="P44" s="71">
        <f>7000</f>
        <v>7000</v>
      </c>
      <c r="Q44" s="200">
        <f t="shared" si="28"/>
        <v>83370.091</v>
      </c>
      <c r="R44" s="14" t="s">
        <v>473</v>
      </c>
      <c r="S44" s="200">
        <v>115104.91666666701</v>
      </c>
      <c r="T44" s="71">
        <f t="shared" si="0"/>
        <v>31734.8256666667</v>
      </c>
      <c r="U44" s="71"/>
      <c r="V44" s="71"/>
      <c r="W44" s="287">
        <v>4504.4109200000003</v>
      </c>
      <c r="X44" s="71">
        <f>'[8]October 2023'!$Z$164</f>
        <v>8312.59</v>
      </c>
      <c r="Y44" s="71">
        <f t="shared" si="4"/>
        <v>3808.1790799999999</v>
      </c>
      <c r="Z44" s="212">
        <f t="shared" si="5"/>
        <v>27926.646586666699</v>
      </c>
      <c r="AA44" s="71">
        <v>8</v>
      </c>
      <c r="AB44" s="212">
        <f t="shared" si="6"/>
        <v>223413.17269333301</v>
      </c>
      <c r="AC44" s="12"/>
    </row>
    <row r="45" spans="1:29" ht="20.149999999999999" customHeight="1">
      <c r="A45" s="26">
        <v>18</v>
      </c>
      <c r="B45" s="17" t="s">
        <v>491</v>
      </c>
      <c r="C45" s="11" t="s">
        <v>481</v>
      </c>
      <c r="D45" s="14" t="s">
        <v>972</v>
      </c>
      <c r="E45" s="71">
        <f>4689.38</f>
        <v>4689.38</v>
      </c>
      <c r="F45" s="71">
        <f t="shared" si="22"/>
        <v>14068.14</v>
      </c>
      <c r="G45" s="71">
        <f t="shared" si="23"/>
        <v>351.70350000000002</v>
      </c>
      <c r="H45" s="71"/>
      <c r="I45" s="71">
        <f t="shared" si="24"/>
        <v>2344.69</v>
      </c>
      <c r="J45" s="71">
        <f t="shared" si="25"/>
        <v>16412.830000000002</v>
      </c>
      <c r="K45" s="71">
        <f t="shared" si="26"/>
        <v>4689.38</v>
      </c>
      <c r="L45" s="201"/>
      <c r="M45" s="201">
        <f>15000</f>
        <v>15000</v>
      </c>
      <c r="N45" s="71">
        <f t="shared" si="27"/>
        <v>468.93799999999999</v>
      </c>
      <c r="O45" s="71">
        <v>5000</v>
      </c>
      <c r="P45" s="71">
        <f>4000</f>
        <v>4000</v>
      </c>
      <c r="Q45" s="200">
        <f t="shared" si="28"/>
        <v>67025.061499999996</v>
      </c>
      <c r="R45" s="14" t="s">
        <v>502</v>
      </c>
      <c r="S45" s="200">
        <f>'SALARY STRUCTURE'!I9+20000+7000</f>
        <v>77104.416666666701</v>
      </c>
      <c r="T45" s="71">
        <f t="shared" si="0"/>
        <v>10079.355166666701</v>
      </c>
      <c r="U45" s="71"/>
      <c r="V45" s="71"/>
      <c r="W45" s="287">
        <v>3064.8720786666699</v>
      </c>
      <c r="X45" s="71">
        <f>'[8]October 2023'!$Z$177</f>
        <v>3951.8553333333298</v>
      </c>
      <c r="Y45" s="71">
        <f t="shared" si="4"/>
        <v>886.98325466666699</v>
      </c>
      <c r="Z45" s="212">
        <f t="shared" si="5"/>
        <v>9192.3719119999896</v>
      </c>
      <c r="AA45" s="71">
        <f>(23/31)+6</f>
        <v>6.7419354838709697</v>
      </c>
      <c r="AB45" s="212">
        <f t="shared" si="6"/>
        <v>61974.378374451597</v>
      </c>
      <c r="AC45" s="12"/>
    </row>
    <row r="46" spans="1:29" ht="20.149999999999999" customHeight="1">
      <c r="A46" s="26"/>
      <c r="B46" s="7" t="s">
        <v>34</v>
      </c>
      <c r="C46" s="27" t="s">
        <v>973</v>
      </c>
      <c r="D46" s="28"/>
      <c r="E46" s="79">
        <f t="shared" ref="E46:Q46" si="29">SUM(E39:E45)</f>
        <v>72195.350000000006</v>
      </c>
      <c r="F46" s="79">
        <f t="shared" si="29"/>
        <v>216586.05</v>
      </c>
      <c r="G46" s="79">
        <f t="shared" si="29"/>
        <v>5414.6512499999999</v>
      </c>
      <c r="H46" s="79">
        <f t="shared" si="29"/>
        <v>0</v>
      </c>
      <c r="I46" s="79">
        <f t="shared" si="29"/>
        <v>36097.675000000003</v>
      </c>
      <c r="J46" s="79">
        <f t="shared" si="29"/>
        <v>252683.72500000001</v>
      </c>
      <c r="K46" s="79">
        <f t="shared" si="29"/>
        <v>72195.350000000006</v>
      </c>
      <c r="L46" s="79">
        <f t="shared" si="29"/>
        <v>0</v>
      </c>
      <c r="M46" s="79">
        <f t="shared" si="29"/>
        <v>245000</v>
      </c>
      <c r="N46" s="79">
        <f t="shared" si="29"/>
        <v>7219.5349999999999</v>
      </c>
      <c r="O46" s="79">
        <f t="shared" si="29"/>
        <v>50000</v>
      </c>
      <c r="P46" s="79">
        <f t="shared" si="29"/>
        <v>25000</v>
      </c>
      <c r="Q46" s="79">
        <f t="shared" si="29"/>
        <v>982392.33625000005</v>
      </c>
      <c r="R46" s="28"/>
      <c r="S46" s="79">
        <f>SUM(S39:S45)</f>
        <v>1158366.33333333</v>
      </c>
      <c r="T46" s="79">
        <f t="shared" ref="T46:AB46" si="30">SUM(T39:T45)</f>
        <v>175973.997083333</v>
      </c>
      <c r="U46" s="79">
        <f t="shared" si="30"/>
        <v>469.48250000000002</v>
      </c>
      <c r="V46" s="79">
        <f t="shared" si="30"/>
        <v>570.95000000000005</v>
      </c>
      <c r="W46" s="79">
        <f t="shared" si="30"/>
        <v>90070.133554</v>
      </c>
      <c r="X46" s="79">
        <f t="shared" si="30"/>
        <v>113932.829733333</v>
      </c>
      <c r="Y46" s="79">
        <f t="shared" si="30"/>
        <v>23862.696179333299</v>
      </c>
      <c r="Z46" s="300">
        <f t="shared" si="30"/>
        <v>152111.300904</v>
      </c>
      <c r="AA46" s="79"/>
      <c r="AB46" s="300">
        <f t="shared" si="30"/>
        <v>626877.53317569895</v>
      </c>
      <c r="AC46" s="12"/>
    </row>
    <row r="47" spans="1:29" ht="19.5" customHeight="1">
      <c r="A47" s="3"/>
      <c r="B47" s="29" t="s">
        <v>80</v>
      </c>
      <c r="C47" s="30">
        <f>C46+C36+C32+C26+C21+C17+C12+C8</f>
        <v>18</v>
      </c>
      <c r="D47" s="31"/>
      <c r="E47" s="208">
        <f t="shared" ref="E47:AB47" si="31">E46+E36+E32+E26+E21+E17+E12+E8</f>
        <v>335250.55</v>
      </c>
      <c r="F47" s="208">
        <f t="shared" si="31"/>
        <v>1005751.65</v>
      </c>
      <c r="G47" s="208">
        <f t="shared" si="31"/>
        <v>25143.791249999998</v>
      </c>
      <c r="H47" s="208">
        <f t="shared" si="31"/>
        <v>0</v>
      </c>
      <c r="I47" s="208">
        <f t="shared" si="31"/>
        <v>167625.27499999999</v>
      </c>
      <c r="J47" s="208">
        <f t="shared" si="31"/>
        <v>1173376.925</v>
      </c>
      <c r="K47" s="208">
        <f t="shared" si="31"/>
        <v>335250.55</v>
      </c>
      <c r="L47" s="208">
        <f t="shared" si="31"/>
        <v>900000</v>
      </c>
      <c r="M47" s="208">
        <f t="shared" si="31"/>
        <v>485000</v>
      </c>
      <c r="N47" s="208">
        <f t="shared" si="31"/>
        <v>33525.055</v>
      </c>
      <c r="O47" s="208">
        <f t="shared" si="31"/>
        <v>220000</v>
      </c>
      <c r="P47" s="208">
        <f t="shared" si="31"/>
        <v>125000</v>
      </c>
      <c r="Q47" s="208">
        <f t="shared" si="31"/>
        <v>4805923.7962499997</v>
      </c>
      <c r="R47" s="208">
        <f t="shared" si="31"/>
        <v>0</v>
      </c>
      <c r="S47" s="208">
        <f t="shared" si="31"/>
        <v>5441541.75</v>
      </c>
      <c r="T47" s="208">
        <f t="shared" si="31"/>
        <v>607584.35750000004</v>
      </c>
      <c r="U47" s="208">
        <f t="shared" si="31"/>
        <v>3786.2672499999999</v>
      </c>
      <c r="V47" s="208">
        <f t="shared" si="31"/>
        <v>2789.2</v>
      </c>
      <c r="W47" s="208">
        <f t="shared" si="31"/>
        <v>599042.54337266705</v>
      </c>
      <c r="X47" s="208">
        <f t="shared" si="31"/>
        <v>708944.46730666701</v>
      </c>
      <c r="Y47" s="208">
        <f t="shared" si="31"/>
        <v>109901.92393400001</v>
      </c>
      <c r="Z47" s="303">
        <f t="shared" si="31"/>
        <v>525716.02981600002</v>
      </c>
      <c r="AA47" s="208">
        <f t="shared" si="31"/>
        <v>0</v>
      </c>
      <c r="AB47" s="303">
        <f t="shared" si="31"/>
        <v>2102520.87725781</v>
      </c>
      <c r="AC47" s="12"/>
    </row>
    <row r="48" spans="1:29" ht="20.149999999999999" customHeight="1">
      <c r="A48" s="2"/>
      <c r="B48" s="32"/>
      <c r="C48" s="2"/>
      <c r="D48" s="33"/>
      <c r="E48" s="33"/>
      <c r="F48" s="33"/>
      <c r="G48" s="33"/>
      <c r="H48" s="33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96"/>
      <c r="X48" s="210"/>
      <c r="Y48" s="210"/>
      <c r="Z48" s="210"/>
      <c r="AA48" s="210"/>
      <c r="AB48" s="210"/>
      <c r="AC48" s="34"/>
    </row>
    <row r="49" spans="1:28" ht="36.75" customHeight="1">
      <c r="A49" s="2"/>
      <c r="B49" s="32"/>
      <c r="C49" s="33"/>
      <c r="D49" s="33"/>
      <c r="E49" s="33"/>
      <c r="F49" s="33"/>
      <c r="G49" s="33"/>
      <c r="H49" s="33"/>
      <c r="I49" s="209"/>
      <c r="J49" s="209"/>
      <c r="K49" s="209"/>
      <c r="L49" s="209"/>
      <c r="M49" s="209"/>
      <c r="N49" s="209"/>
      <c r="O49" s="209"/>
      <c r="Q49" s="209"/>
      <c r="R49" s="209"/>
      <c r="S49" s="209"/>
      <c r="T49" s="209"/>
      <c r="U49" s="209"/>
      <c r="V49" s="209"/>
      <c r="W49" s="296"/>
      <c r="X49" s="210"/>
      <c r="Y49" s="210"/>
      <c r="Z49" s="210"/>
      <c r="AA49" s="210"/>
      <c r="AB49" s="210"/>
    </row>
    <row r="52" spans="1:28" ht="20.149999999999999" customHeight="1">
      <c r="Q52" s="34"/>
      <c r="R52" s="34"/>
      <c r="S52" s="34"/>
      <c r="T52" s="34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267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252" t="s">
        <v>974</v>
      </c>
      <c r="B1" s="252"/>
      <c r="C1" s="252"/>
      <c r="D1" s="252"/>
      <c r="E1" s="252"/>
      <c r="F1" s="252"/>
      <c r="G1" s="252"/>
      <c r="H1" s="268"/>
      <c r="I1" s="252"/>
      <c r="J1" s="252"/>
      <c r="K1" s="252"/>
      <c r="L1" s="252"/>
      <c r="M1" s="252"/>
      <c r="N1" s="252"/>
      <c r="O1" s="252"/>
      <c r="P1" s="252"/>
      <c r="Q1" s="272"/>
      <c r="R1" s="272"/>
    </row>
    <row r="2" spans="1:18" ht="13">
      <c r="A2" s="252" t="s">
        <v>975</v>
      </c>
      <c r="B2" s="252"/>
      <c r="C2" s="252"/>
      <c r="D2" s="252"/>
      <c r="E2" s="252"/>
      <c r="F2" s="252"/>
      <c r="G2" s="252"/>
      <c r="H2" s="269"/>
      <c r="I2" s="252"/>
      <c r="J2" s="252"/>
      <c r="K2" s="252"/>
      <c r="L2" s="252"/>
      <c r="M2" s="252"/>
      <c r="N2" s="252"/>
      <c r="O2" s="252"/>
      <c r="P2" s="252"/>
      <c r="Q2" s="272"/>
      <c r="R2" s="272"/>
    </row>
    <row r="3" spans="1:18" ht="13">
      <c r="A3" s="252"/>
      <c r="B3" s="252" t="s">
        <v>976</v>
      </c>
      <c r="C3" s="252" t="s">
        <v>977</v>
      </c>
      <c r="D3" s="252" t="s">
        <v>978</v>
      </c>
      <c r="E3" s="252" t="s">
        <v>979</v>
      </c>
      <c r="F3" s="252" t="s">
        <v>980</v>
      </c>
      <c r="G3" s="252" t="s">
        <v>981</v>
      </c>
      <c r="H3" s="269" t="s">
        <v>982</v>
      </c>
      <c r="I3" s="252" t="s">
        <v>983</v>
      </c>
      <c r="J3" s="252" t="s">
        <v>984</v>
      </c>
      <c r="K3" s="252" t="s">
        <v>985</v>
      </c>
      <c r="L3" s="252" t="s">
        <v>986</v>
      </c>
      <c r="M3" s="252" t="s">
        <v>987</v>
      </c>
      <c r="N3" s="252" t="s">
        <v>988</v>
      </c>
      <c r="O3" s="252" t="s">
        <v>989</v>
      </c>
      <c r="P3" s="252" t="s">
        <v>990</v>
      </c>
      <c r="Q3" s="272"/>
      <c r="R3" s="272"/>
    </row>
    <row r="4" spans="1:18" ht="13">
      <c r="A4" s="252" t="s">
        <v>991</v>
      </c>
      <c r="B4" s="252" t="s">
        <v>20</v>
      </c>
      <c r="C4" s="252" t="s">
        <v>20</v>
      </c>
      <c r="D4" s="252" t="s">
        <v>20</v>
      </c>
      <c r="E4" s="252" t="s">
        <v>20</v>
      </c>
      <c r="F4" s="252" t="s">
        <v>20</v>
      </c>
      <c r="G4" s="252" t="s">
        <v>20</v>
      </c>
      <c r="H4" s="269" t="s">
        <v>20</v>
      </c>
      <c r="I4" s="252" t="s">
        <v>20</v>
      </c>
      <c r="J4" s="252" t="s">
        <v>20</v>
      </c>
      <c r="K4" s="252" t="s">
        <v>20</v>
      </c>
      <c r="L4" s="252" t="s">
        <v>20</v>
      </c>
      <c r="M4" s="252" t="s">
        <v>20</v>
      </c>
      <c r="N4" s="252" t="s">
        <v>20</v>
      </c>
      <c r="O4" s="252" t="s">
        <v>20</v>
      </c>
      <c r="P4" s="252" t="s">
        <v>20</v>
      </c>
      <c r="Q4" s="272"/>
      <c r="R4" s="272"/>
    </row>
    <row r="5" spans="1:18" ht="14">
      <c r="A5" s="270" t="s">
        <v>992</v>
      </c>
      <c r="B5" s="270">
        <v>32012.166666666701</v>
      </c>
      <c r="C5" s="270">
        <v>32710.5</v>
      </c>
      <c r="D5" s="270">
        <v>33408.75</v>
      </c>
      <c r="E5" s="270">
        <v>34107.083333333299</v>
      </c>
      <c r="F5" s="270">
        <v>34805.5</v>
      </c>
      <c r="G5" s="270">
        <v>35503.75</v>
      </c>
      <c r="H5" s="271">
        <v>36202.083333333299</v>
      </c>
      <c r="I5" s="270">
        <v>36900.333333333299</v>
      </c>
      <c r="J5" s="270">
        <v>37598.666666666701</v>
      </c>
      <c r="K5" s="270">
        <v>38297.083333333299</v>
      </c>
      <c r="L5" s="270">
        <v>38995.333333333299</v>
      </c>
      <c r="M5" s="270">
        <v>39693.666666666701</v>
      </c>
      <c r="N5" s="270">
        <v>40391.916666666701</v>
      </c>
      <c r="O5" s="270">
        <v>41090.166666666701</v>
      </c>
      <c r="P5" s="270">
        <v>41788.666666666701</v>
      </c>
      <c r="Q5" s="272"/>
      <c r="R5" s="272"/>
    </row>
    <row r="6" spans="1:18" ht="14">
      <c r="A6" s="270" t="s">
        <v>993</v>
      </c>
      <c r="B6" s="270">
        <v>32532.166666666701</v>
      </c>
      <c r="C6" s="270">
        <v>33445.166666666701</v>
      </c>
      <c r="D6" s="270">
        <v>34358.333333333299</v>
      </c>
      <c r="E6" s="270">
        <v>35271.25</v>
      </c>
      <c r="F6" s="270">
        <v>36184.25</v>
      </c>
      <c r="G6" s="270">
        <v>37097.416666666701</v>
      </c>
      <c r="H6" s="271">
        <v>38010.333333333299</v>
      </c>
      <c r="I6" s="270">
        <v>38923.416666666701</v>
      </c>
      <c r="J6" s="270">
        <v>39836.416666666701</v>
      </c>
      <c r="K6" s="270">
        <v>40749.416666666701</v>
      </c>
      <c r="L6" s="270">
        <v>41662.5</v>
      </c>
      <c r="M6" s="270">
        <v>42575.5</v>
      </c>
      <c r="N6" s="270">
        <v>43488.666666666701</v>
      </c>
      <c r="O6" s="270">
        <v>44401.583333333299</v>
      </c>
      <c r="P6" s="270">
        <v>45314.583333333299</v>
      </c>
      <c r="Q6" s="272"/>
      <c r="R6" s="272"/>
    </row>
    <row r="7" spans="1:18" ht="14">
      <c r="A7" s="270" t="s">
        <v>994</v>
      </c>
      <c r="B7" s="270">
        <v>32976.25</v>
      </c>
      <c r="C7" s="270">
        <v>34098.416666666701</v>
      </c>
      <c r="D7" s="270">
        <v>35220.666666666701</v>
      </c>
      <c r="E7" s="270">
        <v>36343</v>
      </c>
      <c r="F7" s="270">
        <v>37465.166666666701</v>
      </c>
      <c r="G7" s="270">
        <v>38587.416666666701</v>
      </c>
      <c r="H7" s="271">
        <v>39709.666666666701</v>
      </c>
      <c r="I7" s="270">
        <v>40823.583333333299</v>
      </c>
      <c r="J7" s="270">
        <v>41954.083333333299</v>
      </c>
      <c r="K7" s="270">
        <v>43076.416666666701</v>
      </c>
      <c r="L7" s="270">
        <v>44198.666666666701</v>
      </c>
      <c r="M7" s="270">
        <v>45445.833333333299</v>
      </c>
      <c r="N7" s="270">
        <v>46443.166666666701</v>
      </c>
      <c r="O7" s="270">
        <v>47565.333333333299</v>
      </c>
      <c r="P7" s="270">
        <v>48687.5</v>
      </c>
      <c r="Q7" s="272"/>
      <c r="R7" s="272"/>
    </row>
    <row r="8" spans="1:18" ht="14">
      <c r="A8" s="270" t="s">
        <v>995</v>
      </c>
      <c r="B8" s="270">
        <v>34542.5</v>
      </c>
      <c r="C8" s="270">
        <v>35890.833333333299</v>
      </c>
      <c r="D8" s="270">
        <v>37238.916666666701</v>
      </c>
      <c r="E8" s="270">
        <v>38587.166666666701</v>
      </c>
      <c r="F8" s="270">
        <v>39935.5</v>
      </c>
      <c r="G8" s="270">
        <v>41283.75</v>
      </c>
      <c r="H8" s="271">
        <v>42631.916666666701</v>
      </c>
      <c r="I8" s="270">
        <v>43980</v>
      </c>
      <c r="J8" s="270">
        <v>45328.333333333299</v>
      </c>
      <c r="K8" s="270">
        <v>46676.416666666701</v>
      </c>
      <c r="L8" s="270">
        <v>48024.666666666701</v>
      </c>
      <c r="M8" s="270">
        <v>49373</v>
      </c>
      <c r="N8" s="270">
        <v>50721.166666666701</v>
      </c>
      <c r="O8" s="270">
        <v>52069.416666666701</v>
      </c>
      <c r="P8" s="270">
        <v>53417.5</v>
      </c>
      <c r="Q8" s="272"/>
      <c r="R8" s="272"/>
    </row>
    <row r="9" spans="1:18" ht="14">
      <c r="A9" s="270" t="s">
        <v>996</v>
      </c>
      <c r="B9" s="270">
        <v>39140.333333333299</v>
      </c>
      <c r="C9" s="270">
        <v>40706.583333333299</v>
      </c>
      <c r="D9" s="270">
        <v>42272.833333333299</v>
      </c>
      <c r="E9" s="270">
        <v>43839.083333333299</v>
      </c>
      <c r="F9" s="270">
        <v>45405.5</v>
      </c>
      <c r="G9" s="270">
        <v>46971.75</v>
      </c>
      <c r="H9" s="271">
        <v>48538</v>
      </c>
      <c r="I9" s="270">
        <v>50104.416666666701</v>
      </c>
      <c r="J9" s="270">
        <v>51670.666666666701</v>
      </c>
      <c r="K9" s="270">
        <v>53236.916666666701</v>
      </c>
      <c r="L9" s="270">
        <v>54803.166666666701</v>
      </c>
      <c r="M9" s="270">
        <v>56369.583333333299</v>
      </c>
      <c r="N9" s="270">
        <v>57936</v>
      </c>
      <c r="O9" s="270">
        <v>59502.083333333299</v>
      </c>
      <c r="P9" s="270">
        <v>61068.333333333299</v>
      </c>
      <c r="Q9" s="272"/>
      <c r="R9" s="272"/>
    </row>
    <row r="10" spans="1:18" ht="14">
      <c r="A10" s="270" t="s">
        <v>997</v>
      </c>
      <c r="B10" s="270">
        <v>47723.333333333299</v>
      </c>
      <c r="C10" s="270">
        <v>49632.5</v>
      </c>
      <c r="D10" s="270">
        <v>51541.75</v>
      </c>
      <c r="E10" s="270">
        <v>53450.916666666701</v>
      </c>
      <c r="F10" s="270">
        <v>55360.166666666701</v>
      </c>
      <c r="G10" s="270">
        <v>57269.416666666701</v>
      </c>
      <c r="H10" s="271">
        <v>59178.666666666701</v>
      </c>
      <c r="I10" s="270">
        <v>61087.833333333299</v>
      </c>
      <c r="J10" s="270">
        <v>62997.083333333299</v>
      </c>
      <c r="K10" s="270">
        <v>64906.25</v>
      </c>
      <c r="L10" s="270">
        <v>66815.5</v>
      </c>
      <c r="M10" s="270">
        <v>68724.666666666701</v>
      </c>
      <c r="N10" s="270">
        <v>70633.916666666701</v>
      </c>
      <c r="O10" s="270">
        <v>72543.166666666701</v>
      </c>
      <c r="P10" s="270">
        <v>74452.416666666701</v>
      </c>
      <c r="Q10" s="272"/>
      <c r="R10" s="272"/>
    </row>
    <row r="11" spans="1:18" ht="14">
      <c r="A11" s="270" t="s">
        <v>998</v>
      </c>
      <c r="B11" s="270">
        <v>79244.583333333299</v>
      </c>
      <c r="C11" s="270">
        <v>82174.666666666701</v>
      </c>
      <c r="D11" s="270">
        <v>85104.916666666701</v>
      </c>
      <c r="E11" s="270">
        <v>88034.916666666701</v>
      </c>
      <c r="F11" s="270">
        <v>106590</v>
      </c>
      <c r="G11" s="270">
        <v>93895</v>
      </c>
      <c r="H11" s="271">
        <v>96825.166666666701</v>
      </c>
      <c r="I11" s="270">
        <v>99755.166666666701</v>
      </c>
      <c r="J11" s="270">
        <v>102685.33333333299</v>
      </c>
      <c r="K11" s="270">
        <v>105615.33333333299</v>
      </c>
      <c r="L11" s="270">
        <v>108545.5</v>
      </c>
      <c r="M11" s="270">
        <v>111468</v>
      </c>
      <c r="N11" s="270">
        <v>114405.66666666701</v>
      </c>
      <c r="O11" s="270">
        <v>117335.83333333299</v>
      </c>
      <c r="P11" s="270">
        <v>120265.83333333299</v>
      </c>
      <c r="Q11" s="272"/>
      <c r="R11" s="272"/>
    </row>
    <row r="12" spans="1:18" ht="14">
      <c r="A12" s="270" t="s">
        <v>999</v>
      </c>
      <c r="B12" s="270">
        <v>102403.75</v>
      </c>
      <c r="C12" s="270">
        <v>105891.25</v>
      </c>
      <c r="D12" s="270">
        <v>109378.75</v>
      </c>
      <c r="E12" s="270">
        <v>112866.25</v>
      </c>
      <c r="F12" s="270">
        <v>116353.66666666701</v>
      </c>
      <c r="G12" s="270">
        <v>119841.16666666701</v>
      </c>
      <c r="H12" s="271">
        <v>123328.66666666701</v>
      </c>
      <c r="I12" s="270">
        <v>126816.16666666701</v>
      </c>
      <c r="J12" s="270">
        <v>130303.66666666701</v>
      </c>
      <c r="K12" s="270">
        <v>133791.16666666701</v>
      </c>
      <c r="L12" s="270">
        <v>137278.66666666701</v>
      </c>
      <c r="M12" s="270">
        <v>140766.16666666701</v>
      </c>
      <c r="N12" s="270">
        <v>144253.66666666701</v>
      </c>
      <c r="O12" s="270">
        <v>147741.16666666701</v>
      </c>
      <c r="P12" s="270">
        <v>151228.66666666701</v>
      </c>
      <c r="Q12" s="272"/>
      <c r="R12" s="272"/>
    </row>
    <row r="13" spans="1:18" ht="14">
      <c r="A13" s="270" t="s">
        <v>1000</v>
      </c>
      <c r="B13" s="270">
        <v>120290</v>
      </c>
      <c r="C13" s="270">
        <v>124442.16666666701</v>
      </c>
      <c r="D13" s="270">
        <v>128594.58333333299</v>
      </c>
      <c r="E13" s="270">
        <v>132746.75</v>
      </c>
      <c r="F13" s="270">
        <v>136899.08333333299</v>
      </c>
      <c r="G13" s="270">
        <v>141051.25</v>
      </c>
      <c r="H13" s="271">
        <v>145203.66666666701</v>
      </c>
      <c r="I13" s="270">
        <v>149355.83333333299</v>
      </c>
      <c r="J13" s="270">
        <v>153508</v>
      </c>
      <c r="K13" s="270">
        <v>157660.33333333299</v>
      </c>
      <c r="L13" s="270">
        <v>161812.5</v>
      </c>
      <c r="M13" s="270">
        <v>165964.91666666701</v>
      </c>
      <c r="N13" s="270">
        <v>170117.08333333299</v>
      </c>
      <c r="O13" s="270">
        <v>174269.41666666701</v>
      </c>
      <c r="P13" s="270">
        <v>178421.58333333299</v>
      </c>
      <c r="Q13" s="272"/>
      <c r="R13" s="272"/>
    </row>
    <row r="14" spans="1:18" ht="14">
      <c r="A14" s="270" t="s">
        <v>1001</v>
      </c>
      <c r="B14" s="270">
        <v>141204.91666666701</v>
      </c>
      <c r="C14" s="270">
        <v>145770.91666666701</v>
      </c>
      <c r="D14" s="270">
        <v>150337.08333333299</v>
      </c>
      <c r="E14" s="270">
        <v>154903.33333333299</v>
      </c>
      <c r="F14" s="270">
        <v>159469.41666666701</v>
      </c>
      <c r="G14" s="270">
        <v>164035.5</v>
      </c>
      <c r="H14" s="271">
        <v>168601.58333333299</v>
      </c>
      <c r="I14" s="270">
        <v>173167.66666666701</v>
      </c>
      <c r="J14" s="270">
        <v>177733.75</v>
      </c>
      <c r="K14" s="270">
        <v>182299.91666666701</v>
      </c>
      <c r="L14" s="270">
        <v>186865.91666666701</v>
      </c>
      <c r="M14" s="270">
        <v>191432.16666666701</v>
      </c>
      <c r="N14" s="270">
        <v>195998.33333333299</v>
      </c>
      <c r="O14" s="270">
        <v>200564.41666666701</v>
      </c>
      <c r="P14" s="270">
        <v>205130.5</v>
      </c>
      <c r="Q14" s="272"/>
      <c r="R14" s="272"/>
    </row>
    <row r="15" spans="1:18" ht="14">
      <c r="A15" s="270" t="s">
        <v>1002</v>
      </c>
      <c r="B15" s="270">
        <v>162876.25</v>
      </c>
      <c r="C15" s="270">
        <v>169958.91666666701</v>
      </c>
      <c r="D15" s="270">
        <v>177039.91666666701</v>
      </c>
      <c r="E15" s="270">
        <v>184124.08333333299</v>
      </c>
      <c r="F15" s="270">
        <v>191206.58333333299</v>
      </c>
      <c r="G15" s="270">
        <v>198289.25</v>
      </c>
      <c r="H15" s="271">
        <v>205371.75</v>
      </c>
      <c r="I15" s="270">
        <v>212454.41666666701</v>
      </c>
      <c r="J15" s="270">
        <v>219536.91666666701</v>
      </c>
      <c r="K15" s="270">
        <v>226619.58333333299</v>
      </c>
      <c r="L15" s="270">
        <v>233702.08333333299</v>
      </c>
      <c r="M15" s="270"/>
      <c r="N15" s="270"/>
      <c r="O15" s="270"/>
      <c r="P15" s="270"/>
      <c r="Q15" s="272"/>
      <c r="R15" s="272"/>
    </row>
    <row r="16" spans="1:18" ht="14">
      <c r="A16" s="270" t="s">
        <v>1003</v>
      </c>
      <c r="B16" s="270">
        <v>181786.41666666701</v>
      </c>
      <c r="C16" s="270">
        <v>189274.25</v>
      </c>
      <c r="D16" s="270">
        <v>198324.58333333299</v>
      </c>
      <c r="E16" s="270">
        <v>204249.91666666701</v>
      </c>
      <c r="F16" s="270">
        <v>211737.66666666701</v>
      </c>
      <c r="G16" s="270">
        <v>219225.5</v>
      </c>
      <c r="H16" s="271">
        <v>226713.33333333299</v>
      </c>
      <c r="I16" s="270">
        <v>234201.16666666701</v>
      </c>
      <c r="J16" s="270">
        <v>242001.41666666701</v>
      </c>
      <c r="K16" s="270">
        <v>249176.75</v>
      </c>
      <c r="L16" s="270">
        <v>256664.58333333299</v>
      </c>
      <c r="M16" s="270"/>
      <c r="N16" s="270"/>
      <c r="O16" s="270"/>
      <c r="P16" s="270"/>
      <c r="Q16" s="272"/>
      <c r="R16" s="272"/>
    </row>
    <row r="17" spans="1:18" ht="14">
      <c r="A17" s="270" t="s">
        <v>1004</v>
      </c>
      <c r="B17" s="270">
        <v>200784.08333333299</v>
      </c>
      <c r="C17" s="270">
        <v>208845.16666666701</v>
      </c>
      <c r="D17" s="270">
        <v>216904.66666666701</v>
      </c>
      <c r="E17" s="270">
        <v>224967.16666666701</v>
      </c>
      <c r="F17" s="270">
        <v>233028.33333333299</v>
      </c>
      <c r="G17" s="270">
        <v>241089.25</v>
      </c>
      <c r="H17" s="271">
        <v>249153.41666666701</v>
      </c>
      <c r="I17" s="270">
        <v>257211.25</v>
      </c>
      <c r="J17" s="270">
        <v>265272.41666666698</v>
      </c>
      <c r="K17" s="270">
        <v>273333.41666666698</v>
      </c>
      <c r="L17" s="270">
        <v>281394.41666666698</v>
      </c>
      <c r="M17" s="270"/>
      <c r="N17" s="270"/>
      <c r="O17" s="270"/>
      <c r="P17" s="270"/>
      <c r="Q17" s="272"/>
      <c r="R17" s="272"/>
    </row>
    <row r="18" spans="1:18" ht="14">
      <c r="A18" s="270" t="s">
        <v>1005</v>
      </c>
      <c r="B18" s="270">
        <v>276221.25</v>
      </c>
      <c r="C18" s="270">
        <v>287637.83333333302</v>
      </c>
      <c r="D18" s="270">
        <v>299054.25</v>
      </c>
      <c r="E18" s="270">
        <v>312760.25</v>
      </c>
      <c r="F18" s="270">
        <v>321887.16666666698</v>
      </c>
      <c r="G18" s="270">
        <v>333303.75</v>
      </c>
      <c r="H18" s="271">
        <v>344720.16666666698</v>
      </c>
      <c r="I18" s="270">
        <v>356136.75</v>
      </c>
      <c r="J18" s="270">
        <v>367553.16666666698</v>
      </c>
      <c r="K18" s="270"/>
      <c r="L18" s="270"/>
      <c r="M18" s="270"/>
      <c r="N18" s="270"/>
      <c r="O18" s="270"/>
      <c r="P18" s="270"/>
      <c r="Q18" s="272"/>
      <c r="R18" s="272"/>
    </row>
    <row r="19" spans="1:18" ht="14">
      <c r="A19" s="270" t="s">
        <v>1006</v>
      </c>
      <c r="B19" s="270">
        <v>341699.58333333302</v>
      </c>
      <c r="C19" s="270">
        <v>355420.16666666698</v>
      </c>
      <c r="D19" s="270">
        <v>369154.91666666698</v>
      </c>
      <c r="E19" s="270">
        <v>382861.41666666698</v>
      </c>
      <c r="F19" s="270">
        <v>396582.08333333302</v>
      </c>
      <c r="G19" s="270">
        <v>410302.66666666698</v>
      </c>
      <c r="H19" s="271">
        <v>424023.33333333302</v>
      </c>
      <c r="I19" s="270">
        <v>437743.91666666698</v>
      </c>
      <c r="J19" s="270">
        <v>451464.58333333302</v>
      </c>
      <c r="K19" s="270"/>
      <c r="L19" s="270"/>
      <c r="M19" s="270"/>
      <c r="N19" s="270"/>
      <c r="O19" s="270"/>
      <c r="P19" s="270"/>
      <c r="Q19" s="272"/>
      <c r="R19" s="272"/>
    </row>
    <row r="20" spans="1:18" ht="14">
      <c r="A20" s="270" t="s">
        <v>1007</v>
      </c>
      <c r="B20" s="270">
        <v>652000</v>
      </c>
      <c r="C20" s="270">
        <v>676776.16666666698</v>
      </c>
      <c r="D20" s="270">
        <v>701552.16666666698</v>
      </c>
      <c r="E20" s="270">
        <v>726328.33333333302</v>
      </c>
      <c r="F20" s="270">
        <v>751104.41666666698</v>
      </c>
      <c r="G20" s="270">
        <v>775880.5</v>
      </c>
      <c r="H20" s="271">
        <v>800656.58333333302</v>
      </c>
      <c r="I20" s="270">
        <v>825432.66666666698</v>
      </c>
      <c r="J20" s="270">
        <v>850208.75</v>
      </c>
      <c r="K20" s="270"/>
      <c r="L20" s="270"/>
      <c r="M20" s="270"/>
      <c r="N20" s="270"/>
      <c r="O20" s="270"/>
      <c r="P20" s="270"/>
      <c r="Q20" s="272"/>
      <c r="R20" s="272"/>
    </row>
    <row r="21" spans="1:18" ht="14">
      <c r="A21" s="270"/>
      <c r="B21" s="270"/>
      <c r="C21" s="270"/>
      <c r="D21" s="270"/>
      <c r="E21" s="270"/>
      <c r="F21" s="270"/>
      <c r="G21" s="270"/>
      <c r="H21" s="271"/>
      <c r="I21" s="270"/>
      <c r="J21" s="270"/>
      <c r="K21" s="270"/>
      <c r="L21" s="270"/>
      <c r="M21" s="270"/>
      <c r="N21" s="270"/>
      <c r="O21" s="270"/>
      <c r="P21" s="270"/>
      <c r="Q21" s="272"/>
      <c r="R21" s="272"/>
    </row>
    <row r="22" spans="1:18" ht="13">
      <c r="A22" s="272"/>
      <c r="B22" s="272"/>
      <c r="C22" s="272"/>
      <c r="D22" s="272"/>
      <c r="E22" s="272"/>
      <c r="F22" s="272"/>
      <c r="G22" s="272"/>
      <c r="H22" s="273"/>
      <c r="I22" s="272"/>
      <c r="J22" s="193"/>
      <c r="K22" s="272"/>
      <c r="L22" s="272"/>
      <c r="M22" s="272"/>
      <c r="N22" s="272"/>
      <c r="O22" s="272"/>
      <c r="P22" s="272"/>
      <c r="Q22" s="272"/>
      <c r="R22" s="272"/>
    </row>
    <row r="23" spans="1:18">
      <c r="D23" s="192"/>
      <c r="F23" s="192"/>
      <c r="H23" s="274"/>
    </row>
    <row r="24" spans="1:18">
      <c r="H24" s="274"/>
    </row>
    <row r="25" spans="1:18">
      <c r="H25" s="274"/>
    </row>
    <row r="26" spans="1:18">
      <c r="H26" s="274"/>
    </row>
    <row r="27" spans="1:18">
      <c r="H27" s="274"/>
    </row>
    <row r="28" spans="1:18">
      <c r="H28" s="274"/>
    </row>
    <row r="29" spans="1:18">
      <c r="H29" s="274"/>
    </row>
    <row r="30" spans="1:18">
      <c r="H30" s="274"/>
    </row>
    <row r="31" spans="1:18">
      <c r="H31" s="274"/>
    </row>
    <row r="32" spans="1:18">
      <c r="H32" s="274"/>
    </row>
    <row r="33" spans="8:8">
      <c r="H33" s="274"/>
    </row>
    <row r="34" spans="8:8">
      <c r="H34" s="274"/>
    </row>
    <row r="35" spans="8:8">
      <c r="H35" s="274"/>
    </row>
    <row r="36" spans="8:8">
      <c r="H36" s="274"/>
    </row>
    <row r="37" spans="8:8">
      <c r="H37" s="274"/>
    </row>
    <row r="38" spans="8:8">
      <c r="H38" s="274"/>
    </row>
    <row r="39" spans="8:8">
      <c r="H39" s="274"/>
    </row>
    <row r="40" spans="8:8">
      <c r="H40" s="274"/>
    </row>
    <row r="41" spans="8:8">
      <c r="H41" s="274"/>
    </row>
    <row r="42" spans="8:8">
      <c r="H42" s="274"/>
    </row>
    <row r="43" spans="8:8">
      <c r="H43" s="274"/>
    </row>
    <row r="44" spans="8:8">
      <c r="H44" s="274"/>
    </row>
    <row r="45" spans="8:8">
      <c r="H45" s="274"/>
    </row>
    <row r="46" spans="8:8">
      <c r="H46" s="274"/>
    </row>
    <row r="47" spans="8:8">
      <c r="H47" s="274"/>
    </row>
  </sheetData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796875" defaultRowHeight="13"/>
  <cols>
    <col min="1" max="1" width="5.453125" style="245" customWidth="1"/>
    <col min="2" max="2" width="33.26953125" style="245" customWidth="1"/>
    <col min="3" max="3" width="28.26953125" style="245" customWidth="1"/>
    <col min="4" max="4" width="8.26953125" style="245" customWidth="1"/>
    <col min="5" max="5" width="9.453125" style="245" customWidth="1"/>
    <col min="6" max="6" width="9.1796875" style="245" customWidth="1"/>
    <col min="7" max="7" width="8.7265625" style="245" customWidth="1"/>
    <col min="8" max="8" width="9.26953125" style="245" customWidth="1"/>
    <col min="9" max="9" width="11.7265625" style="245" customWidth="1"/>
    <col min="10" max="16384" width="9.1796875" style="245"/>
  </cols>
  <sheetData>
    <row r="1" spans="1:11" ht="14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254"/>
      <c r="K1" s="254"/>
    </row>
    <row r="2" spans="1:11" ht="14">
      <c r="A2" s="795" t="s">
        <v>1008</v>
      </c>
      <c r="B2" s="795"/>
      <c r="C2" s="795"/>
      <c r="D2" s="795"/>
      <c r="E2" s="795"/>
      <c r="F2" s="795"/>
      <c r="G2" s="795"/>
      <c r="H2" s="795"/>
      <c r="I2" s="795"/>
      <c r="J2" s="255"/>
      <c r="K2" s="255"/>
    </row>
    <row r="3" spans="1:11" ht="23.25" customHeight="1">
      <c r="A3" s="796" t="s">
        <v>1009</v>
      </c>
      <c r="B3" s="796"/>
      <c r="C3" s="796"/>
      <c r="D3" s="796"/>
      <c r="E3" s="796"/>
      <c r="F3" s="796"/>
      <c r="G3" s="796"/>
      <c r="H3" s="796"/>
      <c r="I3" s="796"/>
    </row>
    <row r="5" spans="1:11" ht="42.75" customHeight="1">
      <c r="A5" s="256" t="s">
        <v>21</v>
      </c>
      <c r="B5" s="256" t="s">
        <v>2</v>
      </c>
      <c r="C5" s="256" t="s">
        <v>3</v>
      </c>
      <c r="D5" s="257" t="s">
        <v>4</v>
      </c>
      <c r="E5" s="257" t="s">
        <v>1010</v>
      </c>
      <c r="F5" s="257" t="s">
        <v>1011</v>
      </c>
      <c r="G5" s="257" t="s">
        <v>1012</v>
      </c>
      <c r="H5" s="257" t="s">
        <v>1013</v>
      </c>
      <c r="I5" s="264" t="s">
        <v>1014</v>
      </c>
    </row>
    <row r="6" spans="1:11">
      <c r="B6" s="252" t="s">
        <v>22</v>
      </c>
    </row>
    <row r="7" spans="1:11">
      <c r="A7" s="258">
        <v>1</v>
      </c>
      <c r="B7" s="258" t="s">
        <v>236</v>
      </c>
      <c r="C7" s="258" t="s">
        <v>237</v>
      </c>
      <c r="D7" s="258" t="s">
        <v>1015</v>
      </c>
      <c r="E7" s="259">
        <v>35000</v>
      </c>
      <c r="F7" s="259">
        <v>35000</v>
      </c>
      <c r="G7" s="259">
        <v>35000</v>
      </c>
      <c r="H7" s="259">
        <v>35000</v>
      </c>
      <c r="I7" s="259">
        <f>E7+F7+G7+H7</f>
        <v>140000</v>
      </c>
    </row>
    <row r="8" spans="1:11">
      <c r="A8" s="258">
        <v>2</v>
      </c>
      <c r="B8" s="260" t="s">
        <v>1016</v>
      </c>
      <c r="C8" s="258" t="s">
        <v>1017</v>
      </c>
      <c r="D8" s="258" t="s">
        <v>231</v>
      </c>
      <c r="E8" s="259">
        <v>35000</v>
      </c>
      <c r="F8" s="259">
        <v>35000</v>
      </c>
      <c r="G8" s="259">
        <v>35000</v>
      </c>
      <c r="H8" s="259">
        <v>35000</v>
      </c>
      <c r="I8" s="259">
        <f t="shared" ref="I8:I27" si="0">E8+F8+G8+H8</f>
        <v>140000</v>
      </c>
    </row>
    <row r="9" spans="1:11">
      <c r="A9" s="258">
        <v>3</v>
      </c>
      <c r="B9" s="258" t="s">
        <v>239</v>
      </c>
      <c r="C9" s="258" t="s">
        <v>240</v>
      </c>
      <c r="D9" s="258" t="s">
        <v>234</v>
      </c>
      <c r="E9" s="259">
        <v>35000</v>
      </c>
      <c r="F9" s="259">
        <v>35000</v>
      </c>
      <c r="G9" s="259">
        <v>35000</v>
      </c>
      <c r="H9" s="259">
        <v>35000</v>
      </c>
      <c r="I9" s="259">
        <f t="shared" si="0"/>
        <v>140000</v>
      </c>
    </row>
    <row r="10" spans="1:11">
      <c r="A10" s="258">
        <v>4</v>
      </c>
      <c r="B10" s="258" t="s">
        <v>241</v>
      </c>
      <c r="C10" s="258" t="s">
        <v>242</v>
      </c>
      <c r="D10" s="258" t="s">
        <v>308</v>
      </c>
      <c r="E10" s="259">
        <v>35000</v>
      </c>
      <c r="F10" s="259">
        <v>35000</v>
      </c>
      <c r="G10" s="259">
        <v>35000</v>
      </c>
      <c r="H10" s="259">
        <v>35000</v>
      </c>
      <c r="I10" s="259">
        <f t="shared" si="0"/>
        <v>140000</v>
      </c>
    </row>
    <row r="11" spans="1:11">
      <c r="A11" s="258">
        <v>5</v>
      </c>
      <c r="B11" s="258" t="s">
        <v>363</v>
      </c>
      <c r="C11" s="258" t="s">
        <v>1018</v>
      </c>
      <c r="D11" s="258" t="s">
        <v>308</v>
      </c>
      <c r="E11" s="259">
        <v>35000</v>
      </c>
      <c r="F11" s="259">
        <v>35000</v>
      </c>
      <c r="G11" s="259">
        <v>35000</v>
      </c>
      <c r="H11" s="259">
        <v>35000</v>
      </c>
      <c r="I11" s="259">
        <f t="shared" si="0"/>
        <v>140000</v>
      </c>
    </row>
    <row r="12" spans="1:11">
      <c r="A12" s="258">
        <v>6</v>
      </c>
      <c r="B12" s="258" t="s">
        <v>243</v>
      </c>
      <c r="C12" s="258" t="s">
        <v>244</v>
      </c>
      <c r="D12" s="258" t="s">
        <v>308</v>
      </c>
      <c r="E12" s="259">
        <v>35000</v>
      </c>
      <c r="F12" s="259">
        <v>35000</v>
      </c>
      <c r="G12" s="259">
        <v>35000</v>
      </c>
      <c r="H12" s="259">
        <v>35000</v>
      </c>
      <c r="I12" s="259">
        <f t="shared" si="0"/>
        <v>140000</v>
      </c>
    </row>
    <row r="13" spans="1:11">
      <c r="A13" s="258">
        <v>7</v>
      </c>
      <c r="B13" s="258" t="s">
        <v>245</v>
      </c>
      <c r="C13" s="258" t="s">
        <v>246</v>
      </c>
      <c r="D13" s="258" t="s">
        <v>308</v>
      </c>
      <c r="E13" s="259">
        <v>35000</v>
      </c>
      <c r="F13" s="259">
        <v>35000</v>
      </c>
      <c r="G13" s="259">
        <v>35000</v>
      </c>
      <c r="H13" s="259">
        <v>35000</v>
      </c>
      <c r="I13" s="259">
        <f t="shared" si="0"/>
        <v>140000</v>
      </c>
    </row>
    <row r="14" spans="1:11">
      <c r="A14" s="258">
        <v>8</v>
      </c>
      <c r="B14" s="258" t="s">
        <v>247</v>
      </c>
      <c r="C14" s="258" t="s">
        <v>248</v>
      </c>
      <c r="D14" s="258" t="s">
        <v>249</v>
      </c>
      <c r="E14" s="259">
        <v>35000</v>
      </c>
      <c r="F14" s="259">
        <v>35000</v>
      </c>
      <c r="G14" s="259">
        <v>35000</v>
      </c>
      <c r="H14" s="259">
        <v>35000</v>
      </c>
      <c r="I14" s="259">
        <f t="shared" si="0"/>
        <v>140000</v>
      </c>
    </row>
    <row r="15" spans="1:11">
      <c r="A15" s="258">
        <v>9</v>
      </c>
      <c r="B15" s="258" t="s">
        <v>1019</v>
      </c>
      <c r="C15" s="258" t="s">
        <v>253</v>
      </c>
      <c r="D15" s="258" t="s">
        <v>257</v>
      </c>
      <c r="E15" s="259">
        <v>35000</v>
      </c>
      <c r="F15" s="259">
        <v>35000</v>
      </c>
      <c r="G15" s="259">
        <v>35000</v>
      </c>
      <c r="H15" s="259">
        <v>35000</v>
      </c>
      <c r="I15" s="259">
        <f t="shared" si="0"/>
        <v>140000</v>
      </c>
    </row>
    <row r="16" spans="1:11">
      <c r="A16" s="258">
        <v>11</v>
      </c>
      <c r="B16" s="258" t="s">
        <v>252</v>
      </c>
      <c r="C16" s="258" t="s">
        <v>253</v>
      </c>
      <c r="D16" s="258" t="s">
        <v>257</v>
      </c>
      <c r="E16" s="259">
        <v>35000</v>
      </c>
      <c r="F16" s="259">
        <v>35000</v>
      </c>
      <c r="G16" s="259">
        <v>35000</v>
      </c>
      <c r="H16" s="259">
        <v>35000</v>
      </c>
      <c r="I16" s="259">
        <f t="shared" si="0"/>
        <v>140000</v>
      </c>
    </row>
    <row r="17" spans="1:9">
      <c r="A17" s="258">
        <v>12</v>
      </c>
      <c r="B17" s="258" t="s">
        <v>264</v>
      </c>
      <c r="C17" s="258" t="s">
        <v>265</v>
      </c>
      <c r="D17" s="258" t="s">
        <v>950</v>
      </c>
      <c r="E17" s="259">
        <v>35000</v>
      </c>
      <c r="F17" s="259">
        <v>35000</v>
      </c>
      <c r="G17" s="259">
        <v>35000</v>
      </c>
      <c r="H17" s="259">
        <v>35000</v>
      </c>
      <c r="I17" s="259">
        <f t="shared" si="0"/>
        <v>140000</v>
      </c>
    </row>
    <row r="18" spans="1:9">
      <c r="A18" s="258">
        <v>13</v>
      </c>
      <c r="B18" s="258" t="s">
        <v>267</v>
      </c>
      <c r="C18" s="258" t="s">
        <v>268</v>
      </c>
      <c r="D18" s="258" t="s">
        <v>951</v>
      </c>
      <c r="E18" s="259">
        <v>35000</v>
      </c>
      <c r="F18" s="259">
        <v>35000</v>
      </c>
      <c r="G18" s="259">
        <v>35000</v>
      </c>
      <c r="H18" s="259">
        <v>35000</v>
      </c>
      <c r="I18" s="259">
        <f t="shared" si="0"/>
        <v>140000</v>
      </c>
    </row>
    <row r="19" spans="1:9">
      <c r="A19" s="258">
        <v>14</v>
      </c>
      <c r="B19" s="258" t="s">
        <v>270</v>
      </c>
      <c r="C19" s="258" t="s">
        <v>50</v>
      </c>
      <c r="D19" s="258" t="s">
        <v>332</v>
      </c>
      <c r="E19" s="259">
        <v>35000</v>
      </c>
      <c r="F19" s="259">
        <v>35000</v>
      </c>
      <c r="G19" s="259">
        <v>35000</v>
      </c>
      <c r="H19" s="259">
        <v>35000</v>
      </c>
      <c r="I19" s="259">
        <f t="shared" si="0"/>
        <v>140000</v>
      </c>
    </row>
    <row r="20" spans="1:9">
      <c r="A20" s="258">
        <v>16</v>
      </c>
      <c r="B20" s="258" t="s">
        <v>280</v>
      </c>
      <c r="C20" s="258" t="s">
        <v>176</v>
      </c>
      <c r="D20" s="258" t="s">
        <v>283</v>
      </c>
      <c r="E20" s="259">
        <v>35000</v>
      </c>
      <c r="F20" s="259">
        <v>35000</v>
      </c>
      <c r="G20" s="259">
        <v>35000</v>
      </c>
      <c r="H20" s="259">
        <v>35000</v>
      </c>
      <c r="I20" s="259">
        <f t="shared" si="0"/>
        <v>140000</v>
      </c>
    </row>
    <row r="21" spans="1:9">
      <c r="A21" s="258">
        <v>17</v>
      </c>
      <c r="B21" s="258" t="s">
        <v>1020</v>
      </c>
      <c r="C21" s="258" t="s">
        <v>1021</v>
      </c>
      <c r="D21" s="258" t="s">
        <v>283</v>
      </c>
      <c r="E21" s="259">
        <v>35000</v>
      </c>
      <c r="F21" s="259">
        <v>35000</v>
      </c>
      <c r="G21" s="259">
        <v>35000</v>
      </c>
      <c r="H21" s="259">
        <v>35000</v>
      </c>
      <c r="I21" s="259">
        <f t="shared" si="0"/>
        <v>140000</v>
      </c>
    </row>
    <row r="22" spans="1:9">
      <c r="A22" s="258">
        <v>18</v>
      </c>
      <c r="B22" s="258" t="s">
        <v>282</v>
      </c>
      <c r="C22" s="258" t="s">
        <v>967</v>
      </c>
      <c r="D22" s="258" t="s">
        <v>945</v>
      </c>
      <c r="E22" s="259">
        <v>35000</v>
      </c>
      <c r="F22" s="259">
        <v>35000</v>
      </c>
      <c r="G22" s="259">
        <v>35000</v>
      </c>
      <c r="H22" s="259">
        <v>35000</v>
      </c>
      <c r="I22" s="259">
        <f t="shared" si="0"/>
        <v>140000</v>
      </c>
    </row>
    <row r="23" spans="1:9">
      <c r="A23" s="258">
        <v>19</v>
      </c>
      <c r="B23" s="258" t="s">
        <v>284</v>
      </c>
      <c r="C23" s="258" t="s">
        <v>1022</v>
      </c>
      <c r="D23" s="258" t="s">
        <v>945</v>
      </c>
      <c r="E23" s="259">
        <v>35000</v>
      </c>
      <c r="F23" s="259">
        <v>35000</v>
      </c>
      <c r="G23" s="259">
        <v>35000</v>
      </c>
      <c r="H23" s="259">
        <v>35000</v>
      </c>
      <c r="I23" s="259">
        <f t="shared" si="0"/>
        <v>140000</v>
      </c>
    </row>
    <row r="24" spans="1:9">
      <c r="A24" s="258">
        <v>20</v>
      </c>
      <c r="B24" s="258" t="s">
        <v>287</v>
      </c>
      <c r="C24" s="258" t="s">
        <v>288</v>
      </c>
      <c r="D24" s="258" t="s">
        <v>283</v>
      </c>
      <c r="E24" s="259">
        <v>35000</v>
      </c>
      <c r="F24" s="259">
        <v>35000</v>
      </c>
      <c r="G24" s="259">
        <v>35000</v>
      </c>
      <c r="H24" s="259">
        <v>35000</v>
      </c>
      <c r="I24" s="259">
        <f t="shared" si="0"/>
        <v>140000</v>
      </c>
    </row>
    <row r="25" spans="1:9">
      <c r="A25" s="258">
        <v>21</v>
      </c>
      <c r="B25" s="258" t="s">
        <v>289</v>
      </c>
      <c r="C25" s="258" t="s">
        <v>290</v>
      </c>
      <c r="D25" s="258" t="s">
        <v>294</v>
      </c>
      <c r="E25" s="259">
        <v>35000</v>
      </c>
      <c r="F25" s="259">
        <v>35000</v>
      </c>
      <c r="G25" s="259">
        <v>35000</v>
      </c>
      <c r="H25" s="259">
        <v>35000</v>
      </c>
      <c r="I25" s="259">
        <f t="shared" si="0"/>
        <v>140000</v>
      </c>
    </row>
    <row r="26" spans="1:9">
      <c r="A26" s="258">
        <v>22</v>
      </c>
      <c r="B26" s="258" t="s">
        <v>933</v>
      </c>
      <c r="C26" s="258" t="s">
        <v>293</v>
      </c>
      <c r="D26" s="258" t="s">
        <v>294</v>
      </c>
      <c r="E26" s="259">
        <v>35000</v>
      </c>
      <c r="F26" s="259">
        <v>35000</v>
      </c>
      <c r="G26" s="259">
        <v>35000</v>
      </c>
      <c r="H26" s="259">
        <v>35000</v>
      </c>
      <c r="I26" s="259">
        <f t="shared" si="0"/>
        <v>140000</v>
      </c>
    </row>
    <row r="27" spans="1:9">
      <c r="A27" s="258">
        <v>23</v>
      </c>
      <c r="B27" s="258" t="s">
        <v>292</v>
      </c>
      <c r="C27" s="258" t="s">
        <v>293</v>
      </c>
      <c r="D27" s="258" t="s">
        <v>31</v>
      </c>
      <c r="E27" s="261">
        <v>35000</v>
      </c>
      <c r="F27" s="261">
        <v>35000</v>
      </c>
      <c r="G27" s="261">
        <v>35000</v>
      </c>
      <c r="H27" s="261">
        <v>35000</v>
      </c>
      <c r="I27" s="261">
        <f t="shared" si="0"/>
        <v>140000</v>
      </c>
    </row>
    <row r="28" spans="1:9">
      <c r="A28" s="258"/>
      <c r="B28" s="262" t="s">
        <v>1023</v>
      </c>
      <c r="C28" s="258"/>
      <c r="D28" s="258"/>
      <c r="E28" s="263">
        <f>SUM(E7:E27)</f>
        <v>735000</v>
      </c>
      <c r="F28" s="263">
        <f>SUM(F7:F27)</f>
        <v>735000</v>
      </c>
      <c r="G28" s="263">
        <f>SUM(G7:G27)</f>
        <v>735000</v>
      </c>
      <c r="H28" s="263">
        <f>SUM(H7:H27)</f>
        <v>735000</v>
      </c>
      <c r="I28" s="263">
        <f>SUM(I7:I27)</f>
        <v>2940000</v>
      </c>
    </row>
    <row r="29" spans="1:9">
      <c r="E29" s="250"/>
      <c r="F29" s="250"/>
      <c r="G29" s="250"/>
      <c r="H29" s="250"/>
      <c r="I29" s="250"/>
    </row>
    <row r="30" spans="1:9">
      <c r="B30" s="252" t="s">
        <v>35</v>
      </c>
      <c r="E30" s="250"/>
      <c r="F30" s="250"/>
      <c r="G30" s="250"/>
      <c r="H30" s="250"/>
      <c r="I30" s="250"/>
    </row>
    <row r="31" spans="1:9">
      <c r="A31" s="258">
        <v>1</v>
      </c>
      <c r="B31" s="258" t="s">
        <v>295</v>
      </c>
      <c r="C31" s="258" t="s">
        <v>296</v>
      </c>
      <c r="D31" s="258" t="s">
        <v>297</v>
      </c>
      <c r="E31" s="259">
        <v>35000</v>
      </c>
      <c r="F31" s="259">
        <v>35000</v>
      </c>
      <c r="G31" s="259">
        <v>35000</v>
      </c>
      <c r="H31" s="259">
        <v>35000</v>
      </c>
      <c r="I31" s="259">
        <f>E31+F31+G31+H31</f>
        <v>140000</v>
      </c>
    </row>
    <row r="32" spans="1:9">
      <c r="A32" s="258">
        <v>2</v>
      </c>
      <c r="B32" s="258" t="s">
        <v>298</v>
      </c>
      <c r="C32" s="258" t="s">
        <v>537</v>
      </c>
      <c r="D32" s="258" t="s">
        <v>31</v>
      </c>
      <c r="E32" s="261">
        <v>35000</v>
      </c>
      <c r="F32" s="261">
        <v>35000</v>
      </c>
      <c r="G32" s="261">
        <v>35000</v>
      </c>
      <c r="H32" s="261">
        <v>35000</v>
      </c>
      <c r="I32" s="259">
        <f>E32+F32+G32+H32</f>
        <v>140000</v>
      </c>
    </row>
    <row r="33" spans="1:9">
      <c r="A33" s="258"/>
      <c r="B33" s="262" t="s">
        <v>1024</v>
      </c>
      <c r="C33" s="258"/>
      <c r="D33" s="258"/>
      <c r="E33" s="263">
        <f>SUM(E31:E32)</f>
        <v>70000</v>
      </c>
      <c r="F33" s="263">
        <f t="shared" ref="F33:I33" si="1">SUM(F31:F32)</f>
        <v>70000</v>
      </c>
      <c r="G33" s="263">
        <f t="shared" si="1"/>
        <v>70000</v>
      </c>
      <c r="H33" s="263">
        <f t="shared" si="1"/>
        <v>70000</v>
      </c>
      <c r="I33" s="263">
        <f t="shared" si="1"/>
        <v>280000</v>
      </c>
    </row>
    <row r="34" spans="1:9">
      <c r="E34" s="250"/>
      <c r="F34" s="250"/>
      <c r="G34" s="250"/>
      <c r="H34" s="250"/>
      <c r="I34" s="250"/>
    </row>
    <row r="35" spans="1:9">
      <c r="B35" s="252" t="s">
        <v>39</v>
      </c>
      <c r="E35" s="250"/>
      <c r="F35" s="250"/>
      <c r="G35" s="250"/>
      <c r="H35" s="250"/>
      <c r="I35" s="250"/>
    </row>
    <row r="36" spans="1:9">
      <c r="A36" s="258">
        <v>1</v>
      </c>
      <c r="B36" s="258" t="s">
        <v>302</v>
      </c>
      <c r="C36" s="258" t="s">
        <v>303</v>
      </c>
      <c r="D36" s="258" t="s">
        <v>297</v>
      </c>
      <c r="E36" s="259">
        <v>35000</v>
      </c>
      <c r="F36" s="259">
        <v>35000</v>
      </c>
      <c r="G36" s="259">
        <v>35000</v>
      </c>
      <c r="H36" s="259">
        <v>35000</v>
      </c>
      <c r="I36" s="259">
        <f>E36+F36+G36+H36</f>
        <v>140000</v>
      </c>
    </row>
    <row r="37" spans="1:9">
      <c r="A37" s="258">
        <v>2</v>
      </c>
      <c r="B37" s="258" t="s">
        <v>304</v>
      </c>
      <c r="C37" s="258" t="s">
        <v>305</v>
      </c>
      <c r="D37" s="258" t="s">
        <v>249</v>
      </c>
      <c r="E37" s="259">
        <v>35000</v>
      </c>
      <c r="F37" s="259">
        <v>35000</v>
      </c>
      <c r="G37" s="259">
        <v>35000</v>
      </c>
      <c r="H37" s="259">
        <v>35000</v>
      </c>
      <c r="I37" s="259">
        <f t="shared" ref="I37:I48" si="2">E37+F37+G37+H37</f>
        <v>140000</v>
      </c>
    </row>
    <row r="38" spans="1:9">
      <c r="A38" s="258">
        <v>3</v>
      </c>
      <c r="B38" s="258" t="s">
        <v>306</v>
      </c>
      <c r="C38" s="258" t="s">
        <v>310</v>
      </c>
      <c r="D38" s="258" t="s">
        <v>249</v>
      </c>
      <c r="E38" s="259">
        <v>35000</v>
      </c>
      <c r="F38" s="259">
        <v>35000</v>
      </c>
      <c r="G38" s="259">
        <v>35000</v>
      </c>
      <c r="H38" s="259">
        <v>35000</v>
      </c>
      <c r="I38" s="259">
        <f t="shared" si="2"/>
        <v>140000</v>
      </c>
    </row>
    <row r="39" spans="1:9">
      <c r="A39" s="258">
        <v>4</v>
      </c>
      <c r="B39" s="258" t="s">
        <v>309</v>
      </c>
      <c r="C39" s="258" t="s">
        <v>310</v>
      </c>
      <c r="D39" s="258" t="s">
        <v>249</v>
      </c>
      <c r="E39" s="259">
        <v>35000</v>
      </c>
      <c r="F39" s="259">
        <v>35000</v>
      </c>
      <c r="G39" s="259">
        <v>35000</v>
      </c>
      <c r="H39" s="259">
        <v>35000</v>
      </c>
      <c r="I39" s="259">
        <f t="shared" si="2"/>
        <v>140000</v>
      </c>
    </row>
    <row r="40" spans="1:9">
      <c r="A40" s="258">
        <v>5</v>
      </c>
      <c r="B40" s="258" t="s">
        <v>311</v>
      </c>
      <c r="C40" s="258" t="s">
        <v>310</v>
      </c>
      <c r="D40" s="258" t="s">
        <v>327</v>
      </c>
      <c r="E40" s="259">
        <v>35000</v>
      </c>
      <c r="F40" s="259">
        <v>35000</v>
      </c>
      <c r="G40" s="259">
        <v>35000</v>
      </c>
      <c r="H40" s="259">
        <v>35000</v>
      </c>
      <c r="I40" s="259">
        <f t="shared" si="2"/>
        <v>140000</v>
      </c>
    </row>
    <row r="41" spans="1:9">
      <c r="A41" s="258">
        <v>6</v>
      </c>
      <c r="B41" s="258" t="s">
        <v>312</v>
      </c>
      <c r="C41" s="258" t="s">
        <v>259</v>
      </c>
      <c r="D41" s="258" t="s">
        <v>257</v>
      </c>
      <c r="E41" s="259">
        <v>35000</v>
      </c>
      <c r="F41" s="259">
        <v>35000</v>
      </c>
      <c r="G41" s="259">
        <v>35000</v>
      </c>
      <c r="H41" s="259">
        <v>35000</v>
      </c>
      <c r="I41" s="259">
        <f t="shared" si="2"/>
        <v>140000</v>
      </c>
    </row>
    <row r="42" spans="1:9">
      <c r="A42" s="258">
        <v>7</v>
      </c>
      <c r="B42" s="258" t="s">
        <v>313</v>
      </c>
      <c r="C42" s="258" t="s">
        <v>256</v>
      </c>
      <c r="D42" s="258" t="s">
        <v>257</v>
      </c>
      <c r="E42" s="259">
        <v>35000</v>
      </c>
      <c r="F42" s="259">
        <v>35000</v>
      </c>
      <c r="G42" s="259">
        <v>35000</v>
      </c>
      <c r="H42" s="259">
        <v>35000</v>
      </c>
      <c r="I42" s="259">
        <f t="shared" si="2"/>
        <v>140000</v>
      </c>
    </row>
    <row r="43" spans="1:9">
      <c r="A43" s="258">
        <v>8</v>
      </c>
      <c r="B43" s="258" t="s">
        <v>1025</v>
      </c>
      <c r="C43" s="258" t="s">
        <v>256</v>
      </c>
      <c r="D43" s="258" t="s">
        <v>342</v>
      </c>
      <c r="E43" s="259">
        <v>35000</v>
      </c>
      <c r="F43" s="259">
        <v>35000</v>
      </c>
      <c r="G43" s="259">
        <v>35000</v>
      </c>
      <c r="H43" s="259">
        <v>35000</v>
      </c>
      <c r="I43" s="259">
        <f t="shared" si="2"/>
        <v>140000</v>
      </c>
    </row>
    <row r="44" spans="1:9">
      <c r="A44" s="258">
        <v>9</v>
      </c>
      <c r="B44" s="258" t="s">
        <v>258</v>
      </c>
      <c r="C44" s="258" t="s">
        <v>353</v>
      </c>
      <c r="D44" s="258" t="s">
        <v>266</v>
      </c>
      <c r="E44" s="259">
        <v>35000</v>
      </c>
      <c r="F44" s="259">
        <v>35000</v>
      </c>
      <c r="G44" s="259">
        <v>35000</v>
      </c>
      <c r="H44" s="259">
        <v>35000</v>
      </c>
      <c r="I44" s="259">
        <f t="shared" si="2"/>
        <v>140000</v>
      </c>
    </row>
    <row r="45" spans="1:9">
      <c r="A45" s="258">
        <v>10</v>
      </c>
      <c r="B45" s="258" t="s">
        <v>314</v>
      </c>
      <c r="C45" s="258" t="s">
        <v>63</v>
      </c>
      <c r="D45" s="258" t="s">
        <v>38</v>
      </c>
      <c r="E45" s="259">
        <v>35000</v>
      </c>
      <c r="F45" s="259">
        <v>35000</v>
      </c>
      <c r="G45" s="259">
        <v>35000</v>
      </c>
      <c r="H45" s="259">
        <v>35000</v>
      </c>
      <c r="I45" s="259">
        <f t="shared" si="2"/>
        <v>140000</v>
      </c>
    </row>
    <row r="46" spans="1:9">
      <c r="A46" s="258">
        <v>11</v>
      </c>
      <c r="B46" s="258" t="s">
        <v>315</v>
      </c>
      <c r="C46" s="258" t="s">
        <v>63</v>
      </c>
      <c r="D46" s="258" t="s">
        <v>25</v>
      </c>
      <c r="E46" s="259">
        <v>35000</v>
      </c>
      <c r="F46" s="259">
        <v>35000</v>
      </c>
      <c r="G46" s="259">
        <v>35000</v>
      </c>
      <c r="H46" s="259">
        <v>35000</v>
      </c>
      <c r="I46" s="259">
        <f t="shared" si="2"/>
        <v>140000</v>
      </c>
    </row>
    <row r="47" spans="1:9">
      <c r="A47" s="258">
        <v>12</v>
      </c>
      <c r="B47" s="258" t="s">
        <v>316</v>
      </c>
      <c r="C47" s="258" t="s">
        <v>63</v>
      </c>
      <c r="D47" s="258" t="s">
        <v>25</v>
      </c>
      <c r="E47" s="259">
        <v>35000</v>
      </c>
      <c r="F47" s="259">
        <v>35000</v>
      </c>
      <c r="G47" s="259">
        <v>35000</v>
      </c>
      <c r="H47" s="259">
        <v>35000</v>
      </c>
      <c r="I47" s="259">
        <f t="shared" si="2"/>
        <v>140000</v>
      </c>
    </row>
    <row r="48" spans="1:9">
      <c r="A48" s="258">
        <v>13</v>
      </c>
      <c r="B48" s="258" t="s">
        <v>317</v>
      </c>
      <c r="C48" s="258" t="s">
        <v>63</v>
      </c>
      <c r="D48" s="258" t="s">
        <v>25</v>
      </c>
      <c r="E48" s="261">
        <v>35000</v>
      </c>
      <c r="F48" s="261">
        <v>35000</v>
      </c>
      <c r="G48" s="261">
        <v>35000</v>
      </c>
      <c r="H48" s="261">
        <v>35000</v>
      </c>
      <c r="I48" s="261">
        <f t="shared" si="2"/>
        <v>140000</v>
      </c>
    </row>
    <row r="49" spans="1:9">
      <c r="A49" s="258"/>
      <c r="B49" s="262" t="s">
        <v>1026</v>
      </c>
      <c r="C49" s="258"/>
      <c r="D49" s="258"/>
      <c r="E49" s="263">
        <f>SUM(E36:E48)</f>
        <v>455000</v>
      </c>
      <c r="F49" s="263">
        <f t="shared" ref="F49:I49" si="3">SUM(F36:F48)</f>
        <v>455000</v>
      </c>
      <c r="G49" s="263">
        <f t="shared" si="3"/>
        <v>455000</v>
      </c>
      <c r="H49" s="263">
        <f t="shared" si="3"/>
        <v>455000</v>
      </c>
      <c r="I49" s="263">
        <f t="shared" si="3"/>
        <v>1820000</v>
      </c>
    </row>
    <row r="50" spans="1:9">
      <c r="E50" s="250"/>
      <c r="F50" s="250"/>
      <c r="G50" s="250"/>
      <c r="H50" s="250"/>
      <c r="I50" s="250"/>
    </row>
    <row r="51" spans="1:9">
      <c r="B51" s="252" t="s">
        <v>318</v>
      </c>
      <c r="E51" s="250"/>
      <c r="F51" s="250"/>
      <c r="G51" s="250"/>
      <c r="H51" s="250"/>
      <c r="I51" s="250"/>
    </row>
    <row r="52" spans="1:9">
      <c r="A52" s="258">
        <v>1</v>
      </c>
      <c r="B52" s="260" t="s">
        <v>319</v>
      </c>
      <c r="C52" s="258" t="s">
        <v>320</v>
      </c>
      <c r="D52" s="258" t="s">
        <v>297</v>
      </c>
      <c r="E52" s="259">
        <v>35000</v>
      </c>
      <c r="F52" s="259">
        <v>35000</v>
      </c>
      <c r="G52" s="259">
        <v>35000</v>
      </c>
      <c r="H52" s="259">
        <v>35000</v>
      </c>
      <c r="I52" s="259">
        <f>E52+F52+G52+H52</f>
        <v>140000</v>
      </c>
    </row>
    <row r="53" spans="1:9">
      <c r="A53" s="258">
        <v>2</v>
      </c>
      <c r="B53" s="258" t="s">
        <v>321</v>
      </c>
      <c r="C53" s="258" t="s">
        <v>322</v>
      </c>
      <c r="D53" s="258" t="s">
        <v>222</v>
      </c>
      <c r="E53" s="261">
        <v>35000</v>
      </c>
      <c r="F53" s="261">
        <v>35000</v>
      </c>
      <c r="G53" s="261">
        <v>35000</v>
      </c>
      <c r="H53" s="261">
        <v>35000</v>
      </c>
      <c r="I53" s="261">
        <f>E53+F53+G53+H53</f>
        <v>140000</v>
      </c>
    </row>
    <row r="54" spans="1:9">
      <c r="A54" s="258"/>
      <c r="B54" s="262" t="s">
        <v>1027</v>
      </c>
      <c r="C54" s="258"/>
      <c r="D54" s="258"/>
      <c r="E54" s="263">
        <f>SUM(E52:E53)</f>
        <v>70000</v>
      </c>
      <c r="F54" s="263">
        <f t="shared" ref="F54:I54" si="4">SUM(F52:F53)</f>
        <v>70000</v>
      </c>
      <c r="G54" s="263">
        <f t="shared" si="4"/>
        <v>70000</v>
      </c>
      <c r="H54" s="263">
        <f t="shared" si="4"/>
        <v>70000</v>
      </c>
      <c r="I54" s="263">
        <f t="shared" si="4"/>
        <v>280000</v>
      </c>
    </row>
    <row r="55" spans="1:9">
      <c r="E55" s="250"/>
      <c r="F55" s="250"/>
      <c r="G55" s="250"/>
      <c r="H55" s="250"/>
      <c r="I55" s="250"/>
    </row>
    <row r="56" spans="1:9">
      <c r="B56" s="252" t="s">
        <v>45</v>
      </c>
      <c r="E56" s="250"/>
      <c r="F56" s="250"/>
      <c r="G56" s="250"/>
      <c r="H56" s="250"/>
      <c r="I56" s="250"/>
    </row>
    <row r="57" spans="1:9">
      <c r="A57" s="258">
        <v>1</v>
      </c>
      <c r="B57" s="258" t="s">
        <v>323</v>
      </c>
      <c r="C57" s="258" t="s">
        <v>324</v>
      </c>
      <c r="D57" s="258" t="s">
        <v>297</v>
      </c>
      <c r="E57" s="259">
        <v>35000</v>
      </c>
      <c r="F57" s="259">
        <v>35000</v>
      </c>
      <c r="G57" s="259">
        <v>35000</v>
      </c>
      <c r="H57" s="259">
        <v>35000</v>
      </c>
      <c r="I57" s="259">
        <f>E57+F57+G57+H57</f>
        <v>140000</v>
      </c>
    </row>
    <row r="58" spans="1:9">
      <c r="A58" s="258">
        <v>2</v>
      </c>
      <c r="B58" s="258" t="s">
        <v>325</v>
      </c>
      <c r="C58" s="258" t="s">
        <v>326</v>
      </c>
      <c r="D58" s="258" t="s">
        <v>952</v>
      </c>
      <c r="E58" s="259">
        <v>35000</v>
      </c>
      <c r="F58" s="259">
        <v>35000</v>
      </c>
      <c r="G58" s="259">
        <v>35000</v>
      </c>
      <c r="H58" s="259">
        <v>35000</v>
      </c>
      <c r="I58" s="259">
        <f t="shared" ref="I58:I68" si="5">E58+F58+G58+H58</f>
        <v>140000</v>
      </c>
    </row>
    <row r="59" spans="1:9">
      <c r="A59" s="258">
        <v>3</v>
      </c>
      <c r="B59" s="258" t="s">
        <v>328</v>
      </c>
      <c r="C59" s="258" t="s">
        <v>47</v>
      </c>
      <c r="D59" s="258" t="s">
        <v>266</v>
      </c>
      <c r="E59" s="259">
        <v>35000</v>
      </c>
      <c r="F59" s="259">
        <v>35000</v>
      </c>
      <c r="G59" s="259">
        <v>35000</v>
      </c>
      <c r="H59" s="259">
        <v>35000</v>
      </c>
      <c r="I59" s="259">
        <f t="shared" si="5"/>
        <v>140000</v>
      </c>
    </row>
    <row r="60" spans="1:9">
      <c r="A60" s="258">
        <v>4</v>
      </c>
      <c r="B60" s="258" t="s">
        <v>329</v>
      </c>
      <c r="C60" s="258" t="s">
        <v>47</v>
      </c>
      <c r="D60" s="258" t="s">
        <v>950</v>
      </c>
      <c r="E60" s="259">
        <v>35000</v>
      </c>
      <c r="F60" s="259">
        <v>35000</v>
      </c>
      <c r="G60" s="259">
        <v>35000</v>
      </c>
      <c r="H60" s="259">
        <v>35000</v>
      </c>
      <c r="I60" s="259">
        <f t="shared" si="5"/>
        <v>140000</v>
      </c>
    </row>
    <row r="61" spans="1:9">
      <c r="A61" s="258">
        <v>5</v>
      </c>
      <c r="B61" s="258" t="s">
        <v>330</v>
      </c>
      <c r="C61" s="258" t="s">
        <v>256</v>
      </c>
      <c r="D61" s="258" t="s">
        <v>257</v>
      </c>
      <c r="E61" s="259">
        <v>35000</v>
      </c>
      <c r="F61" s="259">
        <v>35000</v>
      </c>
      <c r="G61" s="259">
        <v>35000</v>
      </c>
      <c r="H61" s="259">
        <v>35000</v>
      </c>
      <c r="I61" s="259">
        <f t="shared" si="5"/>
        <v>140000</v>
      </c>
    </row>
    <row r="62" spans="1:9">
      <c r="A62" s="258">
        <v>6</v>
      </c>
      <c r="B62" s="258" t="s">
        <v>255</v>
      </c>
      <c r="C62" s="258" t="s">
        <v>256</v>
      </c>
      <c r="D62" s="258" t="s">
        <v>342</v>
      </c>
      <c r="E62" s="259">
        <v>35000</v>
      </c>
      <c r="F62" s="259">
        <v>35000</v>
      </c>
      <c r="G62" s="259">
        <v>35000</v>
      </c>
      <c r="H62" s="259">
        <v>35000</v>
      </c>
      <c r="I62" s="259">
        <f t="shared" si="5"/>
        <v>140000</v>
      </c>
    </row>
    <row r="63" spans="1:9">
      <c r="A63" s="258">
        <v>7</v>
      </c>
      <c r="B63" s="258" t="s">
        <v>331</v>
      </c>
      <c r="C63" s="258" t="s">
        <v>63</v>
      </c>
      <c r="D63" s="258" t="s">
        <v>42</v>
      </c>
      <c r="E63" s="259">
        <v>35000</v>
      </c>
      <c r="F63" s="259">
        <v>35000</v>
      </c>
      <c r="G63" s="259">
        <v>35000</v>
      </c>
      <c r="H63" s="259">
        <v>35000</v>
      </c>
      <c r="I63" s="259">
        <f t="shared" si="5"/>
        <v>140000</v>
      </c>
    </row>
    <row r="64" spans="1:9">
      <c r="A64" s="258">
        <v>8</v>
      </c>
      <c r="B64" s="258" t="s">
        <v>333</v>
      </c>
      <c r="C64" s="258" t="s">
        <v>275</v>
      </c>
      <c r="D64" s="258" t="s">
        <v>42</v>
      </c>
      <c r="E64" s="259">
        <v>35000</v>
      </c>
      <c r="F64" s="259">
        <v>35000</v>
      </c>
      <c r="G64" s="259">
        <v>35000</v>
      </c>
      <c r="H64" s="259">
        <v>35000</v>
      </c>
      <c r="I64" s="259">
        <f t="shared" si="5"/>
        <v>140000</v>
      </c>
    </row>
    <row r="65" spans="1:9">
      <c r="A65" s="258">
        <v>9</v>
      </c>
      <c r="B65" s="258" t="s">
        <v>334</v>
      </c>
      <c r="C65" s="258" t="s">
        <v>275</v>
      </c>
      <c r="D65" s="258" t="s">
        <v>42</v>
      </c>
      <c r="E65" s="259">
        <v>35000</v>
      </c>
      <c r="F65" s="259">
        <v>35000</v>
      </c>
      <c r="G65" s="259">
        <v>35000</v>
      </c>
      <c r="H65" s="259">
        <v>35000</v>
      </c>
      <c r="I65" s="259">
        <f t="shared" si="5"/>
        <v>140000</v>
      </c>
    </row>
    <row r="66" spans="1:9">
      <c r="A66" s="258">
        <v>10</v>
      </c>
      <c r="B66" s="258" t="s">
        <v>335</v>
      </c>
      <c r="C66" s="258" t="s">
        <v>336</v>
      </c>
      <c r="D66" s="258" t="s">
        <v>332</v>
      </c>
      <c r="E66" s="259">
        <v>35000</v>
      </c>
      <c r="F66" s="259">
        <v>35000</v>
      </c>
      <c r="G66" s="259">
        <v>35000</v>
      </c>
      <c r="H66" s="259">
        <v>35000</v>
      </c>
      <c r="I66" s="259">
        <f t="shared" si="5"/>
        <v>140000</v>
      </c>
    </row>
    <row r="67" spans="1:9">
      <c r="A67" s="258">
        <v>11</v>
      </c>
      <c r="B67" s="258" t="s">
        <v>281</v>
      </c>
      <c r="C67" s="258" t="s">
        <v>273</v>
      </c>
      <c r="D67" s="258" t="s">
        <v>283</v>
      </c>
      <c r="E67" s="259">
        <v>35000</v>
      </c>
      <c r="F67" s="259">
        <v>35000</v>
      </c>
      <c r="G67" s="259">
        <v>35000</v>
      </c>
      <c r="H67" s="259">
        <v>35000</v>
      </c>
      <c r="I67" s="259">
        <f t="shared" si="5"/>
        <v>140000</v>
      </c>
    </row>
    <row r="68" spans="1:9">
      <c r="A68" s="258">
        <v>12</v>
      </c>
      <c r="B68" s="258" t="s">
        <v>272</v>
      </c>
      <c r="C68" s="258" t="s">
        <v>273</v>
      </c>
      <c r="D68" s="258" t="s">
        <v>294</v>
      </c>
      <c r="E68" s="261">
        <v>35000</v>
      </c>
      <c r="F68" s="261">
        <v>35000</v>
      </c>
      <c r="G68" s="261">
        <v>35000</v>
      </c>
      <c r="H68" s="261">
        <v>35000</v>
      </c>
      <c r="I68" s="261">
        <f t="shared" si="5"/>
        <v>140000</v>
      </c>
    </row>
    <row r="69" spans="1:9">
      <c r="A69" s="258"/>
      <c r="B69" s="262" t="s">
        <v>1028</v>
      </c>
      <c r="C69" s="258"/>
      <c r="D69" s="258"/>
      <c r="E69" s="263">
        <f>SUM(E57:E68)</f>
        <v>420000</v>
      </c>
      <c r="F69" s="263">
        <f t="shared" ref="F69:I69" si="6">SUM(F57:F68)</f>
        <v>420000</v>
      </c>
      <c r="G69" s="263">
        <f t="shared" si="6"/>
        <v>420000</v>
      </c>
      <c r="H69" s="263">
        <f t="shared" si="6"/>
        <v>420000</v>
      </c>
      <c r="I69" s="263">
        <f t="shared" si="6"/>
        <v>1680000</v>
      </c>
    </row>
    <row r="70" spans="1:9">
      <c r="E70" s="250"/>
      <c r="F70" s="250"/>
      <c r="G70" s="250"/>
      <c r="H70" s="250"/>
      <c r="I70" s="250"/>
    </row>
    <row r="71" spans="1:9">
      <c r="B71" s="252" t="s">
        <v>51</v>
      </c>
      <c r="E71" s="250"/>
      <c r="F71" s="250"/>
      <c r="G71" s="250"/>
      <c r="H71" s="250"/>
      <c r="I71" s="250"/>
    </row>
    <row r="72" spans="1:9">
      <c r="A72" s="258">
        <v>1</v>
      </c>
      <c r="B72" s="258" t="s">
        <v>338</v>
      </c>
      <c r="C72" s="258" t="s">
        <v>339</v>
      </c>
      <c r="D72" s="258" t="s">
        <v>297</v>
      </c>
      <c r="E72" s="259">
        <v>35000</v>
      </c>
      <c r="F72" s="259">
        <v>35000</v>
      </c>
      <c r="G72" s="259">
        <v>35000</v>
      </c>
      <c r="H72" s="259">
        <v>35000</v>
      </c>
      <c r="I72" s="259">
        <f>E72+F72+G72+H72</f>
        <v>140000</v>
      </c>
    </row>
    <row r="73" spans="1:9">
      <c r="A73" s="258">
        <v>2</v>
      </c>
      <c r="B73" s="258" t="s">
        <v>220</v>
      </c>
      <c r="C73" s="258" t="s">
        <v>221</v>
      </c>
      <c r="D73" s="258" t="s">
        <v>952</v>
      </c>
      <c r="E73" s="259">
        <v>35000</v>
      </c>
      <c r="F73" s="259">
        <v>35000</v>
      </c>
      <c r="G73" s="259">
        <v>35000</v>
      </c>
      <c r="H73" s="259">
        <v>35000</v>
      </c>
      <c r="I73" s="259">
        <f t="shared" ref="I73:I78" si="7">E73+F73+G73+H73</f>
        <v>140000</v>
      </c>
    </row>
    <row r="74" spans="1:9">
      <c r="A74" s="258">
        <v>3</v>
      </c>
      <c r="B74" s="258" t="s">
        <v>223</v>
      </c>
      <c r="C74" s="258" t="s">
        <v>224</v>
      </c>
      <c r="D74" s="258" t="s">
        <v>222</v>
      </c>
      <c r="E74" s="259">
        <v>35000</v>
      </c>
      <c r="F74" s="259">
        <v>35000</v>
      </c>
      <c r="G74" s="259">
        <v>35000</v>
      </c>
      <c r="H74" s="259">
        <v>35000</v>
      </c>
      <c r="I74" s="259">
        <f t="shared" si="7"/>
        <v>140000</v>
      </c>
    </row>
    <row r="75" spans="1:9">
      <c r="A75" s="258">
        <v>4</v>
      </c>
      <c r="B75" s="258" t="s">
        <v>340</v>
      </c>
      <c r="C75" s="258" t="s">
        <v>968</v>
      </c>
      <c r="D75" s="258" t="s">
        <v>266</v>
      </c>
      <c r="E75" s="259">
        <v>35000</v>
      </c>
      <c r="F75" s="259">
        <v>35000</v>
      </c>
      <c r="G75" s="259">
        <v>35000</v>
      </c>
      <c r="H75" s="259">
        <v>35000</v>
      </c>
      <c r="I75" s="259">
        <f t="shared" si="7"/>
        <v>140000</v>
      </c>
    </row>
    <row r="76" spans="1:9">
      <c r="A76" s="258">
        <v>5</v>
      </c>
      <c r="B76" s="258" t="s">
        <v>343</v>
      </c>
      <c r="C76" s="258" t="s">
        <v>344</v>
      </c>
      <c r="D76" s="258" t="s">
        <v>301</v>
      </c>
      <c r="E76" s="259">
        <v>35000</v>
      </c>
      <c r="F76" s="259">
        <v>35000</v>
      </c>
      <c r="G76" s="259">
        <v>35000</v>
      </c>
      <c r="H76" s="259">
        <v>35000</v>
      </c>
      <c r="I76" s="259">
        <f t="shared" si="7"/>
        <v>140000</v>
      </c>
    </row>
    <row r="77" spans="1:9">
      <c r="A77" s="258">
        <v>6</v>
      </c>
      <c r="B77" s="258" t="s">
        <v>346</v>
      </c>
      <c r="C77" s="258" t="s">
        <v>344</v>
      </c>
      <c r="D77" s="258" t="s">
        <v>25</v>
      </c>
      <c r="E77" s="259">
        <v>35000</v>
      </c>
      <c r="F77" s="259">
        <v>35000</v>
      </c>
      <c r="G77" s="259">
        <v>35000</v>
      </c>
      <c r="H77" s="259">
        <v>35000</v>
      </c>
      <c r="I77" s="259">
        <f t="shared" si="7"/>
        <v>140000</v>
      </c>
    </row>
    <row r="78" spans="1:9">
      <c r="A78" s="258">
        <v>7</v>
      </c>
      <c r="B78" s="258" t="s">
        <v>347</v>
      </c>
      <c r="C78" s="258" t="s">
        <v>348</v>
      </c>
      <c r="D78" s="258" t="s">
        <v>31</v>
      </c>
      <c r="E78" s="261">
        <v>35000</v>
      </c>
      <c r="F78" s="261">
        <v>35000</v>
      </c>
      <c r="G78" s="261">
        <v>35000</v>
      </c>
      <c r="H78" s="261">
        <v>35000</v>
      </c>
      <c r="I78" s="261">
        <f t="shared" si="7"/>
        <v>140000</v>
      </c>
    </row>
    <row r="79" spans="1:9">
      <c r="A79" s="258"/>
      <c r="B79" s="262" t="s">
        <v>1029</v>
      </c>
      <c r="C79" s="258"/>
      <c r="D79" s="258"/>
      <c r="E79" s="263">
        <f>SUM(E72:E78)</f>
        <v>245000</v>
      </c>
      <c r="F79" s="263">
        <f t="shared" ref="F79:I79" si="8">SUM(F72:F78)</f>
        <v>245000</v>
      </c>
      <c r="G79" s="263">
        <f t="shared" si="8"/>
        <v>245000</v>
      </c>
      <c r="H79" s="263">
        <f t="shared" si="8"/>
        <v>245000</v>
      </c>
      <c r="I79" s="263">
        <f t="shared" si="8"/>
        <v>980000</v>
      </c>
    </row>
    <row r="80" spans="1:9">
      <c r="E80" s="250"/>
      <c r="F80" s="250"/>
      <c r="G80" s="250"/>
      <c r="H80" s="250"/>
      <c r="I80" s="250"/>
    </row>
    <row r="81" spans="1:9">
      <c r="B81" s="252" t="s">
        <v>56</v>
      </c>
      <c r="E81" s="250"/>
      <c r="F81" s="250"/>
      <c r="G81" s="250"/>
      <c r="H81" s="250"/>
      <c r="I81" s="250"/>
    </row>
    <row r="82" spans="1:9">
      <c r="A82" s="258">
        <v>1</v>
      </c>
      <c r="B82" s="258" t="s">
        <v>349</v>
      </c>
      <c r="C82" s="258" t="s">
        <v>310</v>
      </c>
      <c r="D82" s="258" t="s">
        <v>249</v>
      </c>
      <c r="E82" s="259">
        <v>35000</v>
      </c>
      <c r="F82" s="259">
        <v>35000</v>
      </c>
      <c r="G82" s="259">
        <v>35000</v>
      </c>
      <c r="H82" s="259">
        <v>35000</v>
      </c>
      <c r="I82" s="259">
        <f t="shared" ref="I82:I92" si="9">35000*4</f>
        <v>140000</v>
      </c>
    </row>
    <row r="83" spans="1:9">
      <c r="A83" s="258">
        <v>2</v>
      </c>
      <c r="B83" s="258" t="s">
        <v>350</v>
      </c>
      <c r="C83" s="258" t="s">
        <v>310</v>
      </c>
      <c r="D83" s="258" t="s">
        <v>249</v>
      </c>
      <c r="E83" s="259">
        <v>35000</v>
      </c>
      <c r="F83" s="259">
        <v>35000</v>
      </c>
      <c r="G83" s="259">
        <v>35000</v>
      </c>
      <c r="H83" s="259">
        <v>35000</v>
      </c>
      <c r="I83" s="259">
        <f t="shared" si="9"/>
        <v>140000</v>
      </c>
    </row>
    <row r="84" spans="1:9">
      <c r="A84" s="258">
        <v>3</v>
      </c>
      <c r="B84" s="258" t="s">
        <v>386</v>
      </c>
      <c r="C84" s="258" t="s">
        <v>256</v>
      </c>
      <c r="D84" s="258" t="s">
        <v>254</v>
      </c>
      <c r="E84" s="259">
        <v>35000</v>
      </c>
      <c r="F84" s="259">
        <v>35000</v>
      </c>
      <c r="G84" s="259">
        <v>35000</v>
      </c>
      <c r="H84" s="259">
        <v>35000</v>
      </c>
      <c r="I84" s="259">
        <f t="shared" si="9"/>
        <v>140000</v>
      </c>
    </row>
    <row r="85" spans="1:9">
      <c r="A85" s="258">
        <v>4</v>
      </c>
      <c r="B85" s="258" t="s">
        <v>351</v>
      </c>
      <c r="C85" s="258" t="s">
        <v>259</v>
      </c>
      <c r="D85" s="258" t="s">
        <v>257</v>
      </c>
      <c r="E85" s="259">
        <v>35000</v>
      </c>
      <c r="F85" s="259">
        <v>35000</v>
      </c>
      <c r="G85" s="259">
        <v>35000</v>
      </c>
      <c r="H85" s="259">
        <v>35000</v>
      </c>
      <c r="I85" s="259">
        <f t="shared" si="9"/>
        <v>140000</v>
      </c>
    </row>
    <row r="86" spans="1:9">
      <c r="A86" s="258">
        <v>5</v>
      </c>
      <c r="B86" s="258" t="s">
        <v>352</v>
      </c>
      <c r="C86" s="258" t="s">
        <v>353</v>
      </c>
      <c r="D86" s="258" t="s">
        <v>266</v>
      </c>
      <c r="E86" s="259">
        <v>35000</v>
      </c>
      <c r="F86" s="259">
        <v>35000</v>
      </c>
      <c r="G86" s="259">
        <v>35000</v>
      </c>
      <c r="H86" s="259">
        <v>35000</v>
      </c>
      <c r="I86" s="259">
        <f t="shared" si="9"/>
        <v>140000</v>
      </c>
    </row>
    <row r="87" spans="1:9">
      <c r="A87" s="258">
        <v>6</v>
      </c>
      <c r="B87" s="258" t="s">
        <v>354</v>
      </c>
      <c r="C87" s="258" t="s">
        <v>47</v>
      </c>
      <c r="D87" s="258" t="s">
        <v>950</v>
      </c>
      <c r="E87" s="259">
        <v>35000</v>
      </c>
      <c r="F87" s="259">
        <v>35000</v>
      </c>
      <c r="G87" s="259">
        <v>35000</v>
      </c>
      <c r="H87" s="259">
        <v>35000</v>
      </c>
      <c r="I87" s="259">
        <f t="shared" si="9"/>
        <v>140000</v>
      </c>
    </row>
    <row r="88" spans="1:9">
      <c r="A88" s="258">
        <v>7</v>
      </c>
      <c r="B88" s="258" t="s">
        <v>355</v>
      </c>
      <c r="C88" s="258" t="s">
        <v>47</v>
      </c>
      <c r="D88" s="258" t="s">
        <v>950</v>
      </c>
      <c r="E88" s="259">
        <v>35000</v>
      </c>
      <c r="F88" s="259">
        <v>35000</v>
      </c>
      <c r="G88" s="259">
        <v>35000</v>
      </c>
      <c r="H88" s="259">
        <v>35000</v>
      </c>
      <c r="I88" s="259">
        <f t="shared" si="9"/>
        <v>140000</v>
      </c>
    </row>
    <row r="89" spans="1:9">
      <c r="A89" s="258">
        <v>8</v>
      </c>
      <c r="B89" s="258" t="s">
        <v>357</v>
      </c>
      <c r="C89" s="258" t="s">
        <v>275</v>
      </c>
      <c r="D89" s="258" t="s">
        <v>42</v>
      </c>
      <c r="E89" s="259">
        <v>35000</v>
      </c>
      <c r="F89" s="259">
        <v>35000</v>
      </c>
      <c r="G89" s="259">
        <v>35000</v>
      </c>
      <c r="H89" s="259">
        <v>35000</v>
      </c>
      <c r="I89" s="259">
        <f t="shared" si="9"/>
        <v>140000</v>
      </c>
    </row>
    <row r="90" spans="1:9">
      <c r="A90" s="258">
        <v>9</v>
      </c>
      <c r="B90" s="258" t="s">
        <v>358</v>
      </c>
      <c r="C90" s="258" t="s">
        <v>275</v>
      </c>
      <c r="D90" s="258" t="s">
        <v>42</v>
      </c>
      <c r="E90" s="259">
        <v>35000</v>
      </c>
      <c r="F90" s="259">
        <v>35000</v>
      </c>
      <c r="G90" s="259">
        <v>35000</v>
      </c>
      <c r="H90" s="259">
        <v>35000</v>
      </c>
      <c r="I90" s="259">
        <f t="shared" si="9"/>
        <v>140000</v>
      </c>
    </row>
    <row r="91" spans="1:9">
      <c r="A91" s="258">
        <v>10</v>
      </c>
      <c r="B91" s="258" t="s">
        <v>359</v>
      </c>
      <c r="C91" s="258" t="s">
        <v>360</v>
      </c>
      <c r="D91" s="258" t="s">
        <v>38</v>
      </c>
      <c r="E91" s="259">
        <v>35000</v>
      </c>
      <c r="F91" s="259">
        <v>35000</v>
      </c>
      <c r="G91" s="259">
        <v>35000</v>
      </c>
      <c r="H91" s="259">
        <v>35000</v>
      </c>
      <c r="I91" s="259">
        <f t="shared" si="9"/>
        <v>140000</v>
      </c>
    </row>
    <row r="92" spans="1:9">
      <c r="A92" s="258">
        <v>11</v>
      </c>
      <c r="B92" s="258" t="s">
        <v>361</v>
      </c>
      <c r="C92" s="258" t="s">
        <v>362</v>
      </c>
      <c r="D92" s="258" t="s">
        <v>294</v>
      </c>
      <c r="E92" s="261">
        <v>35000</v>
      </c>
      <c r="F92" s="261">
        <v>35000</v>
      </c>
      <c r="G92" s="261">
        <v>35000</v>
      </c>
      <c r="H92" s="261">
        <v>35000</v>
      </c>
      <c r="I92" s="261">
        <f t="shared" si="9"/>
        <v>140000</v>
      </c>
    </row>
    <row r="93" spans="1:9">
      <c r="A93" s="258"/>
      <c r="B93" s="262" t="s">
        <v>1030</v>
      </c>
      <c r="C93" s="258"/>
      <c r="D93" s="258"/>
      <c r="E93" s="263">
        <f>SUM(E82:E92)</f>
        <v>385000</v>
      </c>
      <c r="F93" s="263">
        <f t="shared" ref="F93:I93" si="10">SUM(F82:F92)</f>
        <v>385000</v>
      </c>
      <c r="G93" s="263">
        <f t="shared" si="10"/>
        <v>385000</v>
      </c>
      <c r="H93" s="263">
        <f t="shared" si="10"/>
        <v>385000</v>
      </c>
      <c r="I93" s="263">
        <f t="shared" si="10"/>
        <v>1540000</v>
      </c>
    </row>
    <row r="94" spans="1:9">
      <c r="E94" s="250"/>
      <c r="F94" s="250"/>
      <c r="G94" s="250"/>
      <c r="H94" s="250"/>
      <c r="I94" s="250"/>
    </row>
    <row r="95" spans="1:9">
      <c r="B95" s="252" t="s">
        <v>58</v>
      </c>
      <c r="E95" s="250"/>
      <c r="F95" s="250"/>
      <c r="G95" s="250"/>
      <c r="H95" s="250"/>
      <c r="I95" s="250"/>
    </row>
    <row r="96" spans="1:9">
      <c r="A96" s="258">
        <v>1</v>
      </c>
      <c r="B96" s="258" t="s">
        <v>232</v>
      </c>
      <c r="C96" s="258" t="s">
        <v>233</v>
      </c>
      <c r="D96" s="258" t="s">
        <v>308</v>
      </c>
      <c r="E96" s="259">
        <v>35000</v>
      </c>
      <c r="F96" s="259">
        <v>35000</v>
      </c>
      <c r="G96" s="259">
        <v>35000</v>
      </c>
      <c r="H96" s="259">
        <v>35000</v>
      </c>
      <c r="I96" s="259">
        <f>E96+F96+G96+H96</f>
        <v>140000</v>
      </c>
    </row>
    <row r="97" spans="1:9">
      <c r="A97" s="258">
        <v>2</v>
      </c>
      <c r="B97" s="258" t="s">
        <v>250</v>
      </c>
      <c r="C97" s="258" t="s">
        <v>367</v>
      </c>
      <c r="D97" s="258" t="s">
        <v>257</v>
      </c>
      <c r="E97" s="259">
        <v>35000</v>
      </c>
      <c r="F97" s="259">
        <v>35000</v>
      </c>
      <c r="G97" s="259">
        <v>35000</v>
      </c>
      <c r="H97" s="259">
        <v>35000</v>
      </c>
      <c r="I97" s="259">
        <f t="shared" ref="I97:I99" si="11">E97+F97+G97+H97</f>
        <v>140000</v>
      </c>
    </row>
    <row r="98" spans="1:9">
      <c r="A98" s="258">
        <v>3</v>
      </c>
      <c r="B98" s="258" t="s">
        <v>368</v>
      </c>
      <c r="C98" s="258" t="s">
        <v>369</v>
      </c>
      <c r="D98" s="258" t="s">
        <v>332</v>
      </c>
      <c r="E98" s="259">
        <v>35000</v>
      </c>
      <c r="F98" s="259">
        <v>35000</v>
      </c>
      <c r="G98" s="259">
        <v>35000</v>
      </c>
      <c r="H98" s="259">
        <v>35000</v>
      </c>
      <c r="I98" s="259">
        <f t="shared" si="11"/>
        <v>140000</v>
      </c>
    </row>
    <row r="99" spans="1:9">
      <c r="A99" s="258">
        <v>4</v>
      </c>
      <c r="B99" s="258" t="s">
        <v>370</v>
      </c>
      <c r="C99" s="258" t="s">
        <v>969</v>
      </c>
      <c r="D99" s="258" t="s">
        <v>945</v>
      </c>
      <c r="E99" s="261">
        <v>35000</v>
      </c>
      <c r="F99" s="261">
        <v>35000</v>
      </c>
      <c r="G99" s="261">
        <v>35000</v>
      </c>
      <c r="H99" s="261">
        <v>35000</v>
      </c>
      <c r="I99" s="261">
        <f t="shared" si="11"/>
        <v>140000</v>
      </c>
    </row>
    <row r="100" spans="1:9">
      <c r="A100" s="258"/>
      <c r="B100" s="262" t="s">
        <v>1031</v>
      </c>
      <c r="C100" s="258"/>
      <c r="D100" s="258"/>
      <c r="E100" s="263">
        <f>SUM(E96:E99)</f>
        <v>140000</v>
      </c>
      <c r="F100" s="263">
        <f t="shared" ref="F100:I100" si="12">SUM(F96:F99)</f>
        <v>140000</v>
      </c>
      <c r="G100" s="263">
        <f t="shared" si="12"/>
        <v>140000</v>
      </c>
      <c r="H100" s="263">
        <f t="shared" si="12"/>
        <v>140000</v>
      </c>
      <c r="I100" s="263">
        <f t="shared" si="12"/>
        <v>560000</v>
      </c>
    </row>
    <row r="101" spans="1:9">
      <c r="E101" s="250"/>
      <c r="F101" s="250"/>
      <c r="G101" s="250"/>
      <c r="H101" s="250"/>
      <c r="I101" s="250"/>
    </row>
    <row r="102" spans="1:9">
      <c r="B102" s="252" t="s">
        <v>372</v>
      </c>
      <c r="E102" s="250"/>
      <c r="F102" s="250"/>
      <c r="G102" s="250"/>
      <c r="H102" s="250"/>
      <c r="I102" s="250"/>
    </row>
    <row r="103" spans="1:9">
      <c r="A103" s="258">
        <v>1</v>
      </c>
      <c r="B103" s="258" t="s">
        <v>373</v>
      </c>
      <c r="C103" s="258" t="s">
        <v>374</v>
      </c>
      <c r="D103" s="258" t="s">
        <v>297</v>
      </c>
      <c r="E103" s="259">
        <f t="shared" ref="E103:E109" si="13">35000</f>
        <v>35000</v>
      </c>
      <c r="F103" s="259">
        <f t="shared" ref="F103:F109" si="14">35000</f>
        <v>35000</v>
      </c>
      <c r="G103" s="259">
        <f t="shared" ref="G103:G109" si="15">35000</f>
        <v>35000</v>
      </c>
      <c r="H103" s="259">
        <f t="shared" ref="H103:H109" si="16">35000</f>
        <v>35000</v>
      </c>
      <c r="I103" s="259">
        <f>E103+F103+G103+H103</f>
        <v>140000</v>
      </c>
    </row>
    <row r="104" spans="1:9">
      <c r="A104" s="258">
        <v>2</v>
      </c>
      <c r="B104" s="258" t="s">
        <v>375</v>
      </c>
      <c r="C104" s="258" t="s">
        <v>376</v>
      </c>
      <c r="D104" s="258" t="s">
        <v>308</v>
      </c>
      <c r="E104" s="259">
        <f t="shared" si="13"/>
        <v>35000</v>
      </c>
      <c r="F104" s="259">
        <f t="shared" si="14"/>
        <v>35000</v>
      </c>
      <c r="G104" s="259">
        <f t="shared" si="15"/>
        <v>35000</v>
      </c>
      <c r="H104" s="259">
        <f t="shared" si="16"/>
        <v>35000</v>
      </c>
      <c r="I104" s="259">
        <f t="shared" ref="I104:I109" si="17">E104+F104+G104+H104</f>
        <v>140000</v>
      </c>
    </row>
    <row r="105" spans="1:9">
      <c r="A105" s="258">
        <v>3</v>
      </c>
      <c r="B105" s="258" t="s">
        <v>377</v>
      </c>
      <c r="C105" s="258" t="s">
        <v>378</v>
      </c>
      <c r="D105" s="258" t="s">
        <v>263</v>
      </c>
      <c r="E105" s="259">
        <f t="shared" si="13"/>
        <v>35000</v>
      </c>
      <c r="F105" s="259">
        <f t="shared" si="14"/>
        <v>35000</v>
      </c>
      <c r="G105" s="259">
        <f t="shared" si="15"/>
        <v>35000</v>
      </c>
      <c r="H105" s="259">
        <f t="shared" si="16"/>
        <v>35000</v>
      </c>
      <c r="I105" s="259">
        <f t="shared" si="17"/>
        <v>140000</v>
      </c>
    </row>
    <row r="106" spans="1:9">
      <c r="A106" s="258">
        <v>4</v>
      </c>
      <c r="B106" s="258" t="s">
        <v>379</v>
      </c>
      <c r="C106" s="258" t="s">
        <v>378</v>
      </c>
      <c r="D106" s="258" t="s">
        <v>263</v>
      </c>
      <c r="E106" s="259">
        <f t="shared" si="13"/>
        <v>35000</v>
      </c>
      <c r="F106" s="259">
        <f t="shared" si="14"/>
        <v>35000</v>
      </c>
      <c r="G106" s="259">
        <f t="shared" si="15"/>
        <v>35000</v>
      </c>
      <c r="H106" s="259">
        <f t="shared" si="16"/>
        <v>35000</v>
      </c>
      <c r="I106" s="259">
        <f t="shared" si="17"/>
        <v>140000</v>
      </c>
    </row>
    <row r="107" spans="1:9">
      <c r="A107" s="258">
        <v>5</v>
      </c>
      <c r="B107" s="258" t="s">
        <v>380</v>
      </c>
      <c r="C107" s="258" t="s">
        <v>381</v>
      </c>
      <c r="D107" s="258" t="s">
        <v>384</v>
      </c>
      <c r="E107" s="259">
        <f t="shared" si="13"/>
        <v>35000</v>
      </c>
      <c r="F107" s="259">
        <f t="shared" si="14"/>
        <v>35000</v>
      </c>
      <c r="G107" s="259">
        <f t="shared" si="15"/>
        <v>35000</v>
      </c>
      <c r="H107" s="259">
        <f t="shared" si="16"/>
        <v>35000</v>
      </c>
      <c r="I107" s="259">
        <f t="shared" si="17"/>
        <v>140000</v>
      </c>
    </row>
    <row r="108" spans="1:9">
      <c r="A108" s="258">
        <v>6</v>
      </c>
      <c r="B108" s="258" t="s">
        <v>383</v>
      </c>
      <c r="C108" s="258" t="s">
        <v>381</v>
      </c>
      <c r="D108" s="258" t="s">
        <v>945</v>
      </c>
      <c r="E108" s="259">
        <f t="shared" si="13"/>
        <v>35000</v>
      </c>
      <c r="F108" s="259">
        <f t="shared" si="14"/>
        <v>35000</v>
      </c>
      <c r="G108" s="259">
        <f t="shared" si="15"/>
        <v>35000</v>
      </c>
      <c r="H108" s="259">
        <f t="shared" si="16"/>
        <v>35000</v>
      </c>
      <c r="I108" s="259">
        <f t="shared" si="17"/>
        <v>140000</v>
      </c>
    </row>
    <row r="109" spans="1:9">
      <c r="A109" s="258">
        <v>7</v>
      </c>
      <c r="B109" s="258" t="s">
        <v>385</v>
      </c>
      <c r="C109" s="258" t="s">
        <v>381</v>
      </c>
      <c r="D109" s="258" t="s">
        <v>294</v>
      </c>
      <c r="E109" s="261">
        <f t="shared" si="13"/>
        <v>35000</v>
      </c>
      <c r="F109" s="261">
        <f t="shared" si="14"/>
        <v>35000</v>
      </c>
      <c r="G109" s="261">
        <f t="shared" si="15"/>
        <v>35000</v>
      </c>
      <c r="H109" s="261">
        <f t="shared" si="16"/>
        <v>35000</v>
      </c>
      <c r="I109" s="261">
        <f t="shared" si="17"/>
        <v>140000</v>
      </c>
    </row>
    <row r="110" spans="1:9">
      <c r="A110" s="258"/>
      <c r="B110" s="262" t="s">
        <v>1032</v>
      </c>
      <c r="C110" s="258"/>
      <c r="D110" s="258"/>
      <c r="E110" s="263">
        <f>SUM(E103:E109)</f>
        <v>245000</v>
      </c>
      <c r="F110" s="263">
        <f t="shared" ref="F110:I110" si="18">SUM(F103:F109)</f>
        <v>245000</v>
      </c>
      <c r="G110" s="263">
        <f t="shared" si="18"/>
        <v>245000</v>
      </c>
      <c r="H110" s="263">
        <f t="shared" si="18"/>
        <v>245000</v>
      </c>
      <c r="I110" s="263">
        <f t="shared" si="18"/>
        <v>980000</v>
      </c>
    </row>
    <row r="111" spans="1:9">
      <c r="I111" s="265"/>
    </row>
    <row r="112" spans="1:9">
      <c r="B112" s="252" t="s">
        <v>61</v>
      </c>
      <c r="E112" s="250"/>
      <c r="F112" s="250"/>
      <c r="G112" s="250"/>
      <c r="H112" s="250"/>
      <c r="I112" s="250"/>
    </row>
    <row r="113" spans="1:9">
      <c r="A113" s="258">
        <v>1</v>
      </c>
      <c r="B113" s="258" t="s">
        <v>1033</v>
      </c>
      <c r="C113" s="258" t="s">
        <v>275</v>
      </c>
      <c r="D113" s="258" t="s">
        <v>271</v>
      </c>
      <c r="E113" s="259">
        <v>35000</v>
      </c>
      <c r="F113" s="259">
        <v>35000</v>
      </c>
      <c r="G113" s="259">
        <v>35000</v>
      </c>
      <c r="H113" s="259">
        <v>35000</v>
      </c>
      <c r="I113" s="259">
        <f>E113+F113+G113+H113</f>
        <v>140000</v>
      </c>
    </row>
    <row r="114" spans="1:9">
      <c r="A114" s="258">
        <v>2</v>
      </c>
      <c r="B114" s="258" t="s">
        <v>387</v>
      </c>
      <c r="C114" s="258" t="s">
        <v>388</v>
      </c>
      <c r="D114" s="258" t="s">
        <v>332</v>
      </c>
      <c r="E114" s="259">
        <v>35000</v>
      </c>
      <c r="F114" s="259">
        <v>35000</v>
      </c>
      <c r="G114" s="259">
        <v>35000</v>
      </c>
      <c r="H114" s="259">
        <v>35000</v>
      </c>
      <c r="I114" s="259">
        <f t="shared" ref="I114:I115" si="19">E114+F114+G114+H114</f>
        <v>140000</v>
      </c>
    </row>
    <row r="115" spans="1:9">
      <c r="A115" s="258">
        <v>3</v>
      </c>
      <c r="B115" s="258" t="s">
        <v>389</v>
      </c>
      <c r="C115" s="258" t="s">
        <v>390</v>
      </c>
      <c r="D115" s="258" t="s">
        <v>271</v>
      </c>
      <c r="E115" s="261">
        <v>35000</v>
      </c>
      <c r="F115" s="261">
        <v>35000</v>
      </c>
      <c r="G115" s="261">
        <v>35000</v>
      </c>
      <c r="H115" s="261">
        <v>35000</v>
      </c>
      <c r="I115" s="261">
        <f t="shared" si="19"/>
        <v>140000</v>
      </c>
    </row>
    <row r="116" spans="1:9">
      <c r="A116" s="258"/>
      <c r="B116" s="262" t="s">
        <v>1034</v>
      </c>
      <c r="C116" s="258"/>
      <c r="D116" s="258"/>
      <c r="E116" s="263">
        <f>SUM(E113:E115)</f>
        <v>105000</v>
      </c>
      <c r="F116" s="263">
        <f t="shared" ref="F116:I116" si="20">SUM(F113:F115)</f>
        <v>105000</v>
      </c>
      <c r="G116" s="263">
        <f t="shared" si="20"/>
        <v>105000</v>
      </c>
      <c r="H116" s="263">
        <f t="shared" si="20"/>
        <v>105000</v>
      </c>
      <c r="I116" s="263">
        <f t="shared" si="20"/>
        <v>420000</v>
      </c>
    </row>
    <row r="117" spans="1:9">
      <c r="E117" s="251"/>
      <c r="F117" s="251"/>
      <c r="G117" s="251"/>
      <c r="H117" s="251"/>
      <c r="I117" s="251"/>
    </row>
    <row r="118" spans="1:9">
      <c r="B118" s="252" t="s">
        <v>67</v>
      </c>
      <c r="E118" s="250"/>
      <c r="F118" s="250"/>
      <c r="G118" s="250"/>
      <c r="H118" s="250"/>
      <c r="I118" s="250"/>
    </row>
    <row r="119" spans="1:9">
      <c r="A119" s="258">
        <v>1</v>
      </c>
      <c r="B119" s="258" t="s">
        <v>392</v>
      </c>
      <c r="C119" s="258" t="s">
        <v>393</v>
      </c>
      <c r="D119" s="258" t="s">
        <v>297</v>
      </c>
      <c r="E119" s="259">
        <v>35000</v>
      </c>
      <c r="F119" s="259">
        <v>35000</v>
      </c>
      <c r="G119" s="259">
        <v>35000</v>
      </c>
      <c r="H119" s="259">
        <v>35000</v>
      </c>
      <c r="I119" s="259">
        <f>E119+F119+G119+H119</f>
        <v>140000</v>
      </c>
    </row>
    <row r="120" spans="1:9">
      <c r="A120" s="258">
        <v>2</v>
      </c>
      <c r="B120" s="258" t="s">
        <v>130</v>
      </c>
      <c r="C120" s="258" t="s">
        <v>227</v>
      </c>
      <c r="D120" s="258" t="s">
        <v>249</v>
      </c>
      <c r="E120" s="259">
        <v>35000</v>
      </c>
      <c r="F120" s="259">
        <v>35000</v>
      </c>
      <c r="G120" s="259">
        <v>35000</v>
      </c>
      <c r="H120" s="259">
        <v>35000</v>
      </c>
      <c r="I120" s="259">
        <f t="shared" ref="I120:I127" si="21">E120+F120+G120+H120</f>
        <v>140000</v>
      </c>
    </row>
    <row r="121" spans="1:9">
      <c r="A121" s="258">
        <v>3</v>
      </c>
      <c r="B121" s="258" t="s">
        <v>395</v>
      </c>
      <c r="C121" s="258" t="s">
        <v>227</v>
      </c>
      <c r="D121" s="258" t="s">
        <v>249</v>
      </c>
      <c r="E121" s="259">
        <v>35000</v>
      </c>
      <c r="F121" s="259">
        <v>35000</v>
      </c>
      <c r="G121" s="259">
        <v>35000</v>
      </c>
      <c r="H121" s="259">
        <v>35000</v>
      </c>
      <c r="I121" s="259">
        <f t="shared" si="21"/>
        <v>140000</v>
      </c>
    </row>
    <row r="122" spans="1:9">
      <c r="A122" s="258">
        <v>5</v>
      </c>
      <c r="B122" s="258" t="s">
        <v>396</v>
      </c>
      <c r="C122" s="258" t="s">
        <v>397</v>
      </c>
      <c r="D122" s="258" t="s">
        <v>342</v>
      </c>
      <c r="E122" s="259">
        <v>35000</v>
      </c>
      <c r="F122" s="259">
        <v>35000</v>
      </c>
      <c r="G122" s="259">
        <v>35000</v>
      </c>
      <c r="H122" s="259">
        <v>35000</v>
      </c>
      <c r="I122" s="259">
        <f t="shared" si="21"/>
        <v>140000</v>
      </c>
    </row>
    <row r="123" spans="1:9">
      <c r="A123" s="258">
        <v>6</v>
      </c>
      <c r="B123" s="258" t="s">
        <v>398</v>
      </c>
      <c r="C123" s="258" t="s">
        <v>399</v>
      </c>
      <c r="D123" s="258" t="s">
        <v>266</v>
      </c>
      <c r="E123" s="259">
        <v>35000</v>
      </c>
      <c r="F123" s="259">
        <v>35000</v>
      </c>
      <c r="G123" s="259">
        <v>35000</v>
      </c>
      <c r="H123" s="259">
        <v>35000</v>
      </c>
      <c r="I123" s="259">
        <f t="shared" si="21"/>
        <v>140000</v>
      </c>
    </row>
    <row r="124" spans="1:9">
      <c r="A124" s="258">
        <v>7</v>
      </c>
      <c r="B124" s="258" t="s">
        <v>400</v>
      </c>
      <c r="C124" s="258" t="s">
        <v>970</v>
      </c>
      <c r="D124" s="258" t="s">
        <v>266</v>
      </c>
      <c r="E124" s="259">
        <v>35000</v>
      </c>
      <c r="F124" s="259">
        <v>35000</v>
      </c>
      <c r="G124" s="259">
        <v>35000</v>
      </c>
      <c r="H124" s="259">
        <v>35000</v>
      </c>
      <c r="I124" s="259">
        <f t="shared" si="21"/>
        <v>140000</v>
      </c>
    </row>
    <row r="125" spans="1:9">
      <c r="A125" s="258">
        <v>8</v>
      </c>
      <c r="B125" s="258" t="s">
        <v>401</v>
      </c>
      <c r="C125" s="258" t="s">
        <v>402</v>
      </c>
      <c r="D125" s="258" t="s">
        <v>283</v>
      </c>
      <c r="E125" s="259">
        <v>35000</v>
      </c>
      <c r="F125" s="259">
        <v>35000</v>
      </c>
      <c r="G125" s="259">
        <v>35000</v>
      </c>
      <c r="H125" s="259">
        <v>35000</v>
      </c>
      <c r="I125" s="259">
        <f t="shared" si="21"/>
        <v>140000</v>
      </c>
    </row>
    <row r="126" spans="1:9">
      <c r="A126" s="258">
        <v>9</v>
      </c>
      <c r="B126" s="258" t="s">
        <v>403</v>
      </c>
      <c r="C126" s="258" t="s">
        <v>404</v>
      </c>
      <c r="D126" s="258" t="s">
        <v>31</v>
      </c>
      <c r="E126" s="259">
        <v>35000</v>
      </c>
      <c r="F126" s="259">
        <v>35000</v>
      </c>
      <c r="G126" s="259">
        <v>35000</v>
      </c>
      <c r="H126" s="259">
        <v>35000</v>
      </c>
      <c r="I126" s="259">
        <f t="shared" si="21"/>
        <v>140000</v>
      </c>
    </row>
    <row r="127" spans="1:9">
      <c r="A127" s="258">
        <v>10</v>
      </c>
      <c r="B127" s="258" t="s">
        <v>405</v>
      </c>
      <c r="C127" s="258" t="s">
        <v>69</v>
      </c>
      <c r="D127" s="258" t="s">
        <v>31</v>
      </c>
      <c r="E127" s="261">
        <v>35000</v>
      </c>
      <c r="F127" s="261">
        <v>35000</v>
      </c>
      <c r="G127" s="261">
        <v>35000</v>
      </c>
      <c r="H127" s="261">
        <v>35000</v>
      </c>
      <c r="I127" s="261">
        <f t="shared" si="21"/>
        <v>140000</v>
      </c>
    </row>
    <row r="128" spans="1:9">
      <c r="A128" s="258"/>
      <c r="B128" s="262" t="s">
        <v>1035</v>
      </c>
      <c r="C128" s="258"/>
      <c r="D128" s="258"/>
      <c r="E128" s="263">
        <f>SUM(E119:E127)</f>
        <v>315000</v>
      </c>
      <c r="F128" s="263">
        <f>SUM(F119:F127)</f>
        <v>315000</v>
      </c>
      <c r="G128" s="263">
        <f>SUM(G119:G127)</f>
        <v>315000</v>
      </c>
      <c r="H128" s="263">
        <f>SUM(H119:H127)</f>
        <v>315000</v>
      </c>
      <c r="I128" s="263">
        <f>SUM(I119:I127)</f>
        <v>1260000</v>
      </c>
    </row>
    <row r="129" spans="1:9">
      <c r="E129" s="250"/>
      <c r="F129" s="250"/>
      <c r="G129" s="250"/>
      <c r="H129" s="250"/>
      <c r="I129" s="250"/>
    </row>
    <row r="130" spans="1:9">
      <c r="B130" s="252" t="s">
        <v>71</v>
      </c>
      <c r="E130" s="250"/>
      <c r="F130" s="250"/>
      <c r="G130" s="250"/>
      <c r="H130" s="250"/>
      <c r="I130" s="250"/>
    </row>
    <row r="131" spans="1:9">
      <c r="A131" s="258">
        <v>1</v>
      </c>
      <c r="B131" s="258" t="s">
        <v>407</v>
      </c>
      <c r="C131" s="258" t="s">
        <v>408</v>
      </c>
      <c r="D131" s="258" t="s">
        <v>297</v>
      </c>
      <c r="E131" s="259">
        <v>35000</v>
      </c>
      <c r="F131" s="259">
        <v>35000</v>
      </c>
      <c r="G131" s="259">
        <v>35000</v>
      </c>
      <c r="H131" s="259">
        <v>35000</v>
      </c>
      <c r="I131" s="259">
        <f>E131+F131+G131+H131</f>
        <v>140000</v>
      </c>
    </row>
    <row r="132" spans="1:9">
      <c r="A132" s="258">
        <v>3</v>
      </c>
      <c r="B132" s="258" t="s">
        <v>409</v>
      </c>
      <c r="C132" s="258" t="s">
        <v>410</v>
      </c>
      <c r="D132" s="258" t="s">
        <v>308</v>
      </c>
      <c r="E132" s="259">
        <v>35000</v>
      </c>
      <c r="F132" s="259">
        <v>35000</v>
      </c>
      <c r="G132" s="259">
        <v>35000</v>
      </c>
      <c r="H132" s="259">
        <v>35000</v>
      </c>
      <c r="I132" s="259">
        <f t="shared" ref="I132:I189" si="22">E132+F132+G132+H132</f>
        <v>140000</v>
      </c>
    </row>
    <row r="133" spans="1:9">
      <c r="A133" s="258">
        <v>4</v>
      </c>
      <c r="B133" s="258" t="s">
        <v>411</v>
      </c>
      <c r="C133" s="258" t="s">
        <v>412</v>
      </c>
      <c r="D133" s="258" t="s">
        <v>257</v>
      </c>
      <c r="E133" s="259">
        <v>35000</v>
      </c>
      <c r="F133" s="259">
        <v>35000</v>
      </c>
      <c r="G133" s="259">
        <v>35000</v>
      </c>
      <c r="H133" s="259">
        <v>35000</v>
      </c>
      <c r="I133" s="259">
        <f t="shared" si="22"/>
        <v>140000</v>
      </c>
    </row>
    <row r="134" spans="1:9">
      <c r="A134" s="258">
        <v>5</v>
      </c>
      <c r="B134" s="258" t="s">
        <v>413</v>
      </c>
      <c r="C134" s="258" t="s">
        <v>414</v>
      </c>
      <c r="D134" s="258" t="s">
        <v>257</v>
      </c>
      <c r="E134" s="259">
        <v>35000</v>
      </c>
      <c r="F134" s="259">
        <v>35000</v>
      </c>
      <c r="G134" s="259">
        <v>35000</v>
      </c>
      <c r="H134" s="259">
        <v>35000</v>
      </c>
      <c r="I134" s="259">
        <f t="shared" si="22"/>
        <v>140000</v>
      </c>
    </row>
    <row r="135" spans="1:9">
      <c r="A135" s="258">
        <v>6</v>
      </c>
      <c r="B135" s="258" t="s">
        <v>415</v>
      </c>
      <c r="C135" s="258" t="s">
        <v>414</v>
      </c>
      <c r="D135" s="258" t="s">
        <v>257</v>
      </c>
      <c r="E135" s="259">
        <v>35000</v>
      </c>
      <c r="F135" s="259">
        <v>35000</v>
      </c>
      <c r="G135" s="259">
        <v>35000</v>
      </c>
      <c r="H135" s="259">
        <v>35000</v>
      </c>
      <c r="I135" s="259">
        <f t="shared" si="22"/>
        <v>140000</v>
      </c>
    </row>
    <row r="136" spans="1:9">
      <c r="A136" s="258">
        <v>7</v>
      </c>
      <c r="B136" s="258" t="s">
        <v>366</v>
      </c>
      <c r="C136" s="258" t="s">
        <v>420</v>
      </c>
      <c r="D136" s="258" t="s">
        <v>266</v>
      </c>
      <c r="E136" s="259">
        <v>35000</v>
      </c>
      <c r="F136" s="259">
        <v>35000</v>
      </c>
      <c r="G136" s="259">
        <v>35000</v>
      </c>
      <c r="H136" s="259">
        <v>35000</v>
      </c>
      <c r="I136" s="259">
        <f t="shared" si="22"/>
        <v>140000</v>
      </c>
    </row>
    <row r="137" spans="1:9">
      <c r="A137" s="258">
        <v>8</v>
      </c>
      <c r="B137" s="258" t="s">
        <v>416</v>
      </c>
      <c r="C137" s="258" t="s">
        <v>417</v>
      </c>
      <c r="D137" s="258" t="s">
        <v>271</v>
      </c>
      <c r="E137" s="259">
        <v>35000</v>
      </c>
      <c r="F137" s="259">
        <v>35000</v>
      </c>
      <c r="G137" s="259">
        <v>35000</v>
      </c>
      <c r="H137" s="259">
        <v>35000</v>
      </c>
      <c r="I137" s="259">
        <f t="shared" si="22"/>
        <v>140000</v>
      </c>
    </row>
    <row r="138" spans="1:9">
      <c r="A138" s="258">
        <v>9</v>
      </c>
      <c r="B138" s="258" t="s">
        <v>418</v>
      </c>
      <c r="C138" s="258" t="s">
        <v>417</v>
      </c>
      <c r="D138" s="258" t="s">
        <v>271</v>
      </c>
      <c r="E138" s="259">
        <v>35000</v>
      </c>
      <c r="F138" s="259">
        <v>35000</v>
      </c>
      <c r="G138" s="259">
        <v>35000</v>
      </c>
      <c r="H138" s="259">
        <v>35000</v>
      </c>
      <c r="I138" s="259">
        <f t="shared" si="22"/>
        <v>140000</v>
      </c>
    </row>
    <row r="139" spans="1:9">
      <c r="A139" s="258">
        <v>10</v>
      </c>
      <c r="B139" s="258" t="s">
        <v>419</v>
      </c>
      <c r="C139" s="258" t="s">
        <v>420</v>
      </c>
      <c r="D139" s="258" t="s">
        <v>271</v>
      </c>
      <c r="E139" s="259">
        <v>35000</v>
      </c>
      <c r="F139" s="259">
        <v>35000</v>
      </c>
      <c r="G139" s="259">
        <v>35000</v>
      </c>
      <c r="H139" s="259">
        <v>35000</v>
      </c>
      <c r="I139" s="259">
        <f t="shared" si="22"/>
        <v>140000</v>
      </c>
    </row>
    <row r="140" spans="1:9">
      <c r="A140" s="258">
        <v>11</v>
      </c>
      <c r="B140" s="258" t="s">
        <v>421</v>
      </c>
      <c r="C140" s="258" t="s">
        <v>422</v>
      </c>
      <c r="D140" s="258" t="s">
        <v>332</v>
      </c>
      <c r="E140" s="259">
        <v>35000</v>
      </c>
      <c r="F140" s="259">
        <v>35000</v>
      </c>
      <c r="G140" s="259">
        <v>35000</v>
      </c>
      <c r="H140" s="259">
        <v>35000</v>
      </c>
      <c r="I140" s="259">
        <f t="shared" si="22"/>
        <v>140000</v>
      </c>
    </row>
    <row r="141" spans="1:9">
      <c r="A141" s="258">
        <v>12</v>
      </c>
      <c r="B141" s="258" t="s">
        <v>423</v>
      </c>
      <c r="C141" s="258" t="s">
        <v>971</v>
      </c>
      <c r="D141" s="258" t="s">
        <v>432</v>
      </c>
      <c r="E141" s="259">
        <v>35000</v>
      </c>
      <c r="F141" s="259">
        <v>35000</v>
      </c>
      <c r="G141" s="259">
        <v>35000</v>
      </c>
      <c r="H141" s="259">
        <v>35000</v>
      </c>
      <c r="I141" s="259">
        <f t="shared" si="22"/>
        <v>140000</v>
      </c>
    </row>
    <row r="142" spans="1:9">
      <c r="A142" s="258">
        <v>13</v>
      </c>
      <c r="B142" s="258" t="s">
        <v>425</v>
      </c>
      <c r="C142" s="258" t="s">
        <v>426</v>
      </c>
      <c r="D142" s="258" t="s">
        <v>271</v>
      </c>
      <c r="E142" s="259">
        <v>35000</v>
      </c>
      <c r="F142" s="259">
        <v>35000</v>
      </c>
      <c r="G142" s="259">
        <v>35000</v>
      </c>
      <c r="H142" s="259">
        <v>35000</v>
      </c>
      <c r="I142" s="259">
        <f t="shared" si="22"/>
        <v>140000</v>
      </c>
    </row>
    <row r="143" spans="1:9">
      <c r="A143" s="258">
        <v>14</v>
      </c>
      <c r="B143" s="258" t="s">
        <v>427</v>
      </c>
      <c r="C143" s="258" t="s">
        <v>437</v>
      </c>
      <c r="D143" s="258" t="s">
        <v>432</v>
      </c>
      <c r="E143" s="259">
        <v>35000</v>
      </c>
      <c r="F143" s="259">
        <v>35000</v>
      </c>
      <c r="G143" s="259">
        <v>35000</v>
      </c>
      <c r="H143" s="259">
        <v>35000</v>
      </c>
      <c r="I143" s="259">
        <f t="shared" si="22"/>
        <v>140000</v>
      </c>
    </row>
    <row r="144" spans="1:9">
      <c r="A144" s="258">
        <v>15</v>
      </c>
      <c r="B144" s="258" t="s">
        <v>429</v>
      </c>
      <c r="C144" s="258" t="s">
        <v>430</v>
      </c>
      <c r="D144" s="258" t="s">
        <v>301</v>
      </c>
      <c r="E144" s="259">
        <v>35000</v>
      </c>
      <c r="F144" s="259">
        <v>35000</v>
      </c>
      <c r="G144" s="259">
        <v>35000</v>
      </c>
      <c r="H144" s="259">
        <v>35000</v>
      </c>
      <c r="I144" s="259">
        <f t="shared" si="22"/>
        <v>140000</v>
      </c>
    </row>
    <row r="145" spans="1:9">
      <c r="A145" s="258">
        <v>16</v>
      </c>
      <c r="B145" s="258" t="s">
        <v>431</v>
      </c>
      <c r="C145" s="258" t="s">
        <v>430</v>
      </c>
      <c r="D145" s="258" t="s">
        <v>345</v>
      </c>
      <c r="E145" s="259">
        <v>35000</v>
      </c>
      <c r="F145" s="259">
        <v>35000</v>
      </c>
      <c r="G145" s="259">
        <v>35000</v>
      </c>
      <c r="H145" s="259">
        <v>35000</v>
      </c>
      <c r="I145" s="259">
        <f t="shared" si="22"/>
        <v>140000</v>
      </c>
    </row>
    <row r="146" spans="1:9">
      <c r="A146" s="258">
        <v>17</v>
      </c>
      <c r="B146" s="258" t="s">
        <v>433</v>
      </c>
      <c r="C146" s="258" t="s">
        <v>430</v>
      </c>
      <c r="D146" s="258" t="s">
        <v>345</v>
      </c>
      <c r="E146" s="259">
        <v>35000</v>
      </c>
      <c r="F146" s="259">
        <v>35000</v>
      </c>
      <c r="G146" s="259">
        <v>35000</v>
      </c>
      <c r="H146" s="259">
        <v>35000</v>
      </c>
      <c r="I146" s="259">
        <f t="shared" si="22"/>
        <v>140000</v>
      </c>
    </row>
    <row r="147" spans="1:9">
      <c r="A147" s="258">
        <v>18</v>
      </c>
      <c r="B147" s="258" t="s">
        <v>434</v>
      </c>
      <c r="C147" s="258" t="s">
        <v>435</v>
      </c>
      <c r="D147" s="258" t="s">
        <v>38</v>
      </c>
      <c r="E147" s="259">
        <v>35000</v>
      </c>
      <c r="F147" s="259">
        <v>35000</v>
      </c>
      <c r="G147" s="259">
        <v>35000</v>
      </c>
      <c r="H147" s="259">
        <v>35000</v>
      </c>
      <c r="I147" s="259">
        <f t="shared" si="22"/>
        <v>140000</v>
      </c>
    </row>
    <row r="148" spans="1:9">
      <c r="A148" s="258">
        <v>19</v>
      </c>
      <c r="B148" s="258" t="s">
        <v>953</v>
      </c>
      <c r="C148" s="258" t="s">
        <v>437</v>
      </c>
      <c r="D148" s="258" t="s">
        <v>25</v>
      </c>
      <c r="E148" s="259">
        <v>35000</v>
      </c>
      <c r="F148" s="259">
        <v>35000</v>
      </c>
      <c r="G148" s="259">
        <v>35000</v>
      </c>
      <c r="H148" s="259">
        <v>35000</v>
      </c>
      <c r="I148" s="259">
        <f t="shared" si="22"/>
        <v>140000</v>
      </c>
    </row>
    <row r="149" spans="1:9">
      <c r="A149" s="258">
        <v>20</v>
      </c>
      <c r="B149" s="258" t="s">
        <v>438</v>
      </c>
      <c r="C149" s="258" t="s">
        <v>439</v>
      </c>
      <c r="D149" s="258" t="s">
        <v>301</v>
      </c>
      <c r="E149" s="259">
        <v>35000</v>
      </c>
      <c r="F149" s="259">
        <v>35000</v>
      </c>
      <c r="G149" s="259">
        <v>35000</v>
      </c>
      <c r="H149" s="259">
        <v>35000</v>
      </c>
      <c r="I149" s="259">
        <f t="shared" si="22"/>
        <v>140000</v>
      </c>
    </row>
    <row r="150" spans="1:9">
      <c r="A150" s="258">
        <v>21</v>
      </c>
      <c r="B150" s="258" t="s">
        <v>440</v>
      </c>
      <c r="C150" s="258" t="s">
        <v>441</v>
      </c>
      <c r="D150" s="258" t="s">
        <v>283</v>
      </c>
      <c r="E150" s="259">
        <v>35000</v>
      </c>
      <c r="F150" s="259">
        <v>35000</v>
      </c>
      <c r="G150" s="259">
        <v>35000</v>
      </c>
      <c r="H150" s="259">
        <v>35000</v>
      </c>
      <c r="I150" s="259">
        <f t="shared" si="22"/>
        <v>140000</v>
      </c>
    </row>
    <row r="151" spans="1:9">
      <c r="A151" s="258">
        <v>22</v>
      </c>
      <c r="B151" s="258" t="s">
        <v>442</v>
      </c>
      <c r="C151" s="258" t="s">
        <v>443</v>
      </c>
      <c r="D151" s="258" t="s">
        <v>301</v>
      </c>
      <c r="E151" s="259">
        <v>35000</v>
      </c>
      <c r="F151" s="259">
        <v>35000</v>
      </c>
      <c r="G151" s="259">
        <v>35000</v>
      </c>
      <c r="H151" s="259">
        <v>35000</v>
      </c>
      <c r="I151" s="259">
        <f t="shared" si="22"/>
        <v>140000</v>
      </c>
    </row>
    <row r="152" spans="1:9">
      <c r="A152" s="258">
        <v>23</v>
      </c>
      <c r="B152" s="258" t="s">
        <v>444</v>
      </c>
      <c r="C152" s="258" t="s">
        <v>445</v>
      </c>
      <c r="D152" s="258" t="s">
        <v>283</v>
      </c>
      <c r="E152" s="259">
        <v>35000</v>
      </c>
      <c r="F152" s="259">
        <v>35000</v>
      </c>
      <c r="G152" s="259">
        <v>35000</v>
      </c>
      <c r="H152" s="259">
        <v>35000</v>
      </c>
      <c r="I152" s="259">
        <f t="shared" si="22"/>
        <v>140000</v>
      </c>
    </row>
    <row r="153" spans="1:9">
      <c r="A153" s="258">
        <v>24</v>
      </c>
      <c r="B153" s="258" t="s">
        <v>446</v>
      </c>
      <c r="C153" s="258" t="s">
        <v>451</v>
      </c>
      <c r="D153" s="258" t="s">
        <v>945</v>
      </c>
      <c r="E153" s="259">
        <v>35000</v>
      </c>
      <c r="F153" s="259">
        <v>35000</v>
      </c>
      <c r="G153" s="259">
        <v>35000</v>
      </c>
      <c r="H153" s="259">
        <v>35000</v>
      </c>
      <c r="I153" s="259">
        <f t="shared" si="22"/>
        <v>140000</v>
      </c>
    </row>
    <row r="154" spans="1:9">
      <c r="A154" s="258">
        <v>25</v>
      </c>
      <c r="B154" s="258" t="s">
        <v>448</v>
      </c>
      <c r="C154" s="258" t="s">
        <v>449</v>
      </c>
      <c r="D154" s="258" t="s">
        <v>31</v>
      </c>
      <c r="E154" s="259">
        <v>35000</v>
      </c>
      <c r="F154" s="259">
        <v>35000</v>
      </c>
      <c r="G154" s="259">
        <v>35000</v>
      </c>
      <c r="H154" s="259">
        <v>35000</v>
      </c>
      <c r="I154" s="259">
        <f t="shared" si="22"/>
        <v>140000</v>
      </c>
    </row>
    <row r="155" spans="1:9">
      <c r="A155" s="258">
        <v>26</v>
      </c>
      <c r="B155" s="258" t="s">
        <v>450</v>
      </c>
      <c r="C155" s="258" t="s">
        <v>451</v>
      </c>
      <c r="D155" s="258" t="s">
        <v>31</v>
      </c>
      <c r="E155" s="259">
        <v>35000</v>
      </c>
      <c r="F155" s="259">
        <v>35000</v>
      </c>
      <c r="G155" s="259">
        <v>35000</v>
      </c>
      <c r="H155" s="259">
        <v>35000</v>
      </c>
      <c r="I155" s="259">
        <f t="shared" si="22"/>
        <v>140000</v>
      </c>
    </row>
    <row r="156" spans="1:9">
      <c r="A156" s="258">
        <v>27</v>
      </c>
      <c r="B156" s="258" t="s">
        <v>452</v>
      </c>
      <c r="C156" s="258" t="s">
        <v>453</v>
      </c>
      <c r="D156" s="258" t="s">
        <v>31</v>
      </c>
      <c r="E156" s="259">
        <v>35000</v>
      </c>
      <c r="F156" s="259">
        <v>35000</v>
      </c>
      <c r="G156" s="259">
        <v>35000</v>
      </c>
      <c r="H156" s="259">
        <v>35000</v>
      </c>
      <c r="I156" s="259">
        <f t="shared" si="22"/>
        <v>140000</v>
      </c>
    </row>
    <row r="157" spans="1:9">
      <c r="A157" s="258">
        <v>28</v>
      </c>
      <c r="B157" s="258" t="s">
        <v>454</v>
      </c>
      <c r="C157" s="258" t="s">
        <v>455</v>
      </c>
      <c r="D157" s="258" t="s">
        <v>294</v>
      </c>
      <c r="E157" s="259">
        <v>35000</v>
      </c>
      <c r="F157" s="259">
        <v>35000</v>
      </c>
      <c r="G157" s="259">
        <v>35000</v>
      </c>
      <c r="H157" s="259">
        <v>35000</v>
      </c>
      <c r="I157" s="259">
        <f t="shared" si="22"/>
        <v>140000</v>
      </c>
    </row>
    <row r="158" spans="1:9">
      <c r="A158" s="258">
        <v>29</v>
      </c>
      <c r="B158" s="258" t="s">
        <v>456</v>
      </c>
      <c r="C158" s="258" t="s">
        <v>451</v>
      </c>
      <c r="D158" s="258" t="s">
        <v>31</v>
      </c>
      <c r="E158" s="259">
        <v>35000</v>
      </c>
      <c r="F158" s="259">
        <v>35000</v>
      </c>
      <c r="G158" s="259">
        <v>35000</v>
      </c>
      <c r="H158" s="259">
        <v>35000</v>
      </c>
      <c r="I158" s="259">
        <f t="shared" si="22"/>
        <v>140000</v>
      </c>
    </row>
    <row r="159" spans="1:9">
      <c r="A159" s="258">
        <v>30</v>
      </c>
      <c r="B159" s="258" t="s">
        <v>457</v>
      </c>
      <c r="C159" s="258" t="s">
        <v>458</v>
      </c>
      <c r="D159" s="258" t="s">
        <v>465</v>
      </c>
      <c r="E159" s="259">
        <v>35000</v>
      </c>
      <c r="F159" s="259">
        <v>35000</v>
      </c>
      <c r="G159" s="259">
        <v>35000</v>
      </c>
      <c r="H159" s="259">
        <v>35000</v>
      </c>
      <c r="I159" s="259">
        <f t="shared" si="22"/>
        <v>140000</v>
      </c>
    </row>
    <row r="160" spans="1:9">
      <c r="A160" s="258">
        <v>31</v>
      </c>
      <c r="B160" s="258" t="s">
        <v>460</v>
      </c>
      <c r="C160" s="258" t="s">
        <v>458</v>
      </c>
      <c r="D160" s="258" t="s">
        <v>465</v>
      </c>
      <c r="E160" s="259">
        <v>35000</v>
      </c>
      <c r="F160" s="259">
        <v>35000</v>
      </c>
      <c r="G160" s="259">
        <v>35000</v>
      </c>
      <c r="H160" s="259">
        <v>35000</v>
      </c>
      <c r="I160" s="259">
        <f t="shared" si="22"/>
        <v>140000</v>
      </c>
    </row>
    <row r="161" spans="1:9">
      <c r="A161" s="258">
        <v>32</v>
      </c>
      <c r="B161" s="258" t="s">
        <v>461</v>
      </c>
      <c r="C161" s="258" t="s">
        <v>458</v>
      </c>
      <c r="D161" s="258" t="s">
        <v>465</v>
      </c>
      <c r="E161" s="259">
        <v>35000</v>
      </c>
      <c r="F161" s="259">
        <v>35000</v>
      </c>
      <c r="G161" s="259">
        <v>35000</v>
      </c>
      <c r="H161" s="259">
        <v>35000</v>
      </c>
      <c r="I161" s="259">
        <f t="shared" si="22"/>
        <v>140000</v>
      </c>
    </row>
    <row r="162" spans="1:9">
      <c r="A162" s="258">
        <v>33</v>
      </c>
      <c r="B162" s="258" t="s">
        <v>462</v>
      </c>
      <c r="C162" s="258" t="s">
        <v>458</v>
      </c>
      <c r="D162" s="258" t="s">
        <v>465</v>
      </c>
      <c r="E162" s="259">
        <v>35000</v>
      </c>
      <c r="F162" s="259">
        <v>35000</v>
      </c>
      <c r="G162" s="259">
        <v>35000</v>
      </c>
      <c r="H162" s="259">
        <v>35000</v>
      </c>
      <c r="I162" s="259">
        <f t="shared" si="22"/>
        <v>140000</v>
      </c>
    </row>
    <row r="163" spans="1:9">
      <c r="A163" s="258">
        <v>34</v>
      </c>
      <c r="B163" s="258" t="s">
        <v>463</v>
      </c>
      <c r="C163" s="258" t="s">
        <v>458</v>
      </c>
      <c r="D163" s="258" t="s">
        <v>465</v>
      </c>
      <c r="E163" s="259">
        <v>35000</v>
      </c>
      <c r="F163" s="259">
        <v>35000</v>
      </c>
      <c r="G163" s="259">
        <v>35000</v>
      </c>
      <c r="H163" s="259">
        <v>35000</v>
      </c>
      <c r="I163" s="259">
        <f t="shared" si="22"/>
        <v>140000</v>
      </c>
    </row>
    <row r="164" spans="1:9">
      <c r="A164" s="258">
        <v>35</v>
      </c>
      <c r="B164" s="258" t="s">
        <v>464</v>
      </c>
      <c r="C164" s="258" t="s">
        <v>458</v>
      </c>
      <c r="D164" s="258" t="s">
        <v>476</v>
      </c>
      <c r="E164" s="259">
        <v>35000</v>
      </c>
      <c r="F164" s="259">
        <v>35000</v>
      </c>
      <c r="G164" s="259">
        <v>35000</v>
      </c>
      <c r="H164" s="259">
        <v>35000</v>
      </c>
      <c r="I164" s="259">
        <f t="shared" si="22"/>
        <v>140000</v>
      </c>
    </row>
    <row r="165" spans="1:9">
      <c r="A165" s="258">
        <v>36</v>
      </c>
      <c r="B165" s="258" t="s">
        <v>466</v>
      </c>
      <c r="C165" s="258" t="s">
        <v>458</v>
      </c>
      <c r="D165" s="258" t="s">
        <v>476</v>
      </c>
      <c r="E165" s="259">
        <v>35000</v>
      </c>
      <c r="F165" s="259">
        <v>35000</v>
      </c>
      <c r="G165" s="259">
        <v>35000</v>
      </c>
      <c r="H165" s="259">
        <v>35000</v>
      </c>
      <c r="I165" s="259">
        <f t="shared" si="22"/>
        <v>140000</v>
      </c>
    </row>
    <row r="166" spans="1:9">
      <c r="A166" s="258">
        <v>37</v>
      </c>
      <c r="B166" s="258" t="s">
        <v>467</v>
      </c>
      <c r="C166" s="258" t="s">
        <v>458</v>
      </c>
      <c r="D166" s="258" t="s">
        <v>476</v>
      </c>
      <c r="E166" s="259">
        <v>35000</v>
      </c>
      <c r="F166" s="259">
        <v>35000</v>
      </c>
      <c r="G166" s="259">
        <v>35000</v>
      </c>
      <c r="H166" s="259">
        <v>35000</v>
      </c>
      <c r="I166" s="259">
        <f t="shared" si="22"/>
        <v>140000</v>
      </c>
    </row>
    <row r="167" spans="1:9">
      <c r="A167" s="258">
        <v>38</v>
      </c>
      <c r="B167" s="258" t="s">
        <v>468</v>
      </c>
      <c r="C167" s="258" t="s">
        <v>458</v>
      </c>
      <c r="D167" s="258" t="s">
        <v>476</v>
      </c>
      <c r="E167" s="259">
        <v>35000</v>
      </c>
      <c r="F167" s="259">
        <v>35000</v>
      </c>
      <c r="G167" s="259">
        <v>35000</v>
      </c>
      <c r="H167" s="259">
        <v>35000</v>
      </c>
      <c r="I167" s="259">
        <f t="shared" si="22"/>
        <v>140000</v>
      </c>
    </row>
    <row r="168" spans="1:9">
      <c r="A168" s="258">
        <v>39</v>
      </c>
      <c r="B168" s="258" t="s">
        <v>469</v>
      </c>
      <c r="C168" s="258" t="s">
        <v>458</v>
      </c>
      <c r="D168" s="258" t="s">
        <v>476</v>
      </c>
      <c r="E168" s="259">
        <v>35000</v>
      </c>
      <c r="F168" s="259">
        <v>35000</v>
      </c>
      <c r="G168" s="259">
        <v>35000</v>
      </c>
      <c r="H168" s="259">
        <v>35000</v>
      </c>
      <c r="I168" s="259">
        <f t="shared" si="22"/>
        <v>140000</v>
      </c>
    </row>
    <row r="169" spans="1:9">
      <c r="A169" s="258">
        <v>40</v>
      </c>
      <c r="B169" s="258" t="s">
        <v>470</v>
      </c>
      <c r="C169" s="258" t="s">
        <v>458</v>
      </c>
      <c r="D169" s="258" t="s">
        <v>476</v>
      </c>
      <c r="E169" s="259">
        <v>35000</v>
      </c>
      <c r="F169" s="259">
        <v>35000</v>
      </c>
      <c r="G169" s="259">
        <v>35000</v>
      </c>
      <c r="H169" s="259">
        <v>35000</v>
      </c>
      <c r="I169" s="259">
        <f t="shared" si="22"/>
        <v>140000</v>
      </c>
    </row>
    <row r="170" spans="1:9">
      <c r="A170" s="258">
        <v>41</v>
      </c>
      <c r="B170" s="258" t="s">
        <v>471</v>
      </c>
      <c r="C170" s="258" t="s">
        <v>478</v>
      </c>
      <c r="D170" s="258" t="s">
        <v>479</v>
      </c>
      <c r="E170" s="259">
        <v>35000</v>
      </c>
      <c r="F170" s="259">
        <v>35000</v>
      </c>
      <c r="G170" s="259">
        <v>35000</v>
      </c>
      <c r="H170" s="259">
        <v>35000</v>
      </c>
      <c r="I170" s="259">
        <f t="shared" si="22"/>
        <v>140000</v>
      </c>
    </row>
    <row r="171" spans="1:9">
      <c r="A171" s="258">
        <v>42</v>
      </c>
      <c r="B171" s="258" t="s">
        <v>474</v>
      </c>
      <c r="C171" s="258" t="s">
        <v>478</v>
      </c>
      <c r="D171" s="258" t="s">
        <v>479</v>
      </c>
      <c r="E171" s="259">
        <v>35000</v>
      </c>
      <c r="F171" s="259">
        <v>35000</v>
      </c>
      <c r="G171" s="259">
        <v>35000</v>
      </c>
      <c r="H171" s="259">
        <v>35000</v>
      </c>
      <c r="I171" s="259">
        <f t="shared" si="22"/>
        <v>140000</v>
      </c>
    </row>
    <row r="172" spans="1:9">
      <c r="A172" s="258">
        <v>43</v>
      </c>
      <c r="B172" s="258" t="s">
        <v>475</v>
      </c>
      <c r="C172" s="258" t="s">
        <v>478</v>
      </c>
      <c r="D172" s="258" t="s">
        <v>948</v>
      </c>
      <c r="E172" s="259">
        <v>35000</v>
      </c>
      <c r="F172" s="259">
        <v>35000</v>
      </c>
      <c r="G172" s="259">
        <v>35000</v>
      </c>
      <c r="H172" s="259">
        <v>35000</v>
      </c>
      <c r="I172" s="259">
        <f t="shared" si="22"/>
        <v>140000</v>
      </c>
    </row>
    <row r="173" spans="1:9">
      <c r="A173" s="258">
        <v>44</v>
      </c>
      <c r="B173" s="258" t="s">
        <v>477</v>
      </c>
      <c r="C173" s="258" t="s">
        <v>478</v>
      </c>
      <c r="D173" s="258" t="s">
        <v>954</v>
      </c>
      <c r="E173" s="259">
        <v>35000</v>
      </c>
      <c r="F173" s="259">
        <v>35000</v>
      </c>
      <c r="G173" s="259">
        <v>35000</v>
      </c>
      <c r="H173" s="259">
        <v>35000</v>
      </c>
      <c r="I173" s="259">
        <f t="shared" si="22"/>
        <v>140000</v>
      </c>
    </row>
    <row r="174" spans="1:9">
      <c r="A174" s="258">
        <v>45</v>
      </c>
      <c r="B174" s="258" t="s">
        <v>480</v>
      </c>
      <c r="C174" s="258" t="s">
        <v>481</v>
      </c>
      <c r="D174" s="258" t="s">
        <v>955</v>
      </c>
      <c r="E174" s="259">
        <v>35000</v>
      </c>
      <c r="F174" s="259">
        <v>35000</v>
      </c>
      <c r="G174" s="259">
        <v>35000</v>
      </c>
      <c r="H174" s="259">
        <v>35000</v>
      </c>
      <c r="I174" s="259">
        <f t="shared" si="22"/>
        <v>140000</v>
      </c>
    </row>
    <row r="175" spans="1:9">
      <c r="A175" s="258">
        <v>46</v>
      </c>
      <c r="B175" s="258" t="s">
        <v>483</v>
      </c>
      <c r="C175" s="258" t="s">
        <v>481</v>
      </c>
      <c r="D175" s="258" t="s">
        <v>955</v>
      </c>
      <c r="E175" s="259">
        <v>35000</v>
      </c>
      <c r="F175" s="259">
        <v>35000</v>
      </c>
      <c r="G175" s="259">
        <v>35000</v>
      </c>
      <c r="H175" s="259">
        <v>35000</v>
      </c>
      <c r="I175" s="259">
        <f t="shared" si="22"/>
        <v>140000</v>
      </c>
    </row>
    <row r="176" spans="1:9">
      <c r="A176" s="258">
        <v>47</v>
      </c>
      <c r="B176" s="258" t="s">
        <v>484</v>
      </c>
      <c r="C176" s="258" t="s">
        <v>481</v>
      </c>
      <c r="D176" s="258" t="s">
        <v>955</v>
      </c>
      <c r="E176" s="259">
        <v>35000</v>
      </c>
      <c r="F176" s="259">
        <v>35000</v>
      </c>
      <c r="G176" s="259">
        <v>35000</v>
      </c>
      <c r="H176" s="259">
        <v>35000</v>
      </c>
      <c r="I176" s="259">
        <f t="shared" si="22"/>
        <v>140000</v>
      </c>
    </row>
    <row r="177" spans="1:9">
      <c r="A177" s="258">
        <v>48</v>
      </c>
      <c r="B177" s="258" t="s">
        <v>485</v>
      </c>
      <c r="C177" s="258" t="s">
        <v>481</v>
      </c>
      <c r="D177" s="258" t="s">
        <v>955</v>
      </c>
      <c r="E177" s="259">
        <v>35000</v>
      </c>
      <c r="F177" s="259">
        <v>35000</v>
      </c>
      <c r="G177" s="259">
        <v>35000</v>
      </c>
      <c r="H177" s="259">
        <v>35000</v>
      </c>
      <c r="I177" s="259">
        <f t="shared" si="22"/>
        <v>140000</v>
      </c>
    </row>
    <row r="178" spans="1:9">
      <c r="A178" s="258">
        <v>49</v>
      </c>
      <c r="B178" s="258" t="s">
        <v>486</v>
      </c>
      <c r="C178" s="258" t="s">
        <v>481</v>
      </c>
      <c r="D178" s="258" t="s">
        <v>955</v>
      </c>
      <c r="E178" s="259">
        <v>35000</v>
      </c>
      <c r="F178" s="259">
        <v>35000</v>
      </c>
      <c r="G178" s="259">
        <v>35000</v>
      </c>
      <c r="H178" s="259">
        <v>35000</v>
      </c>
      <c r="I178" s="259">
        <f t="shared" si="22"/>
        <v>140000</v>
      </c>
    </row>
    <row r="179" spans="1:9">
      <c r="A179" s="258">
        <v>50</v>
      </c>
      <c r="B179" s="258" t="s">
        <v>487</v>
      </c>
      <c r="C179" s="258" t="s">
        <v>481</v>
      </c>
      <c r="D179" s="258" t="s">
        <v>955</v>
      </c>
      <c r="E179" s="259">
        <v>35000</v>
      </c>
      <c r="F179" s="259">
        <v>35000</v>
      </c>
      <c r="G179" s="259">
        <v>35000</v>
      </c>
      <c r="H179" s="259">
        <v>35000</v>
      </c>
      <c r="I179" s="259">
        <f t="shared" si="22"/>
        <v>140000</v>
      </c>
    </row>
    <row r="180" spans="1:9">
      <c r="A180" s="258">
        <v>51</v>
      </c>
      <c r="B180" s="258" t="s">
        <v>488</v>
      </c>
      <c r="C180" s="258" t="s">
        <v>481</v>
      </c>
      <c r="D180" s="258" t="s">
        <v>955</v>
      </c>
      <c r="E180" s="259">
        <v>35000</v>
      </c>
      <c r="F180" s="259">
        <v>35000</v>
      </c>
      <c r="G180" s="259">
        <v>35000</v>
      </c>
      <c r="H180" s="259">
        <v>35000</v>
      </c>
      <c r="I180" s="259">
        <f t="shared" si="22"/>
        <v>140000</v>
      </c>
    </row>
    <row r="181" spans="1:9">
      <c r="A181" s="258">
        <v>52</v>
      </c>
      <c r="B181" s="258" t="s">
        <v>489</v>
      </c>
      <c r="C181" s="258" t="s">
        <v>478</v>
      </c>
      <c r="D181" s="258" t="s">
        <v>955</v>
      </c>
      <c r="E181" s="259">
        <v>35000</v>
      </c>
      <c r="F181" s="259">
        <v>35000</v>
      </c>
      <c r="G181" s="259">
        <v>35000</v>
      </c>
      <c r="H181" s="259">
        <v>35000</v>
      </c>
      <c r="I181" s="259">
        <f t="shared" si="22"/>
        <v>140000</v>
      </c>
    </row>
    <row r="182" spans="1:9">
      <c r="A182" s="258">
        <v>53</v>
      </c>
      <c r="B182" s="258" t="s">
        <v>490</v>
      </c>
      <c r="C182" s="258" t="s">
        <v>478</v>
      </c>
      <c r="D182" s="258" t="s">
        <v>955</v>
      </c>
      <c r="E182" s="259">
        <v>35000</v>
      </c>
      <c r="F182" s="259">
        <v>35000</v>
      </c>
      <c r="G182" s="259">
        <v>35000</v>
      </c>
      <c r="H182" s="259">
        <v>35000</v>
      </c>
      <c r="I182" s="259">
        <f t="shared" si="22"/>
        <v>140000</v>
      </c>
    </row>
    <row r="183" spans="1:9">
      <c r="A183" s="258">
        <v>54</v>
      </c>
      <c r="B183" s="258" t="s">
        <v>491</v>
      </c>
      <c r="C183" s="258" t="s">
        <v>481</v>
      </c>
      <c r="D183" s="258" t="s">
        <v>972</v>
      </c>
      <c r="E183" s="259">
        <v>35000</v>
      </c>
      <c r="F183" s="259">
        <v>35000</v>
      </c>
      <c r="G183" s="259">
        <v>35000</v>
      </c>
      <c r="H183" s="259">
        <v>35000</v>
      </c>
      <c r="I183" s="259">
        <f t="shared" si="22"/>
        <v>140000</v>
      </c>
    </row>
    <row r="184" spans="1:9">
      <c r="A184" s="258">
        <v>55</v>
      </c>
      <c r="B184" s="258" t="s">
        <v>493</v>
      </c>
      <c r="C184" s="258" t="s">
        <v>481</v>
      </c>
      <c r="D184" s="258" t="s">
        <v>956</v>
      </c>
      <c r="E184" s="259">
        <v>35000</v>
      </c>
      <c r="F184" s="259">
        <v>35000</v>
      </c>
      <c r="G184" s="259">
        <v>35000</v>
      </c>
      <c r="H184" s="259">
        <v>35000</v>
      </c>
      <c r="I184" s="259">
        <f t="shared" si="22"/>
        <v>140000</v>
      </c>
    </row>
    <row r="185" spans="1:9">
      <c r="A185" s="258">
        <v>56</v>
      </c>
      <c r="B185" s="258" t="s">
        <v>495</v>
      </c>
      <c r="C185" s="258" t="s">
        <v>496</v>
      </c>
      <c r="D185" s="258" t="s">
        <v>957</v>
      </c>
      <c r="E185" s="259">
        <v>35000</v>
      </c>
      <c r="F185" s="259">
        <v>35000</v>
      </c>
      <c r="G185" s="259">
        <v>35000</v>
      </c>
      <c r="H185" s="259">
        <v>35000</v>
      </c>
      <c r="I185" s="259">
        <f t="shared" si="22"/>
        <v>140000</v>
      </c>
    </row>
    <row r="186" spans="1:9">
      <c r="A186" s="258">
        <v>57</v>
      </c>
      <c r="B186" s="258" t="s">
        <v>498</v>
      </c>
      <c r="C186" s="258" t="s">
        <v>496</v>
      </c>
      <c r="D186" s="258" t="s">
        <v>957</v>
      </c>
      <c r="E186" s="259">
        <v>35000</v>
      </c>
      <c r="F186" s="259">
        <v>35000</v>
      </c>
      <c r="G186" s="259">
        <v>35000</v>
      </c>
      <c r="H186" s="259">
        <v>35000</v>
      </c>
      <c r="I186" s="259">
        <f t="shared" si="22"/>
        <v>140000</v>
      </c>
    </row>
    <row r="187" spans="1:9">
      <c r="A187" s="258">
        <v>58</v>
      </c>
      <c r="B187" s="258" t="s">
        <v>499</v>
      </c>
      <c r="C187" s="258" t="s">
        <v>496</v>
      </c>
      <c r="D187" s="258" t="s">
        <v>957</v>
      </c>
      <c r="E187" s="259">
        <v>35000</v>
      </c>
      <c r="F187" s="259">
        <v>35000</v>
      </c>
      <c r="G187" s="259">
        <v>35000</v>
      </c>
      <c r="H187" s="259">
        <v>35000</v>
      </c>
      <c r="I187" s="259">
        <f t="shared" si="22"/>
        <v>140000</v>
      </c>
    </row>
    <row r="188" spans="1:9">
      <c r="A188" s="258">
        <v>59</v>
      </c>
      <c r="B188" s="258" t="s">
        <v>500</v>
      </c>
      <c r="C188" s="258" t="s">
        <v>501</v>
      </c>
      <c r="D188" s="258" t="s">
        <v>173</v>
      </c>
      <c r="E188" s="259">
        <v>35000</v>
      </c>
      <c r="F188" s="259">
        <v>35000</v>
      </c>
      <c r="G188" s="259">
        <v>35000</v>
      </c>
      <c r="H188" s="259">
        <v>35000</v>
      </c>
      <c r="I188" s="259">
        <f t="shared" si="22"/>
        <v>140000</v>
      </c>
    </row>
    <row r="189" spans="1:9">
      <c r="A189" s="258">
        <v>60</v>
      </c>
      <c r="B189" s="258" t="s">
        <v>503</v>
      </c>
      <c r="C189" s="258" t="s">
        <v>501</v>
      </c>
      <c r="D189" s="258" t="s">
        <v>173</v>
      </c>
      <c r="E189" s="261">
        <v>35000</v>
      </c>
      <c r="F189" s="261">
        <v>35000</v>
      </c>
      <c r="G189" s="261">
        <v>35000</v>
      </c>
      <c r="H189" s="261">
        <v>35000</v>
      </c>
      <c r="I189" s="261">
        <f t="shared" si="22"/>
        <v>140000</v>
      </c>
    </row>
    <row r="190" spans="1:9">
      <c r="A190" s="258"/>
      <c r="B190" s="262" t="s">
        <v>1036</v>
      </c>
      <c r="C190" s="258"/>
      <c r="D190" s="258"/>
      <c r="E190" s="263">
        <f>SUM(E131:E189)</f>
        <v>2065000</v>
      </c>
      <c r="F190" s="263">
        <f t="shared" ref="F190:I190" si="23">SUM(F131:F189)</f>
        <v>2065000</v>
      </c>
      <c r="G190" s="263">
        <f t="shared" si="23"/>
        <v>2065000</v>
      </c>
      <c r="H190" s="263">
        <f t="shared" si="23"/>
        <v>2065000</v>
      </c>
      <c r="I190" s="263">
        <f t="shared" si="23"/>
        <v>8260000</v>
      </c>
    </row>
    <row r="191" spans="1:9">
      <c r="E191" s="250"/>
      <c r="F191" s="250"/>
      <c r="G191" s="250"/>
      <c r="H191" s="250"/>
      <c r="I191" s="251"/>
    </row>
    <row r="192" spans="1:9" ht="24" customHeight="1">
      <c r="A192" s="258"/>
      <c r="B192" s="797" t="s">
        <v>1037</v>
      </c>
      <c r="C192" s="797"/>
      <c r="D192" s="797"/>
      <c r="E192" s="797"/>
      <c r="F192" s="797"/>
      <c r="G192" s="797"/>
      <c r="H192" s="797"/>
      <c r="I192" s="266">
        <f>I190+I116+I110+I100+I93+I79+I69+I54+I49+I33+I28</f>
        <v>19740000</v>
      </c>
    </row>
    <row r="193" spans="5:8">
      <c r="E193" s="250"/>
      <c r="F193" s="250"/>
      <c r="G193" s="250"/>
      <c r="H193" s="250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796875" defaultRowHeight="13"/>
  <cols>
    <col min="1" max="1" width="4" style="245" customWidth="1"/>
    <col min="2" max="2" width="28.26953125" style="245" customWidth="1"/>
    <col min="3" max="3" width="20.1796875" style="245" customWidth="1"/>
    <col min="4" max="4" width="15.54296875" style="245" customWidth="1"/>
    <col min="5" max="5" width="13" style="245" customWidth="1"/>
    <col min="6" max="6" width="14.81640625" style="245" customWidth="1"/>
    <col min="7" max="7" width="14.54296875" style="245" customWidth="1"/>
    <col min="8" max="8" width="13" style="245" customWidth="1"/>
    <col min="9" max="16384" width="9.1796875" style="245"/>
  </cols>
  <sheetData>
    <row r="1" spans="1:10" ht="20">
      <c r="A1" s="786" t="s">
        <v>0</v>
      </c>
      <c r="B1" s="786"/>
      <c r="C1" s="786"/>
      <c r="D1" s="786"/>
      <c r="E1" s="786"/>
      <c r="F1" s="786"/>
      <c r="G1" s="786"/>
      <c r="H1" s="786"/>
      <c r="I1" s="254"/>
      <c r="J1" s="254"/>
    </row>
    <row r="2" spans="1:10" ht="17.5">
      <c r="A2" s="798" t="s">
        <v>1008</v>
      </c>
      <c r="B2" s="798"/>
      <c r="C2" s="798"/>
      <c r="D2" s="798"/>
      <c r="E2" s="798"/>
      <c r="F2" s="798"/>
      <c r="G2" s="798"/>
      <c r="H2" s="798"/>
      <c r="I2" s="255"/>
      <c r="J2" s="255"/>
    </row>
    <row r="3" spans="1:10" ht="37.5" customHeight="1">
      <c r="A3" s="799" t="s">
        <v>1009</v>
      </c>
      <c r="B3" s="799"/>
      <c r="C3" s="799"/>
      <c r="D3" s="799"/>
      <c r="E3" s="799"/>
      <c r="F3" s="799"/>
      <c r="G3" s="799"/>
      <c r="H3" s="799"/>
    </row>
    <row r="5" spans="1:10" ht="42.75" customHeight="1">
      <c r="A5" s="246" t="s">
        <v>21</v>
      </c>
      <c r="B5" s="49" t="s">
        <v>2</v>
      </c>
      <c r="C5" s="49" t="s">
        <v>3</v>
      </c>
      <c r="D5" s="247" t="s">
        <v>1038</v>
      </c>
      <c r="E5" s="247" t="s">
        <v>960</v>
      </c>
      <c r="F5" s="247" t="s">
        <v>961</v>
      </c>
      <c r="G5" s="247" t="s">
        <v>1039</v>
      </c>
      <c r="H5" s="248" t="s">
        <v>1014</v>
      </c>
      <c r="I5" s="45"/>
    </row>
    <row r="6" spans="1:10" ht="18">
      <c r="A6" s="42">
        <v>1</v>
      </c>
      <c r="B6" s="42" t="s">
        <v>1040</v>
      </c>
      <c r="C6" s="42" t="s">
        <v>1041</v>
      </c>
      <c r="D6" s="241">
        <v>35000</v>
      </c>
      <c r="E6" s="241">
        <v>35000</v>
      </c>
      <c r="F6" s="241">
        <v>35000</v>
      </c>
      <c r="G6" s="241">
        <v>35000</v>
      </c>
      <c r="H6" s="241">
        <f t="shared" ref="H6" si="0">D6+E6+F6+G6</f>
        <v>140000</v>
      </c>
      <c r="I6" s="45"/>
    </row>
    <row r="7" spans="1:10" ht="18">
      <c r="A7" s="42">
        <v>2</v>
      </c>
      <c r="B7" s="42" t="s">
        <v>1042</v>
      </c>
      <c r="C7" s="42" t="s">
        <v>1041</v>
      </c>
      <c r="D7" s="241">
        <v>35000</v>
      </c>
      <c r="E7" s="241">
        <v>35000</v>
      </c>
      <c r="F7" s="241">
        <v>35000</v>
      </c>
      <c r="G7" s="241">
        <v>35000</v>
      </c>
      <c r="H7" s="241">
        <f t="shared" ref="H7:H8" si="1">D7+E7+F7+G7</f>
        <v>140000</v>
      </c>
      <c r="I7" s="45"/>
    </row>
    <row r="8" spans="1:10" ht="18">
      <c r="A8" s="42">
        <v>3</v>
      </c>
      <c r="B8" s="42" t="s">
        <v>1043</v>
      </c>
      <c r="C8" s="42" t="s">
        <v>1044</v>
      </c>
      <c r="D8" s="241">
        <v>35000</v>
      </c>
      <c r="E8" s="241">
        <v>35000</v>
      </c>
      <c r="F8" s="241">
        <v>35000</v>
      </c>
      <c r="G8" s="241">
        <v>35000</v>
      </c>
      <c r="H8" s="241">
        <f t="shared" si="1"/>
        <v>140000</v>
      </c>
      <c r="I8" s="45"/>
    </row>
    <row r="9" spans="1:10" ht="18">
      <c r="A9" s="42">
        <v>4</v>
      </c>
      <c r="B9" s="42" t="s">
        <v>1042</v>
      </c>
      <c r="C9" s="42" t="s">
        <v>1041</v>
      </c>
      <c r="D9" s="241">
        <v>35000</v>
      </c>
      <c r="E9" s="241">
        <v>35000</v>
      </c>
      <c r="F9" s="241">
        <v>35000</v>
      </c>
      <c r="G9" s="241">
        <v>35000</v>
      </c>
      <c r="H9" s="241">
        <f t="shared" ref="H9:H58" si="2">D9+E9+F9+G9</f>
        <v>140000</v>
      </c>
      <c r="I9" s="45"/>
    </row>
    <row r="10" spans="1:10" ht="18">
      <c r="A10" s="42">
        <v>5</v>
      </c>
      <c r="B10" s="42" t="s">
        <v>1045</v>
      </c>
      <c r="C10" s="42" t="s">
        <v>1046</v>
      </c>
      <c r="D10" s="241">
        <v>35000</v>
      </c>
      <c r="E10" s="241">
        <v>35000</v>
      </c>
      <c r="F10" s="241">
        <v>35000</v>
      </c>
      <c r="G10" s="241">
        <v>35000</v>
      </c>
      <c r="H10" s="241">
        <f t="shared" si="2"/>
        <v>140000</v>
      </c>
      <c r="I10" s="45"/>
    </row>
    <row r="11" spans="1:10" ht="18">
      <c r="A11" s="42">
        <v>6</v>
      </c>
      <c r="B11" s="42" t="s">
        <v>1047</v>
      </c>
      <c r="C11" s="42" t="s">
        <v>1048</v>
      </c>
      <c r="D11" s="241">
        <v>35000</v>
      </c>
      <c r="E11" s="241">
        <v>35000</v>
      </c>
      <c r="F11" s="241">
        <v>35000</v>
      </c>
      <c r="G11" s="241">
        <v>35000</v>
      </c>
      <c r="H11" s="241">
        <f t="shared" si="2"/>
        <v>140000</v>
      </c>
      <c r="I11" s="45"/>
    </row>
    <row r="12" spans="1:10" ht="18">
      <c r="A12" s="42">
        <v>7</v>
      </c>
      <c r="B12" s="42" t="s">
        <v>1049</v>
      </c>
      <c r="C12" s="42" t="s">
        <v>1050</v>
      </c>
      <c r="D12" s="241">
        <v>35000</v>
      </c>
      <c r="E12" s="241">
        <v>35000</v>
      </c>
      <c r="F12" s="241">
        <v>35000</v>
      </c>
      <c r="G12" s="241">
        <v>35000</v>
      </c>
      <c r="H12" s="241">
        <f t="shared" si="2"/>
        <v>140000</v>
      </c>
      <c r="I12" s="45"/>
    </row>
    <row r="13" spans="1:10" ht="18">
      <c r="A13" s="42">
        <v>8</v>
      </c>
      <c r="B13" s="42" t="s">
        <v>1051</v>
      </c>
      <c r="C13" s="42" t="s">
        <v>1052</v>
      </c>
      <c r="D13" s="241">
        <v>35000</v>
      </c>
      <c r="E13" s="241">
        <v>35000</v>
      </c>
      <c r="F13" s="241">
        <v>35000</v>
      </c>
      <c r="G13" s="241">
        <v>35000</v>
      </c>
      <c r="H13" s="241">
        <f t="shared" si="2"/>
        <v>140000</v>
      </c>
      <c r="I13" s="45"/>
    </row>
    <row r="14" spans="1:10" ht="18">
      <c r="A14" s="42">
        <v>9</v>
      </c>
      <c r="B14" s="42" t="s">
        <v>1053</v>
      </c>
      <c r="C14" s="42" t="s">
        <v>1052</v>
      </c>
      <c r="D14" s="241">
        <v>35000</v>
      </c>
      <c r="E14" s="241">
        <v>35000</v>
      </c>
      <c r="F14" s="241">
        <v>35000</v>
      </c>
      <c r="G14" s="241">
        <v>35000</v>
      </c>
      <c r="H14" s="241">
        <f t="shared" si="2"/>
        <v>140000</v>
      </c>
      <c r="I14" s="45"/>
    </row>
    <row r="15" spans="1:10" ht="18">
      <c r="A15" s="42">
        <v>10</v>
      </c>
      <c r="B15" s="42" t="s">
        <v>1054</v>
      </c>
      <c r="C15" s="42" t="s">
        <v>1050</v>
      </c>
      <c r="D15" s="241">
        <v>35000</v>
      </c>
      <c r="E15" s="241">
        <v>35000</v>
      </c>
      <c r="F15" s="241">
        <v>35000</v>
      </c>
      <c r="G15" s="241">
        <v>35000</v>
      </c>
      <c r="H15" s="241">
        <f t="shared" si="2"/>
        <v>140000</v>
      </c>
      <c r="I15" s="45"/>
    </row>
    <row r="16" spans="1:10" ht="18">
      <c r="A16" s="42">
        <v>11</v>
      </c>
      <c r="B16" s="42" t="s">
        <v>1055</v>
      </c>
      <c r="C16" s="42" t="s">
        <v>1056</v>
      </c>
      <c r="D16" s="241">
        <v>35000</v>
      </c>
      <c r="E16" s="241">
        <v>35000</v>
      </c>
      <c r="F16" s="241">
        <v>35000</v>
      </c>
      <c r="G16" s="241">
        <v>35000</v>
      </c>
      <c r="H16" s="241">
        <f t="shared" si="2"/>
        <v>140000</v>
      </c>
      <c r="I16" s="45"/>
    </row>
    <row r="17" spans="1:9" ht="18">
      <c r="A17" s="42">
        <v>12</v>
      </c>
      <c r="B17" s="42" t="s">
        <v>1057</v>
      </c>
      <c r="C17" s="42" t="s">
        <v>1044</v>
      </c>
      <c r="D17" s="241">
        <v>35000</v>
      </c>
      <c r="E17" s="241">
        <v>35000</v>
      </c>
      <c r="F17" s="241">
        <v>35000</v>
      </c>
      <c r="G17" s="241">
        <v>35000</v>
      </c>
      <c r="H17" s="241">
        <f t="shared" si="2"/>
        <v>140000</v>
      </c>
      <c r="I17" s="45"/>
    </row>
    <row r="18" spans="1:9" ht="18">
      <c r="A18" s="42">
        <v>13</v>
      </c>
      <c r="B18" s="42" t="s">
        <v>1058</v>
      </c>
      <c r="C18" s="42" t="s">
        <v>1059</v>
      </c>
      <c r="D18" s="241">
        <v>35000</v>
      </c>
      <c r="E18" s="241">
        <v>35000</v>
      </c>
      <c r="F18" s="241">
        <v>35000</v>
      </c>
      <c r="G18" s="241">
        <v>35000</v>
      </c>
      <c r="H18" s="241">
        <f t="shared" si="2"/>
        <v>140000</v>
      </c>
      <c r="I18" s="45"/>
    </row>
    <row r="19" spans="1:9" ht="18">
      <c r="A19" s="42">
        <v>14</v>
      </c>
      <c r="B19" s="42" t="s">
        <v>1060</v>
      </c>
      <c r="C19" s="42" t="s">
        <v>1046</v>
      </c>
      <c r="D19" s="241">
        <v>35000</v>
      </c>
      <c r="E19" s="241">
        <v>35000</v>
      </c>
      <c r="F19" s="241">
        <v>35000</v>
      </c>
      <c r="G19" s="241">
        <v>35000</v>
      </c>
      <c r="H19" s="241">
        <f t="shared" si="2"/>
        <v>140000</v>
      </c>
      <c r="I19" s="45"/>
    </row>
    <row r="20" spans="1:9" ht="18">
      <c r="A20" s="42">
        <v>15</v>
      </c>
      <c r="B20" s="42" t="s">
        <v>1061</v>
      </c>
      <c r="C20" s="42" t="s">
        <v>1062</v>
      </c>
      <c r="D20" s="241">
        <v>35000</v>
      </c>
      <c r="E20" s="241">
        <v>35000</v>
      </c>
      <c r="F20" s="241">
        <v>35000</v>
      </c>
      <c r="G20" s="241">
        <v>35000</v>
      </c>
      <c r="H20" s="241">
        <f t="shared" si="2"/>
        <v>140000</v>
      </c>
      <c r="I20" s="45"/>
    </row>
    <row r="21" spans="1:9" ht="18">
      <c r="A21" s="42">
        <v>16</v>
      </c>
      <c r="B21" s="42" t="s">
        <v>1063</v>
      </c>
      <c r="C21" s="42" t="s">
        <v>1064</v>
      </c>
      <c r="D21" s="241">
        <v>35000</v>
      </c>
      <c r="E21" s="241">
        <v>35000</v>
      </c>
      <c r="F21" s="241">
        <v>35000</v>
      </c>
      <c r="G21" s="241">
        <v>35000</v>
      </c>
      <c r="H21" s="241">
        <f t="shared" si="2"/>
        <v>140000</v>
      </c>
      <c r="I21" s="45"/>
    </row>
    <row r="22" spans="1:9" ht="18">
      <c r="A22" s="42">
        <v>17</v>
      </c>
      <c r="B22" s="42" t="s">
        <v>1065</v>
      </c>
      <c r="C22" s="42" t="s">
        <v>1046</v>
      </c>
      <c r="D22" s="241">
        <v>35000</v>
      </c>
      <c r="E22" s="241">
        <v>35000</v>
      </c>
      <c r="F22" s="241">
        <v>35000</v>
      </c>
      <c r="G22" s="241">
        <v>35000</v>
      </c>
      <c r="H22" s="241">
        <f t="shared" si="2"/>
        <v>140000</v>
      </c>
      <c r="I22" s="45"/>
    </row>
    <row r="23" spans="1:9" ht="18">
      <c r="A23" s="42">
        <v>18</v>
      </c>
      <c r="B23" s="42" t="s">
        <v>1066</v>
      </c>
      <c r="C23" s="42" t="s">
        <v>207</v>
      </c>
      <c r="D23" s="241">
        <v>35000</v>
      </c>
      <c r="E23" s="241">
        <v>35000</v>
      </c>
      <c r="F23" s="241">
        <v>35000</v>
      </c>
      <c r="G23" s="241">
        <v>35000</v>
      </c>
      <c r="H23" s="241">
        <f t="shared" si="2"/>
        <v>140000</v>
      </c>
      <c r="I23" s="45"/>
    </row>
    <row r="24" spans="1:9" ht="18">
      <c r="A24" s="42">
        <v>19</v>
      </c>
      <c r="B24" s="42" t="s">
        <v>1067</v>
      </c>
      <c r="C24" s="42" t="s">
        <v>207</v>
      </c>
      <c r="D24" s="241">
        <v>35000</v>
      </c>
      <c r="E24" s="241">
        <v>35000</v>
      </c>
      <c r="F24" s="241">
        <v>35000</v>
      </c>
      <c r="G24" s="241">
        <v>35000</v>
      </c>
      <c r="H24" s="241">
        <f t="shared" si="2"/>
        <v>140000</v>
      </c>
      <c r="I24" s="45"/>
    </row>
    <row r="25" spans="1:9" ht="18">
      <c r="A25" s="42">
        <v>20</v>
      </c>
      <c r="B25" s="42" t="s">
        <v>1068</v>
      </c>
      <c r="C25" s="42" t="s">
        <v>207</v>
      </c>
      <c r="D25" s="241">
        <v>35000</v>
      </c>
      <c r="E25" s="241">
        <v>35000</v>
      </c>
      <c r="F25" s="241">
        <v>35000</v>
      </c>
      <c r="G25" s="241">
        <v>35000</v>
      </c>
      <c r="H25" s="241">
        <f t="shared" si="2"/>
        <v>140000</v>
      </c>
      <c r="I25" s="45"/>
    </row>
    <row r="26" spans="1:9" ht="18">
      <c r="A26" s="42">
        <v>21</v>
      </c>
      <c r="B26" s="42" t="s">
        <v>1069</v>
      </c>
      <c r="C26" s="42" t="s">
        <v>207</v>
      </c>
      <c r="D26" s="241">
        <v>35000</v>
      </c>
      <c r="E26" s="241">
        <v>35000</v>
      </c>
      <c r="F26" s="241">
        <v>35000</v>
      </c>
      <c r="G26" s="241">
        <v>35000</v>
      </c>
      <c r="H26" s="241">
        <f t="shared" si="2"/>
        <v>140000</v>
      </c>
      <c r="I26" s="45"/>
    </row>
    <row r="27" spans="1:9" ht="18">
      <c r="A27" s="42">
        <v>22</v>
      </c>
      <c r="B27" s="42" t="s">
        <v>1070</v>
      </c>
      <c r="C27" s="42" t="s">
        <v>1071</v>
      </c>
      <c r="D27" s="241">
        <v>35000</v>
      </c>
      <c r="E27" s="241">
        <v>35000</v>
      </c>
      <c r="F27" s="241">
        <v>35000</v>
      </c>
      <c r="G27" s="241">
        <v>35000</v>
      </c>
      <c r="H27" s="241">
        <f t="shared" si="2"/>
        <v>140000</v>
      </c>
      <c r="I27" s="45"/>
    </row>
    <row r="28" spans="1:9" ht="18">
      <c r="A28" s="42">
        <v>23</v>
      </c>
      <c r="B28" s="42" t="s">
        <v>1072</v>
      </c>
      <c r="C28" s="42" t="s">
        <v>1073</v>
      </c>
      <c r="D28" s="241">
        <v>35000</v>
      </c>
      <c r="E28" s="241">
        <v>35000</v>
      </c>
      <c r="F28" s="241">
        <v>35000</v>
      </c>
      <c r="G28" s="241">
        <v>35000</v>
      </c>
      <c r="H28" s="241">
        <f t="shared" si="2"/>
        <v>140000</v>
      </c>
      <c r="I28" s="45"/>
    </row>
    <row r="29" spans="1:9" ht="18">
      <c r="A29" s="42">
        <v>24</v>
      </c>
      <c r="B29" s="42" t="s">
        <v>1074</v>
      </c>
      <c r="C29" s="42" t="s">
        <v>1075</v>
      </c>
      <c r="D29" s="241">
        <v>35000</v>
      </c>
      <c r="E29" s="241">
        <v>35000</v>
      </c>
      <c r="F29" s="241">
        <v>35000</v>
      </c>
      <c r="G29" s="241">
        <v>35000</v>
      </c>
      <c r="H29" s="241">
        <f t="shared" si="2"/>
        <v>140000</v>
      </c>
      <c r="I29" s="45"/>
    </row>
    <row r="30" spans="1:9" ht="18">
      <c r="A30" s="42">
        <v>25</v>
      </c>
      <c r="B30" s="42" t="s">
        <v>1076</v>
      </c>
      <c r="C30" s="42" t="s">
        <v>1056</v>
      </c>
      <c r="D30" s="241">
        <v>35000</v>
      </c>
      <c r="E30" s="241">
        <v>35000</v>
      </c>
      <c r="F30" s="241">
        <v>35000</v>
      </c>
      <c r="G30" s="241">
        <v>35000</v>
      </c>
      <c r="H30" s="241">
        <f t="shared" si="2"/>
        <v>140000</v>
      </c>
      <c r="I30" s="45"/>
    </row>
    <row r="31" spans="1:9" ht="18">
      <c r="A31" s="42">
        <v>26</v>
      </c>
      <c r="B31" s="42" t="s">
        <v>203</v>
      </c>
      <c r="C31" s="42" t="s">
        <v>207</v>
      </c>
      <c r="D31" s="241">
        <v>35000</v>
      </c>
      <c r="E31" s="241">
        <v>35000</v>
      </c>
      <c r="F31" s="241">
        <v>35000</v>
      </c>
      <c r="G31" s="241">
        <v>35000</v>
      </c>
      <c r="H31" s="241">
        <f t="shared" si="2"/>
        <v>140000</v>
      </c>
      <c r="I31" s="45"/>
    </row>
    <row r="32" spans="1:9" ht="18">
      <c r="A32" s="42">
        <v>27</v>
      </c>
      <c r="B32" s="42" t="s">
        <v>1077</v>
      </c>
      <c r="C32" s="42" t="s">
        <v>1044</v>
      </c>
      <c r="D32" s="241">
        <v>35000</v>
      </c>
      <c r="E32" s="241">
        <v>35000</v>
      </c>
      <c r="F32" s="241">
        <v>35000</v>
      </c>
      <c r="G32" s="241">
        <v>35000</v>
      </c>
      <c r="H32" s="241">
        <f t="shared" si="2"/>
        <v>140000</v>
      </c>
      <c r="I32" s="45"/>
    </row>
    <row r="33" spans="1:9" ht="18">
      <c r="A33" s="42">
        <v>28</v>
      </c>
      <c r="B33" s="42" t="s">
        <v>1078</v>
      </c>
      <c r="C33" s="42" t="s">
        <v>1044</v>
      </c>
      <c r="D33" s="241">
        <v>35000</v>
      </c>
      <c r="E33" s="241">
        <v>35000</v>
      </c>
      <c r="F33" s="241">
        <v>35000</v>
      </c>
      <c r="G33" s="241">
        <v>35000</v>
      </c>
      <c r="H33" s="241">
        <f t="shared" si="2"/>
        <v>140000</v>
      </c>
      <c r="I33" s="45"/>
    </row>
    <row r="34" spans="1:9" ht="18">
      <c r="A34" s="42">
        <v>29</v>
      </c>
      <c r="B34" s="42" t="s">
        <v>183</v>
      </c>
      <c r="C34" s="42" t="s">
        <v>207</v>
      </c>
      <c r="D34" s="241">
        <v>35000</v>
      </c>
      <c r="E34" s="241">
        <v>35000</v>
      </c>
      <c r="F34" s="241">
        <v>35000</v>
      </c>
      <c r="G34" s="241">
        <v>35000</v>
      </c>
      <c r="H34" s="241">
        <f t="shared" si="2"/>
        <v>140000</v>
      </c>
      <c r="I34" s="45"/>
    </row>
    <row r="35" spans="1:9" ht="18">
      <c r="A35" s="42">
        <v>30</v>
      </c>
      <c r="B35" s="42" t="s">
        <v>206</v>
      </c>
      <c r="C35" s="42" t="s">
        <v>207</v>
      </c>
      <c r="D35" s="241">
        <v>35000</v>
      </c>
      <c r="E35" s="241">
        <v>35000</v>
      </c>
      <c r="F35" s="241">
        <v>35000</v>
      </c>
      <c r="G35" s="241">
        <v>35000</v>
      </c>
      <c r="H35" s="241">
        <f t="shared" si="2"/>
        <v>140000</v>
      </c>
      <c r="I35" s="45"/>
    </row>
    <row r="36" spans="1:9" ht="18">
      <c r="A36" s="42">
        <v>31</v>
      </c>
      <c r="B36" s="42" t="s">
        <v>1079</v>
      </c>
      <c r="C36" s="42" t="s">
        <v>1080</v>
      </c>
      <c r="D36" s="241">
        <v>35000</v>
      </c>
      <c r="E36" s="241">
        <v>35000</v>
      </c>
      <c r="F36" s="241">
        <v>35000</v>
      </c>
      <c r="G36" s="241">
        <v>35000</v>
      </c>
      <c r="H36" s="241">
        <f t="shared" si="2"/>
        <v>140000</v>
      </c>
      <c r="I36" s="45"/>
    </row>
    <row r="37" spans="1:9" ht="18">
      <c r="A37" s="42">
        <v>32</v>
      </c>
      <c r="B37" s="42" t="s">
        <v>208</v>
      </c>
      <c r="C37" s="42" t="s">
        <v>207</v>
      </c>
      <c r="D37" s="241">
        <v>35000</v>
      </c>
      <c r="E37" s="241">
        <v>35000</v>
      </c>
      <c r="F37" s="241">
        <v>35000</v>
      </c>
      <c r="G37" s="241">
        <v>35000</v>
      </c>
      <c r="H37" s="241">
        <f t="shared" si="2"/>
        <v>140000</v>
      </c>
      <c r="I37" s="45"/>
    </row>
    <row r="38" spans="1:9" ht="18">
      <c r="A38" s="42">
        <v>33</v>
      </c>
      <c r="B38" s="42" t="s">
        <v>210</v>
      </c>
      <c r="C38" s="42" t="s">
        <v>1081</v>
      </c>
      <c r="D38" s="241">
        <v>35000</v>
      </c>
      <c r="E38" s="241">
        <v>35000</v>
      </c>
      <c r="F38" s="241">
        <v>35000</v>
      </c>
      <c r="G38" s="241">
        <v>35000</v>
      </c>
      <c r="H38" s="241">
        <f t="shared" si="2"/>
        <v>140000</v>
      </c>
      <c r="I38" s="45"/>
    </row>
    <row r="39" spans="1:9" ht="18">
      <c r="A39" s="42">
        <v>34</v>
      </c>
      <c r="B39" s="42" t="s">
        <v>1082</v>
      </c>
      <c r="C39" s="42" t="s">
        <v>207</v>
      </c>
      <c r="D39" s="241">
        <v>35000</v>
      </c>
      <c r="E39" s="241">
        <v>35000</v>
      </c>
      <c r="F39" s="241">
        <v>35000</v>
      </c>
      <c r="G39" s="241">
        <v>35000</v>
      </c>
      <c r="H39" s="241">
        <f t="shared" si="2"/>
        <v>140000</v>
      </c>
      <c r="I39" s="45"/>
    </row>
    <row r="40" spans="1:9" ht="18">
      <c r="A40" s="42">
        <v>35</v>
      </c>
      <c r="B40" s="42" t="s">
        <v>212</v>
      </c>
      <c r="C40" s="42" t="s">
        <v>207</v>
      </c>
      <c r="D40" s="241">
        <v>35000</v>
      </c>
      <c r="E40" s="241">
        <v>35000</v>
      </c>
      <c r="F40" s="241">
        <v>35000</v>
      </c>
      <c r="G40" s="241">
        <v>35000</v>
      </c>
      <c r="H40" s="241">
        <f t="shared" si="2"/>
        <v>140000</v>
      </c>
      <c r="I40" s="45"/>
    </row>
    <row r="41" spans="1:9" ht="18">
      <c r="A41" s="42">
        <v>36</v>
      </c>
      <c r="B41" s="42" t="s">
        <v>1083</v>
      </c>
      <c r="C41" s="42" t="s">
        <v>1046</v>
      </c>
      <c r="D41" s="241">
        <v>35000</v>
      </c>
      <c r="E41" s="241">
        <v>35000</v>
      </c>
      <c r="F41" s="241">
        <v>35000</v>
      </c>
      <c r="G41" s="241">
        <v>35000</v>
      </c>
      <c r="H41" s="241">
        <f t="shared" si="2"/>
        <v>140000</v>
      </c>
      <c r="I41" s="45"/>
    </row>
    <row r="42" spans="1:9" ht="18">
      <c r="A42" s="42">
        <v>37</v>
      </c>
      <c r="B42" s="42" t="s">
        <v>1084</v>
      </c>
      <c r="C42" s="42" t="s">
        <v>1046</v>
      </c>
      <c r="D42" s="241">
        <v>35000</v>
      </c>
      <c r="E42" s="241">
        <v>35000</v>
      </c>
      <c r="F42" s="241">
        <v>35000</v>
      </c>
      <c r="G42" s="241">
        <v>35000</v>
      </c>
      <c r="H42" s="241">
        <f t="shared" si="2"/>
        <v>140000</v>
      </c>
      <c r="I42" s="45"/>
    </row>
    <row r="43" spans="1:9" ht="18">
      <c r="A43" s="42">
        <v>38</v>
      </c>
      <c r="B43" s="42" t="s">
        <v>1085</v>
      </c>
      <c r="C43" s="42" t="s">
        <v>1046</v>
      </c>
      <c r="D43" s="241">
        <v>35000</v>
      </c>
      <c r="E43" s="241">
        <v>35000</v>
      </c>
      <c r="F43" s="241">
        <v>35000</v>
      </c>
      <c r="G43" s="241">
        <v>35000</v>
      </c>
      <c r="H43" s="241">
        <f t="shared" si="2"/>
        <v>140000</v>
      </c>
      <c r="I43" s="45"/>
    </row>
    <row r="44" spans="1:9" ht="18">
      <c r="A44" s="42">
        <v>39</v>
      </c>
      <c r="B44" s="42" t="s">
        <v>1086</v>
      </c>
      <c r="C44" s="42" t="s">
        <v>1046</v>
      </c>
      <c r="D44" s="241">
        <v>35000</v>
      </c>
      <c r="E44" s="241">
        <v>35000</v>
      </c>
      <c r="F44" s="241">
        <v>35000</v>
      </c>
      <c r="G44" s="241">
        <v>35000</v>
      </c>
      <c r="H44" s="241">
        <f t="shared" si="2"/>
        <v>140000</v>
      </c>
      <c r="I44" s="45"/>
    </row>
    <row r="45" spans="1:9" ht="18">
      <c r="A45" s="42">
        <v>40</v>
      </c>
      <c r="B45" s="42" t="s">
        <v>1087</v>
      </c>
      <c r="C45" s="42" t="s">
        <v>1046</v>
      </c>
      <c r="D45" s="241">
        <v>35000</v>
      </c>
      <c r="E45" s="241">
        <v>35000</v>
      </c>
      <c r="F45" s="241">
        <v>35000</v>
      </c>
      <c r="G45" s="241">
        <v>35000</v>
      </c>
      <c r="H45" s="241">
        <f t="shared" si="2"/>
        <v>140000</v>
      </c>
      <c r="I45" s="45"/>
    </row>
    <row r="46" spans="1:9" ht="18">
      <c r="A46" s="42">
        <v>41</v>
      </c>
      <c r="B46" s="42" t="s">
        <v>1088</v>
      </c>
      <c r="C46" s="42" t="s">
        <v>1046</v>
      </c>
      <c r="D46" s="241">
        <v>35000</v>
      </c>
      <c r="E46" s="241">
        <v>35000</v>
      </c>
      <c r="F46" s="241">
        <v>35000</v>
      </c>
      <c r="G46" s="241">
        <v>35000</v>
      </c>
      <c r="H46" s="241">
        <f t="shared" si="2"/>
        <v>140000</v>
      </c>
      <c r="I46" s="45"/>
    </row>
    <row r="47" spans="1:9" ht="18">
      <c r="A47" s="42">
        <v>42</v>
      </c>
      <c r="B47" s="42" t="s">
        <v>1089</v>
      </c>
      <c r="C47" s="42" t="s">
        <v>207</v>
      </c>
      <c r="D47" s="241">
        <v>35000</v>
      </c>
      <c r="E47" s="241">
        <v>35000</v>
      </c>
      <c r="F47" s="241">
        <v>35000</v>
      </c>
      <c r="G47" s="241">
        <v>35000</v>
      </c>
      <c r="H47" s="241">
        <f t="shared" si="2"/>
        <v>140000</v>
      </c>
      <c r="I47" s="45"/>
    </row>
    <row r="48" spans="1:9" ht="18">
      <c r="A48" s="42">
        <v>43</v>
      </c>
      <c r="B48" s="42" t="s">
        <v>1090</v>
      </c>
      <c r="C48" s="42" t="s">
        <v>1046</v>
      </c>
      <c r="D48" s="241">
        <v>35000</v>
      </c>
      <c r="E48" s="241">
        <v>35000</v>
      </c>
      <c r="F48" s="241">
        <v>35000</v>
      </c>
      <c r="G48" s="241">
        <v>35000</v>
      </c>
      <c r="H48" s="241">
        <f t="shared" si="2"/>
        <v>140000</v>
      </c>
      <c r="I48" s="45"/>
    </row>
    <row r="49" spans="1:9" ht="18">
      <c r="A49" s="42">
        <v>44</v>
      </c>
      <c r="B49" s="42" t="s">
        <v>1091</v>
      </c>
      <c r="C49" s="42" t="s">
        <v>1046</v>
      </c>
      <c r="D49" s="241">
        <v>35000</v>
      </c>
      <c r="E49" s="241">
        <v>35000</v>
      </c>
      <c r="F49" s="241">
        <v>35000</v>
      </c>
      <c r="G49" s="241">
        <v>35000</v>
      </c>
      <c r="H49" s="241">
        <f t="shared" si="2"/>
        <v>140000</v>
      </c>
      <c r="I49" s="45"/>
    </row>
    <row r="50" spans="1:9" ht="18">
      <c r="A50" s="42">
        <v>45</v>
      </c>
      <c r="B50" s="42" t="s">
        <v>1092</v>
      </c>
      <c r="C50" s="42" t="s">
        <v>207</v>
      </c>
      <c r="D50" s="241">
        <v>35000</v>
      </c>
      <c r="E50" s="241">
        <v>35000</v>
      </c>
      <c r="F50" s="241">
        <v>35000</v>
      </c>
      <c r="G50" s="241">
        <v>35000</v>
      </c>
      <c r="H50" s="241">
        <f t="shared" si="2"/>
        <v>140000</v>
      </c>
      <c r="I50" s="45"/>
    </row>
    <row r="51" spans="1:9" ht="18">
      <c r="A51" s="42">
        <v>46</v>
      </c>
      <c r="B51" s="42" t="s">
        <v>1093</v>
      </c>
      <c r="C51" s="42" t="s">
        <v>1046</v>
      </c>
      <c r="D51" s="241">
        <v>35000</v>
      </c>
      <c r="E51" s="241">
        <v>35000</v>
      </c>
      <c r="F51" s="241">
        <v>35000</v>
      </c>
      <c r="G51" s="241">
        <v>35000</v>
      </c>
      <c r="H51" s="241">
        <f t="shared" si="2"/>
        <v>140000</v>
      </c>
      <c r="I51" s="45"/>
    </row>
    <row r="52" spans="1:9" ht="18">
      <c r="A52" s="42">
        <v>47</v>
      </c>
      <c r="B52" s="42" t="s">
        <v>1094</v>
      </c>
      <c r="C52" s="42" t="s">
        <v>1046</v>
      </c>
      <c r="D52" s="241">
        <v>35000</v>
      </c>
      <c r="E52" s="241">
        <v>35000</v>
      </c>
      <c r="F52" s="241">
        <v>35000</v>
      </c>
      <c r="G52" s="241">
        <v>35000</v>
      </c>
      <c r="H52" s="241">
        <f t="shared" si="2"/>
        <v>140000</v>
      </c>
      <c r="I52" s="45"/>
    </row>
    <row r="53" spans="1:9" ht="18">
      <c r="A53" s="42">
        <v>48</v>
      </c>
      <c r="B53" s="42" t="s">
        <v>1095</v>
      </c>
      <c r="C53" s="42" t="s">
        <v>207</v>
      </c>
      <c r="D53" s="241">
        <v>35000</v>
      </c>
      <c r="E53" s="241">
        <v>35000</v>
      </c>
      <c r="F53" s="241">
        <v>35000</v>
      </c>
      <c r="G53" s="241">
        <v>35000</v>
      </c>
      <c r="H53" s="241">
        <f t="shared" si="2"/>
        <v>140000</v>
      </c>
      <c r="I53" s="45"/>
    </row>
    <row r="54" spans="1:9" ht="18">
      <c r="A54" s="42">
        <v>49</v>
      </c>
      <c r="B54" s="42" t="s">
        <v>1096</v>
      </c>
      <c r="C54" s="42" t="s">
        <v>207</v>
      </c>
      <c r="D54" s="241">
        <v>35000</v>
      </c>
      <c r="E54" s="241">
        <v>35000</v>
      </c>
      <c r="F54" s="241">
        <v>35000</v>
      </c>
      <c r="G54" s="241">
        <v>35000</v>
      </c>
      <c r="H54" s="241">
        <f t="shared" si="2"/>
        <v>140000</v>
      </c>
      <c r="I54" s="45"/>
    </row>
    <row r="55" spans="1:9" ht="18">
      <c r="A55" s="42">
        <v>50</v>
      </c>
      <c r="B55" s="42" t="s">
        <v>1097</v>
      </c>
      <c r="C55" s="42" t="s">
        <v>207</v>
      </c>
      <c r="D55" s="241">
        <v>35000</v>
      </c>
      <c r="E55" s="241">
        <v>35000</v>
      </c>
      <c r="F55" s="241">
        <v>35000</v>
      </c>
      <c r="G55" s="241">
        <v>35000</v>
      </c>
      <c r="H55" s="241">
        <f t="shared" si="2"/>
        <v>140000</v>
      </c>
      <c r="I55" s="45"/>
    </row>
    <row r="56" spans="1:9" ht="18">
      <c r="A56" s="42">
        <v>51</v>
      </c>
      <c r="B56" s="42" t="s">
        <v>1098</v>
      </c>
      <c r="C56" s="42" t="s">
        <v>207</v>
      </c>
      <c r="D56" s="241">
        <v>35000</v>
      </c>
      <c r="E56" s="241">
        <v>35000</v>
      </c>
      <c r="F56" s="241">
        <v>35000</v>
      </c>
      <c r="G56" s="241">
        <v>35000</v>
      </c>
      <c r="H56" s="241">
        <f t="shared" si="2"/>
        <v>140000</v>
      </c>
      <c r="I56" s="45"/>
    </row>
    <row r="57" spans="1:9" ht="18">
      <c r="A57" s="42">
        <v>52</v>
      </c>
      <c r="B57" s="42" t="s">
        <v>1099</v>
      </c>
      <c r="C57" s="42" t="s">
        <v>1046</v>
      </c>
      <c r="D57" s="241">
        <v>35000</v>
      </c>
      <c r="E57" s="241">
        <v>35000</v>
      </c>
      <c r="F57" s="241">
        <v>35000</v>
      </c>
      <c r="G57" s="241">
        <v>35000</v>
      </c>
      <c r="H57" s="241">
        <f t="shared" si="2"/>
        <v>140000</v>
      </c>
      <c r="I57" s="45"/>
    </row>
    <row r="58" spans="1:9" ht="18">
      <c r="A58" s="42">
        <v>53</v>
      </c>
      <c r="B58" s="42" t="s">
        <v>1100</v>
      </c>
      <c r="C58" s="42" t="s">
        <v>1046</v>
      </c>
      <c r="D58" s="241">
        <v>35000</v>
      </c>
      <c r="E58" s="241">
        <v>35000</v>
      </c>
      <c r="F58" s="241">
        <v>35000</v>
      </c>
      <c r="G58" s="241">
        <v>35000</v>
      </c>
      <c r="H58" s="241">
        <f t="shared" si="2"/>
        <v>140000</v>
      </c>
      <c r="I58" s="45"/>
    </row>
    <row r="59" spans="1:9" ht="18">
      <c r="A59" s="41"/>
      <c r="B59" s="42"/>
      <c r="C59" s="42"/>
      <c r="D59" s="249">
        <f>SUM(D8:D58)</f>
        <v>1785000</v>
      </c>
      <c r="E59" s="249">
        <f>SUM(E8:E58)</f>
        <v>1785000</v>
      </c>
      <c r="F59" s="249">
        <f>SUM(F8:F58)</f>
        <v>1785000</v>
      </c>
      <c r="G59" s="249">
        <f>SUM(G8:G58)</f>
        <v>1785000</v>
      </c>
      <c r="H59" s="249">
        <f>SUM(H8:H58)</f>
        <v>7140000</v>
      </c>
      <c r="I59" s="45"/>
    </row>
    <row r="60" spans="1:9">
      <c r="D60" s="250"/>
      <c r="E60" s="250"/>
      <c r="F60" s="250"/>
      <c r="G60" s="250"/>
      <c r="H60" s="250"/>
    </row>
    <row r="61" spans="1:9">
      <c r="D61" s="250"/>
      <c r="E61" s="250"/>
      <c r="F61" s="250"/>
      <c r="G61" s="250"/>
      <c r="H61" s="251"/>
    </row>
    <row r="62" spans="1:9">
      <c r="A62" s="252"/>
      <c r="B62" s="252"/>
      <c r="C62" s="252"/>
      <c r="D62" s="251"/>
      <c r="E62" s="251"/>
      <c r="F62" s="251"/>
      <c r="G62" s="251"/>
      <c r="H62" s="253"/>
    </row>
    <row r="63" spans="1:9">
      <c r="D63" s="250"/>
      <c r="E63" s="250"/>
      <c r="F63" s="250"/>
      <c r="G63" s="250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239" t="s">
        <v>178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50.25" customHeight="1">
      <c r="A2" s="56" t="s">
        <v>21</v>
      </c>
      <c r="B2" s="41" t="s">
        <v>146</v>
      </c>
      <c r="C2" s="41" t="s">
        <v>3</v>
      </c>
      <c r="D2" s="240" t="s">
        <v>1101</v>
      </c>
      <c r="E2" s="240" t="s">
        <v>14</v>
      </c>
      <c r="F2" s="240" t="s">
        <v>1102</v>
      </c>
      <c r="G2" s="45"/>
      <c r="H2" s="45"/>
      <c r="I2" s="45"/>
      <c r="J2" s="45"/>
    </row>
    <row r="3" spans="1:10" ht="35.15" customHeight="1">
      <c r="A3" s="46">
        <v>1</v>
      </c>
      <c r="B3" s="42" t="s">
        <v>337</v>
      </c>
      <c r="C3" s="42" t="s">
        <v>63</v>
      </c>
      <c r="D3" s="241">
        <f>20000*28</f>
        <v>560000</v>
      </c>
      <c r="E3" s="242">
        <f>86186.67</f>
        <v>86186.67</v>
      </c>
      <c r="F3" s="241">
        <f>D3-E3</f>
        <v>473813.33</v>
      </c>
      <c r="G3" s="45"/>
      <c r="H3" s="45"/>
      <c r="I3" s="45"/>
      <c r="J3" s="45"/>
    </row>
    <row r="4" spans="1:10" ht="39.75" customHeight="1">
      <c r="A4" s="46">
        <v>2</v>
      </c>
      <c r="B4" s="243" t="s">
        <v>1103</v>
      </c>
      <c r="C4" s="42" t="s">
        <v>1104</v>
      </c>
      <c r="D4" s="241">
        <f>20000*28</f>
        <v>560000</v>
      </c>
      <c r="E4" s="242">
        <f>86186.67</f>
        <v>86186.67</v>
      </c>
      <c r="F4" s="241">
        <f t="shared" ref="F4" si="0">D4-E4</f>
        <v>473813.33</v>
      </c>
      <c r="G4" s="45"/>
      <c r="H4" s="45"/>
      <c r="I4" s="45"/>
      <c r="J4" s="45"/>
    </row>
    <row r="5" spans="1:10" ht="36" customHeight="1">
      <c r="A5" s="42"/>
      <c r="B5" s="41" t="s">
        <v>34</v>
      </c>
      <c r="C5" s="41"/>
      <c r="D5" s="244">
        <f>SUM(D3:D4)</f>
        <v>1120000</v>
      </c>
      <c r="E5" s="244">
        <f>SUM(E3:E4)</f>
        <v>172373.34</v>
      </c>
      <c r="F5" s="244">
        <f>SUM(F3:F4)</f>
        <v>947626.66</v>
      </c>
      <c r="G5" s="45"/>
      <c r="H5" s="45"/>
      <c r="I5" s="45"/>
      <c r="J5" s="45"/>
    </row>
    <row r="6" spans="1:10" ht="18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10" ht="18">
      <c r="A7" s="45"/>
      <c r="B7" s="45"/>
      <c r="C7" s="45"/>
      <c r="D7" s="45"/>
      <c r="E7" s="45"/>
      <c r="F7" s="45"/>
      <c r="G7" s="45"/>
      <c r="H7" s="45"/>
      <c r="I7" s="45"/>
      <c r="J7" s="45"/>
    </row>
    <row r="8" spans="1:10" ht="18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18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0" ht="18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8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spans="1:10" ht="18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18">
      <c r="A13" s="45"/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18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spans="1:10" ht="18">
      <c r="A15" s="45"/>
      <c r="B15" s="45"/>
      <c r="C15" s="45"/>
      <c r="D15" s="45"/>
      <c r="E15" s="45"/>
      <c r="F15" s="45"/>
      <c r="G15" s="45"/>
      <c r="H15" s="45"/>
      <c r="I15" s="45"/>
      <c r="J15" s="45"/>
    </row>
    <row r="16" spans="1:10" ht="18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spans="1:10" ht="18">
      <c r="A17" s="45"/>
      <c r="B17" s="45"/>
      <c r="C17" s="45"/>
      <c r="D17" s="45"/>
      <c r="E17" s="45"/>
      <c r="F17" s="45"/>
      <c r="G17" s="45"/>
      <c r="H17" s="45"/>
      <c r="I17" s="45"/>
      <c r="J17" s="45"/>
    </row>
    <row r="18" spans="1:10" ht="18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spans="1:10" ht="18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spans="1:10" ht="18">
      <c r="A20" s="45"/>
      <c r="B20" s="45"/>
      <c r="C20" s="45"/>
      <c r="D20" s="45"/>
      <c r="E20" s="45"/>
      <c r="F20" s="45"/>
      <c r="G20" s="45"/>
      <c r="H20" s="45"/>
      <c r="I20" s="45"/>
      <c r="J20" s="45"/>
    </row>
    <row r="21" spans="1:10" ht="18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18">
      <c r="A22" s="45"/>
      <c r="B22" s="45"/>
      <c r="C22" s="45"/>
      <c r="D22" s="45"/>
      <c r="E22" s="45"/>
      <c r="F22" s="45"/>
      <c r="G22" s="45"/>
      <c r="H22" s="45"/>
      <c r="I22" s="45"/>
      <c r="J22" s="45"/>
    </row>
    <row r="23" spans="1:10" ht="18">
      <c r="A23" s="45"/>
      <c r="B23" s="45"/>
      <c r="C23" s="45"/>
      <c r="D23" s="45"/>
      <c r="E23" s="45"/>
      <c r="F23" s="45"/>
      <c r="G23" s="45"/>
      <c r="H23" s="45"/>
      <c r="I23" s="45"/>
      <c r="J23" s="45"/>
    </row>
    <row r="24" spans="1:10" ht="18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18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spans="1:10" ht="18">
      <c r="A26" s="45"/>
      <c r="B26" s="45"/>
      <c r="C26" s="45"/>
      <c r="D26" s="45"/>
      <c r="E26" s="45"/>
      <c r="F26" s="45"/>
      <c r="G26" s="45"/>
      <c r="H26" s="45"/>
      <c r="I26" s="45"/>
      <c r="J26" s="45"/>
    </row>
    <row r="27" spans="1:10" ht="18">
      <c r="A27" s="45"/>
      <c r="B27" s="45"/>
      <c r="C27" s="45"/>
      <c r="D27" s="45"/>
      <c r="E27" s="45"/>
      <c r="F27" s="45"/>
      <c r="G27" s="45"/>
      <c r="H27" s="45"/>
      <c r="I27" s="45"/>
      <c r="J27" s="45"/>
    </row>
    <row r="28" spans="1:10" ht="18">
      <c r="A28" s="45"/>
      <c r="B28" s="45"/>
      <c r="C28" s="45"/>
      <c r="D28" s="45"/>
      <c r="E28" s="45"/>
      <c r="F28" s="45"/>
      <c r="G28" s="45"/>
      <c r="H28" s="45"/>
      <c r="I28" s="45"/>
      <c r="J28" s="45"/>
    </row>
    <row r="29" spans="1:10" ht="18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spans="1:10" ht="18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spans="1:10" ht="18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spans="1:10" ht="18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spans="1:10" ht="18">
      <c r="A33" s="45"/>
      <c r="B33" s="45"/>
      <c r="C33" s="45"/>
      <c r="D33" s="45"/>
      <c r="E33" s="45"/>
      <c r="F33" s="45"/>
      <c r="G33" s="45"/>
      <c r="H33" s="45"/>
      <c r="I33" s="45"/>
      <c r="J33" s="45"/>
    </row>
    <row r="34" spans="1:10" ht="18">
      <c r="A34" s="45"/>
      <c r="B34" s="45"/>
      <c r="C34" s="45"/>
      <c r="D34" s="45"/>
      <c r="E34" s="45"/>
      <c r="F34" s="45"/>
      <c r="G34" s="45"/>
      <c r="H34" s="45"/>
      <c r="I34" s="45"/>
      <c r="J34" s="45"/>
    </row>
    <row r="35" spans="1:10" ht="18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18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spans="1:10" ht="18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spans="1:10" ht="18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spans="1:10" ht="18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spans="1:10" ht="18">
      <c r="A43" s="45"/>
      <c r="B43" s="45"/>
      <c r="C43" s="45"/>
      <c r="D43" s="45"/>
      <c r="E43" s="45"/>
      <c r="F43" s="45"/>
      <c r="G43" s="45"/>
      <c r="H43" s="45"/>
      <c r="I43" s="45"/>
      <c r="J43" s="45"/>
    </row>
    <row r="44" spans="1:10" ht="18">
      <c r="A44" s="45"/>
      <c r="B44" s="45"/>
      <c r="C44" s="45"/>
      <c r="D44" s="45"/>
      <c r="E44" s="45"/>
      <c r="F44" s="45"/>
      <c r="G44" s="45"/>
      <c r="H44" s="45"/>
      <c r="I44" s="45"/>
      <c r="J44" s="45"/>
    </row>
    <row r="45" spans="1:10" ht="18">
      <c r="A45" s="45"/>
      <c r="B45" s="45"/>
      <c r="C45" s="45"/>
      <c r="D45" s="45"/>
      <c r="E45" s="45"/>
      <c r="F45" s="45"/>
      <c r="G45" s="45"/>
      <c r="H45" s="45"/>
      <c r="I45" s="45"/>
      <c r="J45" s="45"/>
    </row>
    <row r="46" spans="1:10" ht="18">
      <c r="A46" s="45"/>
      <c r="B46" s="45"/>
      <c r="C46" s="45"/>
      <c r="D46" s="45"/>
      <c r="E46" s="45"/>
      <c r="F46" s="45"/>
      <c r="G46" s="45"/>
      <c r="H46" s="45"/>
      <c r="I46" s="45"/>
      <c r="J46" s="45"/>
    </row>
    <row r="47" spans="1:10" ht="18">
      <c r="A47" s="45"/>
      <c r="B47" s="45"/>
      <c r="C47" s="45"/>
      <c r="D47" s="45"/>
      <c r="E47" s="45"/>
      <c r="F47" s="45"/>
      <c r="G47" s="45"/>
      <c r="H47" s="45"/>
      <c r="I47" s="45"/>
      <c r="J47" s="45"/>
    </row>
    <row r="48" spans="1:10" ht="18">
      <c r="A48" s="45"/>
      <c r="B48" s="45"/>
      <c r="C48" s="45"/>
      <c r="D48" s="45"/>
      <c r="E48" s="45"/>
      <c r="F48" s="45"/>
      <c r="G48" s="45"/>
      <c r="H48" s="45"/>
      <c r="I48" s="45"/>
      <c r="J48" s="45"/>
    </row>
    <row r="49" spans="1:10" ht="18">
      <c r="A49" s="45"/>
      <c r="B49" s="45"/>
      <c r="C49" s="45"/>
      <c r="D49" s="45"/>
      <c r="E49" s="45"/>
      <c r="F49" s="45"/>
      <c r="G49" s="45"/>
      <c r="H49" s="45"/>
      <c r="I49" s="45"/>
      <c r="J49" s="45"/>
    </row>
    <row r="50" spans="1:10" ht="18">
      <c r="A50" s="45"/>
      <c r="B50" s="45"/>
      <c r="C50" s="45"/>
      <c r="D50" s="45"/>
      <c r="E50" s="45"/>
      <c r="F50" s="45"/>
      <c r="G50" s="45"/>
      <c r="H50" s="45"/>
      <c r="I50" s="45"/>
      <c r="J50" s="45"/>
    </row>
    <row r="51" spans="1:10" ht="18">
      <c r="A51" s="45"/>
      <c r="B51" s="45"/>
      <c r="C51" s="45"/>
      <c r="D51" s="45"/>
      <c r="E51" s="45"/>
      <c r="F51" s="45"/>
      <c r="G51" s="45"/>
      <c r="H51" s="45"/>
      <c r="I51" s="45"/>
      <c r="J51" s="45"/>
    </row>
    <row r="52" spans="1:10" ht="18">
      <c r="A52" s="45"/>
      <c r="B52" s="45"/>
      <c r="C52" s="45"/>
      <c r="D52" s="45"/>
      <c r="E52" s="45"/>
      <c r="F52" s="45"/>
      <c r="G52" s="45"/>
      <c r="H52" s="45"/>
      <c r="I52" s="45"/>
      <c r="J52" s="45"/>
    </row>
    <row r="53" spans="1:10" ht="18">
      <c r="A53" s="45"/>
      <c r="B53" s="45"/>
      <c r="C53" s="45"/>
      <c r="D53" s="45"/>
      <c r="E53" s="45"/>
      <c r="F53" s="45"/>
      <c r="G53" s="45"/>
      <c r="H53" s="45"/>
      <c r="I53" s="45"/>
      <c r="J53" s="45"/>
    </row>
    <row r="54" spans="1:10" ht="18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 ht="18">
      <c r="A55" s="45"/>
      <c r="B55" s="45"/>
      <c r="C55" s="45"/>
      <c r="D55" s="45"/>
      <c r="E55" s="45"/>
      <c r="F55" s="45"/>
      <c r="G55" s="45"/>
      <c r="H55" s="45"/>
      <c r="I55" s="45"/>
      <c r="J55" s="45"/>
    </row>
    <row r="56" spans="1:10" ht="18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 ht="18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spans="1:10" ht="18">
      <c r="A58" s="45"/>
      <c r="B58" s="45"/>
      <c r="C58" s="45"/>
      <c r="D58" s="45"/>
      <c r="E58" s="45"/>
      <c r="F58" s="45"/>
      <c r="G58" s="45"/>
      <c r="H58" s="45"/>
      <c r="I58" s="45"/>
      <c r="J58" s="45"/>
    </row>
    <row r="59" spans="1:10" ht="18">
      <c r="A59" s="45"/>
      <c r="B59" s="45"/>
      <c r="C59" s="45"/>
      <c r="D59" s="45"/>
      <c r="E59" s="45"/>
      <c r="F59" s="45"/>
      <c r="G59" s="45"/>
      <c r="H59" s="45"/>
      <c r="I59" s="45"/>
      <c r="J59" s="45"/>
    </row>
    <row r="60" spans="1:10" ht="18">
      <c r="A60" s="45"/>
      <c r="B60" s="45"/>
      <c r="C60" s="45"/>
      <c r="D60" s="45"/>
      <c r="E60" s="45"/>
      <c r="F60" s="45"/>
      <c r="G60" s="45"/>
      <c r="H60" s="45"/>
      <c r="I60" s="45"/>
      <c r="J60" s="45"/>
    </row>
    <row r="61" spans="1:10" ht="18">
      <c r="A61" s="45"/>
      <c r="B61" s="45"/>
      <c r="C61" s="45"/>
      <c r="D61" s="45"/>
      <c r="E61" s="45"/>
      <c r="F61" s="45"/>
      <c r="G61" s="45"/>
      <c r="H61" s="45"/>
      <c r="I61" s="45"/>
      <c r="J61" s="45"/>
    </row>
    <row r="62" spans="1:10" ht="18">
      <c r="A62" s="45"/>
      <c r="B62" s="45"/>
      <c r="C62" s="45"/>
      <c r="D62" s="45"/>
      <c r="E62" s="45"/>
      <c r="F62" s="45"/>
      <c r="G62" s="45"/>
      <c r="H62" s="45"/>
      <c r="I62" s="45"/>
      <c r="J62" s="45"/>
    </row>
    <row r="63" spans="1:10" ht="18">
      <c r="A63" s="45"/>
      <c r="B63" s="45"/>
      <c r="C63" s="45"/>
      <c r="D63" s="45"/>
      <c r="E63" s="45"/>
      <c r="F63" s="45"/>
      <c r="G63" s="45"/>
      <c r="H63" s="45"/>
      <c r="I63" s="45"/>
      <c r="J63" s="45"/>
    </row>
    <row r="64" spans="1:10" ht="18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spans="1:10" ht="18">
      <c r="A65" s="45"/>
      <c r="B65" s="45"/>
      <c r="C65" s="45"/>
      <c r="D65" s="45"/>
      <c r="E65" s="45"/>
      <c r="F65" s="45"/>
      <c r="G65" s="45"/>
      <c r="H65" s="45"/>
      <c r="I65" s="45"/>
      <c r="J65" s="45"/>
    </row>
    <row r="66" spans="1:10" ht="18">
      <c r="A66" s="45"/>
      <c r="B66" s="45"/>
      <c r="C66" s="45"/>
      <c r="D66" s="45"/>
      <c r="E66" s="45"/>
      <c r="F66" s="45"/>
      <c r="G66" s="45"/>
      <c r="H66" s="45"/>
      <c r="I66" s="45"/>
      <c r="J66" s="45"/>
    </row>
    <row r="67" spans="1:10" ht="18">
      <c r="A67" s="45"/>
      <c r="B67" s="45"/>
      <c r="C67" s="45"/>
      <c r="D67" s="45"/>
      <c r="E67" s="45"/>
      <c r="F67" s="45"/>
      <c r="G67" s="45"/>
      <c r="H67" s="45"/>
      <c r="I67" s="45"/>
      <c r="J67" s="45"/>
    </row>
    <row r="68" spans="1:10" ht="18">
      <c r="A68" s="45"/>
      <c r="B68" s="45"/>
      <c r="C68" s="45"/>
      <c r="D68" s="45"/>
      <c r="E68" s="45"/>
      <c r="F68" s="45"/>
      <c r="G68" s="45"/>
      <c r="H68" s="45"/>
      <c r="I68" s="45"/>
      <c r="J68" s="45"/>
    </row>
    <row r="69" spans="1:10" ht="18">
      <c r="A69" s="45"/>
      <c r="B69" s="45"/>
      <c r="C69" s="45"/>
      <c r="D69" s="45"/>
      <c r="E69" s="45"/>
      <c r="F69" s="45"/>
      <c r="G69" s="45"/>
      <c r="H69" s="45"/>
      <c r="I69" s="45"/>
      <c r="J69" s="45"/>
    </row>
    <row r="70" spans="1:10" ht="18">
      <c r="A70" s="45"/>
      <c r="B70" s="45"/>
      <c r="C70" s="45"/>
      <c r="D70" s="45"/>
      <c r="E70" s="45"/>
      <c r="F70" s="45"/>
      <c r="G70" s="45"/>
      <c r="H70" s="45"/>
      <c r="I70" s="45"/>
      <c r="J70" s="45"/>
    </row>
    <row r="71" spans="1:10" ht="18">
      <c r="A71" s="45"/>
      <c r="B71" s="45"/>
      <c r="C71" s="45"/>
      <c r="D71" s="45"/>
      <c r="E71" s="45"/>
      <c r="F71" s="45"/>
      <c r="G71" s="45"/>
      <c r="H71" s="45"/>
      <c r="I71" s="45"/>
      <c r="J71" s="45"/>
    </row>
    <row r="72" spans="1:10" ht="18">
      <c r="A72" s="45"/>
      <c r="B72" s="45"/>
      <c r="C72" s="45"/>
      <c r="D72" s="45"/>
      <c r="E72" s="45"/>
      <c r="F72" s="45"/>
      <c r="G72" s="45"/>
      <c r="H72" s="45"/>
      <c r="I72" s="45"/>
      <c r="J72" s="45"/>
    </row>
    <row r="73" spans="1:10" ht="18">
      <c r="A73" s="45"/>
      <c r="B73" s="45"/>
      <c r="C73" s="45"/>
      <c r="D73" s="45"/>
      <c r="E73" s="45"/>
      <c r="F73" s="45"/>
      <c r="G73" s="45"/>
      <c r="H73" s="45"/>
      <c r="I73" s="45"/>
      <c r="J73" s="45"/>
    </row>
    <row r="74" spans="1:10" ht="18">
      <c r="A74" s="45"/>
      <c r="B74" s="45"/>
      <c r="C74" s="45"/>
      <c r="D74" s="45"/>
      <c r="E74" s="45"/>
      <c r="F74" s="45"/>
      <c r="G74" s="45"/>
      <c r="H74" s="45"/>
      <c r="I74" s="45"/>
      <c r="J74" s="45"/>
    </row>
    <row r="75" spans="1:10" ht="18">
      <c r="A75" s="45"/>
      <c r="B75" s="45"/>
      <c r="C75" s="45"/>
      <c r="D75" s="45"/>
      <c r="E75" s="45"/>
      <c r="F75" s="45"/>
      <c r="G75" s="45"/>
      <c r="H75" s="45"/>
      <c r="I75" s="45"/>
      <c r="J75" s="45"/>
    </row>
    <row r="76" spans="1:10" ht="18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spans="1:10" ht="18">
      <c r="A77" s="45"/>
      <c r="B77" s="45"/>
      <c r="C77" s="45"/>
      <c r="D77" s="45"/>
      <c r="E77" s="45"/>
      <c r="F77" s="45"/>
      <c r="G77" s="45"/>
      <c r="H77" s="45"/>
      <c r="I77" s="45"/>
      <c r="J77" s="45"/>
    </row>
    <row r="78" spans="1:10" ht="18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spans="1:10" ht="18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spans="1:10" ht="18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spans="1:10" ht="18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spans="1:10" ht="18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spans="1:10" ht="18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spans="1:10" ht="18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spans="1:10" ht="18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spans="1:10" ht="18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spans="1:10" ht="18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10" ht="18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spans="1:10" ht="18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spans="1:10" ht="18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spans="1:10" ht="18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spans="1:10" ht="18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spans="1:10" ht="18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spans="1:10" ht="18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spans="1:10" ht="18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8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spans="1:10" ht="18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8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spans="1:10" ht="18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spans="1:10" ht="18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ht="18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spans="1:10" ht="18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ht="18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ht="18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spans="1:10" ht="18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ht="18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spans="1:10" ht="18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spans="1:10" ht="18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spans="1:10" ht="18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 ht="18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 ht="18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ht="18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0" ht="18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spans="1:10" ht="18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spans="1:10" ht="18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ht="18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spans="1:10" ht="18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spans="1:10" ht="18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spans="1:10" ht="18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spans="1:10" ht="18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spans="1:10" ht="18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0" ht="18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spans="1:10" ht="18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spans="1:10" ht="18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spans="1:10" ht="18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spans="1:10" ht="18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0" ht="18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spans="1:10" ht="18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spans="1:10" ht="18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spans="1:10" ht="18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spans="1:10" ht="18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spans="1:10" ht="18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spans="1:10" ht="18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spans="1:10" ht="18">
      <c r="A134" s="45"/>
      <c r="B134" s="45"/>
      <c r="C134" s="45"/>
      <c r="D134" s="45"/>
      <c r="E134" s="45"/>
      <c r="F134" s="45"/>
      <c r="G134" s="45"/>
      <c r="H134" s="45"/>
      <c r="I134" s="45"/>
      <c r="J134" s="45"/>
    </row>
    <row r="135" spans="1:10" ht="18">
      <c r="A135" s="45"/>
      <c r="B135" s="45"/>
      <c r="C135" s="45"/>
      <c r="D135" s="45"/>
      <c r="E135" s="45"/>
      <c r="F135" s="45"/>
      <c r="G135" s="45"/>
      <c r="H135" s="45"/>
      <c r="I135" s="45"/>
      <c r="J135" s="45"/>
    </row>
    <row r="136" spans="1:10" ht="18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7" spans="1:10" ht="18">
      <c r="A137" s="45"/>
      <c r="B137" s="45"/>
      <c r="C137" s="45"/>
      <c r="D137" s="45"/>
      <c r="E137" s="45"/>
      <c r="F137" s="45"/>
      <c r="G137" s="45"/>
      <c r="H137" s="45"/>
      <c r="I137" s="45"/>
      <c r="J137" s="45"/>
    </row>
    <row r="138" spans="1:10" ht="18">
      <c r="A138" s="45"/>
      <c r="B138" s="45"/>
      <c r="C138" s="45"/>
      <c r="D138" s="45"/>
      <c r="E138" s="45"/>
      <c r="F138" s="45"/>
      <c r="G138" s="45"/>
      <c r="H138" s="45"/>
      <c r="I138" s="45"/>
      <c r="J138" s="45"/>
    </row>
    <row r="139" spans="1:10" ht="18">
      <c r="A139" s="45"/>
      <c r="B139" s="45"/>
      <c r="C139" s="45"/>
      <c r="D139" s="45"/>
      <c r="E139" s="45"/>
      <c r="F139" s="45"/>
      <c r="G139" s="45"/>
      <c r="H139" s="45"/>
      <c r="I139" s="45"/>
      <c r="J139" s="45"/>
    </row>
    <row r="140" spans="1:10" ht="18">
      <c r="A140" s="45"/>
      <c r="B140" s="45"/>
      <c r="C140" s="45"/>
      <c r="D140" s="45"/>
      <c r="E140" s="45"/>
      <c r="F140" s="45"/>
      <c r="G140" s="45"/>
      <c r="H140" s="45"/>
      <c r="I140" s="45"/>
      <c r="J140" s="45"/>
    </row>
    <row r="141" spans="1:10" ht="18">
      <c r="A141" s="45"/>
      <c r="B141" s="45"/>
      <c r="C141" s="45"/>
      <c r="D141" s="45"/>
      <c r="E141" s="45"/>
      <c r="F141" s="45"/>
      <c r="G141" s="45"/>
      <c r="H141" s="45"/>
      <c r="I141" s="45"/>
      <c r="J141" s="45"/>
    </row>
    <row r="142" spans="1:10" ht="18">
      <c r="A142" s="45"/>
      <c r="B142" s="45"/>
      <c r="C142" s="45"/>
      <c r="D142" s="45"/>
      <c r="E142" s="45"/>
      <c r="F142" s="45"/>
      <c r="G142" s="45"/>
      <c r="H142" s="45"/>
      <c r="I142" s="45"/>
      <c r="J142" s="45"/>
    </row>
    <row r="143" spans="1:10" ht="18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10" ht="18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spans="1:10" ht="18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0" ht="18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spans="1:10" ht="18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0" ht="18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spans="1:10" ht="18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spans="1:10" ht="18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spans="1:10" ht="18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spans="1:10" ht="18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  <row r="153" spans="1:10" ht="18">
      <c r="A153" s="45"/>
      <c r="B153" s="45"/>
      <c r="C153" s="45"/>
      <c r="D153" s="45"/>
      <c r="E153" s="45"/>
      <c r="F153" s="45"/>
      <c r="G153" s="45"/>
      <c r="H153" s="45"/>
      <c r="I153" s="45"/>
      <c r="J153" s="45"/>
    </row>
    <row r="154" spans="1:10" ht="18">
      <c r="A154" s="45"/>
      <c r="B154" s="45"/>
      <c r="C154" s="45"/>
      <c r="D154" s="45"/>
      <c r="E154" s="45"/>
      <c r="F154" s="45"/>
      <c r="G154" s="45"/>
      <c r="H154" s="45"/>
      <c r="I154" s="45"/>
      <c r="J154" s="45"/>
    </row>
    <row r="155" spans="1:10" ht="18">
      <c r="A155" s="45"/>
      <c r="B155" s="45"/>
      <c r="C155" s="45"/>
      <c r="D155" s="45"/>
      <c r="E155" s="45"/>
      <c r="F155" s="45"/>
      <c r="G155" s="45"/>
      <c r="H155" s="45"/>
      <c r="I155" s="45"/>
      <c r="J155" s="45"/>
    </row>
    <row r="156" spans="1:10" ht="18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spans="1:10" ht="18">
      <c r="A157" s="45"/>
      <c r="B157" s="45"/>
      <c r="C157" s="45"/>
      <c r="D157" s="45"/>
      <c r="E157" s="45"/>
      <c r="F157" s="45"/>
      <c r="G157" s="45"/>
      <c r="H157" s="45"/>
      <c r="I157" s="45"/>
      <c r="J157" s="45"/>
    </row>
    <row r="158" spans="1:10" ht="18">
      <c r="A158" s="45"/>
      <c r="B158" s="45"/>
      <c r="C158" s="45"/>
      <c r="D158" s="45"/>
      <c r="E158" s="45"/>
      <c r="F158" s="45"/>
      <c r="G158" s="45"/>
      <c r="H158" s="45"/>
      <c r="I158" s="45"/>
      <c r="J158" s="45"/>
    </row>
    <row r="159" spans="1:10" ht="18">
      <c r="A159" s="45"/>
      <c r="B159" s="45"/>
      <c r="C159" s="45"/>
      <c r="D159" s="45"/>
      <c r="E159" s="45"/>
      <c r="F159" s="45"/>
      <c r="G159" s="45"/>
      <c r="H159" s="45"/>
      <c r="I159" s="45"/>
      <c r="J159" s="45"/>
    </row>
    <row r="160" spans="1:10" ht="18">
      <c r="A160" s="45"/>
      <c r="B160" s="45"/>
      <c r="C160" s="45"/>
      <c r="D160" s="45"/>
      <c r="E160" s="45"/>
      <c r="F160" s="45"/>
      <c r="G160" s="45"/>
      <c r="H160" s="45"/>
      <c r="I160" s="45"/>
      <c r="J160" s="45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796875" defaultRowHeight="20.149999999999999" customHeight="1"/>
  <cols>
    <col min="1" max="1" width="5.453125" style="1" customWidth="1"/>
    <col min="2" max="2" width="42.81640625" style="1" customWidth="1"/>
    <col min="3" max="3" width="38" style="1" customWidth="1"/>
    <col min="4" max="4" width="12.453125" style="1" customWidth="1"/>
    <col min="5" max="5" width="21.81640625" style="1" customWidth="1"/>
    <col min="6" max="6" width="21.7265625" style="1" customWidth="1"/>
    <col min="7" max="16384" width="9.1796875" style="1"/>
  </cols>
  <sheetData>
    <row r="1" spans="1:6" ht="27" customHeight="1">
      <c r="A1" s="217" t="s">
        <v>0</v>
      </c>
      <c r="B1" s="217"/>
      <c r="C1" s="217"/>
      <c r="D1" s="217"/>
      <c r="E1" s="238"/>
    </row>
    <row r="2" spans="1:6" ht="33.75" customHeight="1">
      <c r="A2" s="217" t="s">
        <v>1105</v>
      </c>
      <c r="B2" s="63"/>
      <c r="C2" s="62"/>
      <c r="D2" s="62"/>
      <c r="E2" s="64"/>
    </row>
    <row r="3" spans="1:6" ht="9.75" customHeight="1">
      <c r="A3" s="2"/>
      <c r="B3" s="2"/>
      <c r="C3" s="2"/>
      <c r="D3" s="2"/>
    </row>
    <row r="4" spans="1:6" ht="49.5" customHeight="1">
      <c r="A4" s="218"/>
      <c r="B4" s="219" t="s">
        <v>2</v>
      </c>
      <c r="C4" s="220" t="s">
        <v>3</v>
      </c>
      <c r="D4" s="221" t="s">
        <v>4</v>
      </c>
      <c r="E4" s="222" t="s">
        <v>134</v>
      </c>
    </row>
    <row r="5" spans="1:6" ht="17.25" customHeight="1">
      <c r="C5" s="7"/>
      <c r="D5" s="7"/>
      <c r="E5" s="211" t="s">
        <v>20</v>
      </c>
    </row>
    <row r="6" spans="1:6" ht="20.149999999999999" customHeight="1">
      <c r="A6" s="8" t="s">
        <v>21</v>
      </c>
      <c r="B6" s="7" t="s">
        <v>22</v>
      </c>
      <c r="C6" s="7"/>
      <c r="D6" s="7"/>
      <c r="E6" s="211"/>
    </row>
    <row r="7" spans="1: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223">
        <v>450000</v>
      </c>
      <c r="F7" s="12"/>
    </row>
    <row r="8" spans="1:6" ht="20.149999999999999" customHeight="1">
      <c r="A8" s="9">
        <v>2</v>
      </c>
      <c r="B8" s="10" t="s">
        <v>1016</v>
      </c>
      <c r="C8" s="3" t="s">
        <v>1106</v>
      </c>
      <c r="D8" s="9" t="s">
        <v>231</v>
      </c>
      <c r="E8" s="223">
        <v>150000</v>
      </c>
      <c r="F8" s="12"/>
    </row>
    <row r="9" spans="1:6" ht="20.149999999999999" customHeight="1">
      <c r="A9" s="9">
        <v>3</v>
      </c>
      <c r="B9" s="13" t="s">
        <v>1107</v>
      </c>
      <c r="C9" s="3" t="s">
        <v>1108</v>
      </c>
      <c r="D9" s="9" t="s">
        <v>231</v>
      </c>
      <c r="E9" s="223">
        <v>150000</v>
      </c>
      <c r="F9" s="12"/>
    </row>
    <row r="10" spans="1:6" ht="20.149999999999999" customHeight="1">
      <c r="A10" s="9">
        <v>4</v>
      </c>
      <c r="B10" s="10" t="s">
        <v>239</v>
      </c>
      <c r="C10" s="11" t="s">
        <v>240</v>
      </c>
      <c r="D10" s="9" t="s">
        <v>234</v>
      </c>
      <c r="E10" s="223">
        <v>150000</v>
      </c>
      <c r="F10" s="12"/>
    </row>
    <row r="11" spans="1:6" ht="20.149999999999999" customHeight="1">
      <c r="A11" s="9">
        <v>5</v>
      </c>
      <c r="B11" s="13" t="s">
        <v>241</v>
      </c>
      <c r="C11" s="3" t="s">
        <v>242</v>
      </c>
      <c r="D11" s="14" t="s">
        <v>308</v>
      </c>
      <c r="E11" s="223">
        <v>150000</v>
      </c>
      <c r="F11" s="12"/>
    </row>
    <row r="12" spans="1:6" ht="20.149999999999999" customHeight="1">
      <c r="A12" s="9">
        <v>6</v>
      </c>
      <c r="B12" s="13" t="s">
        <v>363</v>
      </c>
      <c r="C12" s="3" t="s">
        <v>1018</v>
      </c>
      <c r="D12" s="15" t="s">
        <v>308</v>
      </c>
      <c r="E12" s="223">
        <v>150000</v>
      </c>
      <c r="F12" s="12"/>
    </row>
    <row r="13" spans="1:6" ht="20.149999999999999" customHeight="1">
      <c r="A13" s="9">
        <v>7</v>
      </c>
      <c r="B13" s="10" t="s">
        <v>243</v>
      </c>
      <c r="C13" s="16" t="s">
        <v>244</v>
      </c>
      <c r="D13" s="15" t="s">
        <v>308</v>
      </c>
      <c r="E13" s="223">
        <v>150000</v>
      </c>
      <c r="F13" s="12"/>
    </row>
    <row r="14" spans="1:6" ht="20.149999999999999" customHeight="1">
      <c r="A14" s="9">
        <v>8</v>
      </c>
      <c r="B14" s="13" t="s">
        <v>245</v>
      </c>
      <c r="C14" s="3" t="s">
        <v>246</v>
      </c>
      <c r="D14" s="15" t="s">
        <v>308</v>
      </c>
      <c r="E14" s="223">
        <v>150000</v>
      </c>
      <c r="F14" s="12"/>
    </row>
    <row r="15" spans="1:6" ht="20.149999999999999" customHeight="1">
      <c r="A15" s="9">
        <v>9</v>
      </c>
      <c r="B15" s="10" t="s">
        <v>247</v>
      </c>
      <c r="C15" s="11" t="s">
        <v>248</v>
      </c>
      <c r="D15" s="14" t="s">
        <v>249</v>
      </c>
      <c r="E15" s="223">
        <v>105000</v>
      </c>
      <c r="F15" s="12"/>
    </row>
    <row r="16" spans="1:6" ht="20.149999999999999" customHeight="1">
      <c r="A16" s="9">
        <v>10</v>
      </c>
      <c r="B16" s="17" t="s">
        <v>223</v>
      </c>
      <c r="C16" s="11" t="s">
        <v>224</v>
      </c>
      <c r="D16" s="9" t="s">
        <v>222</v>
      </c>
      <c r="E16" s="223">
        <v>105000</v>
      </c>
      <c r="F16" s="12"/>
    </row>
    <row r="17" spans="1:6" ht="20.149999999999999" customHeight="1">
      <c r="A17" s="9">
        <v>11</v>
      </c>
      <c r="B17" s="18" t="s">
        <v>1109</v>
      </c>
      <c r="C17" s="3" t="s">
        <v>1110</v>
      </c>
      <c r="D17" s="15" t="s">
        <v>257</v>
      </c>
      <c r="E17" s="223">
        <v>75000</v>
      </c>
      <c r="F17" s="12"/>
    </row>
    <row r="18" spans="1:6" ht="19.5" customHeight="1">
      <c r="A18" s="9">
        <v>12</v>
      </c>
      <c r="B18" s="13" t="s">
        <v>1019</v>
      </c>
      <c r="C18" s="3" t="s">
        <v>253</v>
      </c>
      <c r="D18" s="9" t="s">
        <v>257</v>
      </c>
      <c r="E18" s="223">
        <v>75000</v>
      </c>
      <c r="F18" s="12"/>
    </row>
    <row r="19" spans="1:6" ht="19.5" customHeight="1">
      <c r="A19" s="9">
        <v>13</v>
      </c>
      <c r="B19" s="13" t="s">
        <v>1111</v>
      </c>
      <c r="C19" s="3" t="s">
        <v>1112</v>
      </c>
      <c r="D19" s="9" t="s">
        <v>257</v>
      </c>
      <c r="E19" s="223">
        <v>75000</v>
      </c>
      <c r="F19" s="12"/>
    </row>
    <row r="20" spans="1:6" ht="20.149999999999999" customHeight="1">
      <c r="A20" s="9">
        <v>14</v>
      </c>
      <c r="B20" s="10" t="s">
        <v>252</v>
      </c>
      <c r="C20" s="3" t="s">
        <v>253</v>
      </c>
      <c r="D20" s="14" t="s">
        <v>257</v>
      </c>
      <c r="E20" s="223">
        <v>75000</v>
      </c>
      <c r="F20" s="12"/>
    </row>
    <row r="21" spans="1:6" ht="20.149999999999999" customHeight="1">
      <c r="A21" s="9">
        <v>15</v>
      </c>
      <c r="B21" s="10" t="s">
        <v>264</v>
      </c>
      <c r="C21" s="11" t="s">
        <v>265</v>
      </c>
      <c r="D21" s="14" t="s">
        <v>950</v>
      </c>
      <c r="E21" s="223">
        <v>75000</v>
      </c>
      <c r="F21" s="12"/>
    </row>
    <row r="22" spans="1:6" ht="20.149999999999999" customHeight="1">
      <c r="A22" s="9">
        <v>16</v>
      </c>
      <c r="B22" s="17" t="s">
        <v>267</v>
      </c>
      <c r="C22" s="3" t="s">
        <v>268</v>
      </c>
      <c r="D22" s="14" t="s">
        <v>951</v>
      </c>
      <c r="E22" s="223">
        <v>75000</v>
      </c>
      <c r="F22" s="12"/>
    </row>
    <row r="23" spans="1:6" ht="20.149999999999999" customHeight="1">
      <c r="A23" s="9">
        <v>17</v>
      </c>
      <c r="B23" s="10" t="s">
        <v>389</v>
      </c>
      <c r="C23" s="11" t="s">
        <v>390</v>
      </c>
      <c r="D23" s="14" t="s">
        <v>271</v>
      </c>
      <c r="E23" s="223">
        <v>45000</v>
      </c>
      <c r="F23" s="12"/>
    </row>
    <row r="24" spans="1:6" ht="18.75" customHeight="1">
      <c r="A24" s="9">
        <v>18</v>
      </c>
      <c r="B24" s="10" t="s">
        <v>270</v>
      </c>
      <c r="C24" s="11" t="s">
        <v>50</v>
      </c>
      <c r="D24" s="14" t="s">
        <v>332</v>
      </c>
      <c r="E24" s="223">
        <v>45000</v>
      </c>
      <c r="F24" s="12"/>
    </row>
    <row r="25" spans="1:6" ht="18.75" customHeight="1">
      <c r="A25" s="9">
        <v>19</v>
      </c>
      <c r="B25" s="10" t="s">
        <v>387</v>
      </c>
      <c r="C25" s="3" t="s">
        <v>388</v>
      </c>
      <c r="D25" s="14" t="s">
        <v>332</v>
      </c>
      <c r="E25" s="223">
        <v>45000</v>
      </c>
      <c r="F25" s="12"/>
    </row>
    <row r="26" spans="1:6" ht="18.75" customHeight="1">
      <c r="A26" s="9">
        <v>20</v>
      </c>
      <c r="B26" s="17" t="s">
        <v>1113</v>
      </c>
      <c r="C26" s="11" t="s">
        <v>293</v>
      </c>
      <c r="D26" s="14" t="s">
        <v>345</v>
      </c>
      <c r="E26" s="223">
        <v>45000</v>
      </c>
      <c r="F26" s="12"/>
    </row>
    <row r="27" spans="1:6" ht="18.75" customHeight="1">
      <c r="A27" s="9">
        <v>21</v>
      </c>
      <c r="B27" s="3" t="s">
        <v>278</v>
      </c>
      <c r="C27" s="3" t="s">
        <v>176</v>
      </c>
      <c r="D27" s="9" t="s">
        <v>283</v>
      </c>
      <c r="E27" s="223">
        <v>45000</v>
      </c>
      <c r="F27" s="12"/>
    </row>
    <row r="28" spans="1:6" ht="18.75" customHeight="1">
      <c r="A28" s="9">
        <v>22</v>
      </c>
      <c r="B28" s="17" t="s">
        <v>280</v>
      </c>
      <c r="C28" s="11" t="s">
        <v>176</v>
      </c>
      <c r="D28" s="14" t="s">
        <v>283</v>
      </c>
      <c r="E28" s="223">
        <v>45000</v>
      </c>
      <c r="F28" s="12"/>
    </row>
    <row r="29" spans="1:6" ht="18.75" customHeight="1">
      <c r="A29" s="9">
        <v>23</v>
      </c>
      <c r="B29" s="10" t="s">
        <v>1020</v>
      </c>
      <c r="C29" s="11" t="s">
        <v>1021</v>
      </c>
      <c r="D29" s="14" t="s">
        <v>283</v>
      </c>
      <c r="E29" s="223">
        <v>45000</v>
      </c>
      <c r="F29" s="12"/>
    </row>
    <row r="30" spans="1:6" ht="18.75" customHeight="1">
      <c r="A30" s="9">
        <v>24</v>
      </c>
      <c r="B30" s="17" t="s">
        <v>282</v>
      </c>
      <c r="C30" s="11" t="s">
        <v>967</v>
      </c>
      <c r="D30" s="14" t="s">
        <v>945</v>
      </c>
      <c r="E30" s="223">
        <v>45000</v>
      </c>
      <c r="F30" s="12"/>
    </row>
    <row r="31" spans="1:6" ht="18.75" customHeight="1">
      <c r="A31" s="9">
        <v>25</v>
      </c>
      <c r="B31" s="17" t="s">
        <v>284</v>
      </c>
      <c r="C31" s="3" t="s">
        <v>1022</v>
      </c>
      <c r="D31" s="9" t="s">
        <v>945</v>
      </c>
      <c r="E31" s="223">
        <v>45000</v>
      </c>
      <c r="F31" s="12"/>
    </row>
    <row r="32" spans="1:6" ht="18.75" customHeight="1">
      <c r="A32" s="9">
        <v>26</v>
      </c>
      <c r="B32" s="17" t="s">
        <v>287</v>
      </c>
      <c r="C32" s="16" t="s">
        <v>288</v>
      </c>
      <c r="D32" s="14" t="s">
        <v>283</v>
      </c>
      <c r="E32" s="223">
        <v>45000</v>
      </c>
      <c r="F32" s="12"/>
    </row>
    <row r="33" spans="1:6" ht="18.75" customHeight="1">
      <c r="A33" s="9">
        <v>27</v>
      </c>
      <c r="B33" s="17" t="s">
        <v>289</v>
      </c>
      <c r="C33" s="3" t="s">
        <v>290</v>
      </c>
      <c r="D33" s="9" t="s">
        <v>294</v>
      </c>
      <c r="E33" s="223">
        <v>45000</v>
      </c>
      <c r="F33" s="12"/>
    </row>
    <row r="34" spans="1:6" ht="18.75" customHeight="1">
      <c r="A34" s="9">
        <v>28</v>
      </c>
      <c r="B34" s="17" t="s">
        <v>933</v>
      </c>
      <c r="C34" s="11" t="s">
        <v>293</v>
      </c>
      <c r="D34" s="14" t="s">
        <v>294</v>
      </c>
      <c r="E34" s="223">
        <v>45000</v>
      </c>
      <c r="F34" s="12"/>
    </row>
    <row r="35" spans="1:6" ht="18.75" customHeight="1">
      <c r="A35" s="9">
        <v>29</v>
      </c>
      <c r="B35" s="17" t="s">
        <v>1114</v>
      </c>
      <c r="C35" s="11" t="s">
        <v>293</v>
      </c>
      <c r="D35" s="14" t="s">
        <v>294</v>
      </c>
      <c r="E35" s="223">
        <v>45000</v>
      </c>
      <c r="F35" s="12"/>
    </row>
    <row r="36" spans="1:6" ht="18.75" customHeight="1">
      <c r="A36" s="9">
        <v>30</v>
      </c>
      <c r="B36" s="17" t="s">
        <v>405</v>
      </c>
      <c r="C36" s="11" t="s">
        <v>69</v>
      </c>
      <c r="D36" s="14" t="s">
        <v>31</v>
      </c>
      <c r="E36" s="223">
        <v>45000</v>
      </c>
      <c r="F36" s="12"/>
    </row>
    <row r="37" spans="1:6" ht="26.25" customHeight="1">
      <c r="A37" s="9"/>
      <c r="B37" s="19" t="s">
        <v>34</v>
      </c>
      <c r="C37" s="20">
        <v>30</v>
      </c>
      <c r="D37" s="14"/>
      <c r="E37" s="224">
        <f>SUM(E7:E36)</f>
        <v>2790000</v>
      </c>
      <c r="F37" s="12"/>
    </row>
    <row r="38" spans="1:6" ht="18.75" customHeight="1">
      <c r="A38" s="9"/>
      <c r="B38" s="21"/>
      <c r="C38" s="3"/>
      <c r="D38" s="14"/>
      <c r="E38" s="225"/>
      <c r="F38" s="12"/>
    </row>
    <row r="39" spans="1:6" ht="18.75" customHeight="1">
      <c r="A39" s="9"/>
      <c r="B39" s="19" t="s">
        <v>35</v>
      </c>
      <c r="C39" s="3"/>
      <c r="D39" s="14"/>
      <c r="E39" s="223"/>
      <c r="F39" s="12"/>
    </row>
    <row r="40" spans="1:6" ht="18.75" customHeight="1">
      <c r="A40" s="9">
        <v>1</v>
      </c>
      <c r="B40" s="17" t="s">
        <v>295</v>
      </c>
      <c r="C40" s="3" t="s">
        <v>296</v>
      </c>
      <c r="D40" s="9" t="s">
        <v>297</v>
      </c>
      <c r="E40" s="223">
        <v>225000</v>
      </c>
      <c r="F40" s="12"/>
    </row>
    <row r="41" spans="1:6" ht="18.75" customHeight="1">
      <c r="A41" s="9">
        <v>2</v>
      </c>
      <c r="B41" s="17" t="s">
        <v>298</v>
      </c>
      <c r="C41" s="3" t="s">
        <v>537</v>
      </c>
      <c r="D41" s="9" t="s">
        <v>31</v>
      </c>
      <c r="E41" s="223">
        <v>45000</v>
      </c>
      <c r="F41" s="12"/>
    </row>
    <row r="42" spans="1:6" ht="19.5" customHeight="1">
      <c r="A42" s="9"/>
      <c r="B42" s="13"/>
      <c r="C42" s="20">
        <v>2</v>
      </c>
      <c r="D42" s="9"/>
      <c r="E42" s="224">
        <f>SUM(E40:E41)</f>
        <v>270000</v>
      </c>
      <c r="F42" s="12"/>
    </row>
    <row r="43" spans="1:6" ht="20.149999999999999" customHeight="1">
      <c r="A43" s="9"/>
      <c r="B43" s="13"/>
      <c r="C43" s="3"/>
      <c r="D43" s="9"/>
      <c r="E43" s="223"/>
      <c r="F43" s="12"/>
    </row>
    <row r="44" spans="1:6" ht="20.149999999999999" customHeight="1">
      <c r="A44" s="9"/>
      <c r="B44" s="22" t="s">
        <v>39</v>
      </c>
      <c r="C44" s="4"/>
      <c r="D44" s="23"/>
      <c r="E44" s="223"/>
      <c r="F44" s="12"/>
    </row>
    <row r="45" spans="1:6" ht="20.149999999999999" customHeight="1">
      <c r="A45" s="9">
        <v>1</v>
      </c>
      <c r="B45" s="10" t="s">
        <v>302</v>
      </c>
      <c r="C45" s="3" t="s">
        <v>303</v>
      </c>
      <c r="D45" s="9" t="s">
        <v>297</v>
      </c>
      <c r="E45" s="223">
        <v>225000</v>
      </c>
      <c r="F45" s="12"/>
    </row>
    <row r="46" spans="1:6" ht="20.149999999999999" customHeight="1">
      <c r="A46" s="9">
        <v>2</v>
      </c>
      <c r="B46" s="10" t="s">
        <v>304</v>
      </c>
      <c r="C46" s="3" t="s">
        <v>305</v>
      </c>
      <c r="D46" s="9" t="s">
        <v>249</v>
      </c>
      <c r="E46" s="223">
        <v>105000</v>
      </c>
      <c r="F46" s="12"/>
    </row>
    <row r="47" spans="1:6" ht="20.149999999999999" customHeight="1">
      <c r="A47" s="9">
        <v>3</v>
      </c>
      <c r="B47" s="10" t="s">
        <v>306</v>
      </c>
      <c r="C47" s="3" t="s">
        <v>310</v>
      </c>
      <c r="D47" s="9" t="s">
        <v>249</v>
      </c>
      <c r="E47" s="223">
        <v>105000</v>
      </c>
      <c r="F47" s="12"/>
    </row>
    <row r="48" spans="1:6" ht="20.149999999999999" customHeight="1">
      <c r="A48" s="9">
        <v>4</v>
      </c>
      <c r="B48" s="10" t="s">
        <v>309</v>
      </c>
      <c r="C48" s="3" t="s">
        <v>310</v>
      </c>
      <c r="D48" s="9" t="s">
        <v>249</v>
      </c>
      <c r="E48" s="223">
        <v>105000</v>
      </c>
      <c r="F48" s="12"/>
    </row>
    <row r="49" spans="1:6" ht="20.149999999999999" customHeight="1">
      <c r="A49" s="9">
        <v>5</v>
      </c>
      <c r="B49" s="10" t="s">
        <v>311</v>
      </c>
      <c r="C49" s="3" t="s">
        <v>310</v>
      </c>
      <c r="D49" s="9" t="s">
        <v>327</v>
      </c>
      <c r="E49" s="223">
        <v>105000</v>
      </c>
      <c r="F49" s="12"/>
    </row>
    <row r="50" spans="1:6" ht="20.149999999999999" customHeight="1">
      <c r="A50" s="9">
        <v>6</v>
      </c>
      <c r="B50" s="10" t="s">
        <v>312</v>
      </c>
      <c r="C50" s="3" t="s">
        <v>259</v>
      </c>
      <c r="D50" s="9" t="s">
        <v>257</v>
      </c>
      <c r="E50" s="223">
        <v>75000</v>
      </c>
      <c r="F50" s="12"/>
    </row>
    <row r="51" spans="1:6" ht="20.149999999999999" customHeight="1">
      <c r="A51" s="9">
        <v>7</v>
      </c>
      <c r="B51" s="13" t="s">
        <v>313</v>
      </c>
      <c r="C51" s="3" t="s">
        <v>256</v>
      </c>
      <c r="D51" s="15" t="s">
        <v>257</v>
      </c>
      <c r="E51" s="223">
        <v>75000</v>
      </c>
      <c r="F51" s="12"/>
    </row>
    <row r="52" spans="1:6" ht="20.149999999999999" customHeight="1">
      <c r="A52" s="9">
        <v>8</v>
      </c>
      <c r="B52" s="10" t="s">
        <v>1025</v>
      </c>
      <c r="C52" s="3" t="s">
        <v>256</v>
      </c>
      <c r="D52" s="9" t="s">
        <v>342</v>
      </c>
      <c r="E52" s="223">
        <v>75000</v>
      </c>
      <c r="F52" s="12"/>
    </row>
    <row r="53" spans="1:6" ht="20.149999999999999" customHeight="1">
      <c r="A53" s="9">
        <v>9</v>
      </c>
      <c r="B53" s="10" t="s">
        <v>258</v>
      </c>
      <c r="C53" s="3" t="s">
        <v>353</v>
      </c>
      <c r="D53" s="9" t="s">
        <v>266</v>
      </c>
      <c r="E53" s="223">
        <v>75000</v>
      </c>
      <c r="F53" s="12"/>
    </row>
    <row r="54" spans="1:6" ht="20.149999999999999" customHeight="1">
      <c r="A54" s="9">
        <v>10</v>
      </c>
      <c r="B54" s="10" t="s">
        <v>315</v>
      </c>
      <c r="C54" s="3" t="s">
        <v>63</v>
      </c>
      <c r="D54" s="9" t="s">
        <v>25</v>
      </c>
      <c r="E54" s="223">
        <v>45000</v>
      </c>
      <c r="F54" s="12"/>
    </row>
    <row r="55" spans="1:6" ht="20.149999999999999" customHeight="1">
      <c r="A55" s="9">
        <v>11</v>
      </c>
      <c r="B55" s="10" t="s">
        <v>316</v>
      </c>
      <c r="C55" s="3" t="s">
        <v>63</v>
      </c>
      <c r="D55" s="9" t="s">
        <v>25</v>
      </c>
      <c r="E55" s="223">
        <v>45000</v>
      </c>
      <c r="F55" s="12"/>
    </row>
    <row r="56" spans="1:6" ht="20.149999999999999" customHeight="1">
      <c r="A56" s="9">
        <v>12</v>
      </c>
      <c r="B56" s="10" t="s">
        <v>317</v>
      </c>
      <c r="C56" s="3" t="s">
        <v>63</v>
      </c>
      <c r="D56" s="9" t="s">
        <v>25</v>
      </c>
      <c r="E56" s="223">
        <v>45000</v>
      </c>
      <c r="F56" s="12"/>
    </row>
    <row r="57" spans="1:6" ht="25.5" customHeight="1">
      <c r="A57" s="9"/>
      <c r="B57" s="19" t="s">
        <v>34</v>
      </c>
      <c r="C57" s="20">
        <v>12</v>
      </c>
      <c r="D57" s="20"/>
      <c r="E57" s="226">
        <f>SUM(E45:E56)</f>
        <v>1080000</v>
      </c>
      <c r="F57" s="12"/>
    </row>
    <row r="58" spans="1:6" ht="20.149999999999999" customHeight="1">
      <c r="A58" s="9"/>
      <c r="B58" s="21"/>
      <c r="C58" s="20"/>
      <c r="D58" s="20"/>
      <c r="E58" s="227"/>
      <c r="F58" s="12"/>
    </row>
    <row r="59" spans="1:6" ht="20.149999999999999" customHeight="1">
      <c r="A59" s="9"/>
      <c r="B59" s="19" t="s">
        <v>318</v>
      </c>
      <c r="C59" s="20"/>
      <c r="D59" s="20"/>
      <c r="E59" s="227"/>
      <c r="F59" s="12"/>
    </row>
    <row r="60" spans="1:6" ht="20.149999999999999" customHeight="1">
      <c r="A60" s="9">
        <v>1</v>
      </c>
      <c r="B60" s="10" t="s">
        <v>319</v>
      </c>
      <c r="C60" s="11" t="s">
        <v>320</v>
      </c>
      <c r="D60" s="14" t="s">
        <v>297</v>
      </c>
      <c r="E60" s="223">
        <v>225000</v>
      </c>
      <c r="F60" s="12"/>
    </row>
    <row r="61" spans="1:6" ht="20.149999999999999" customHeight="1">
      <c r="A61" s="9">
        <v>2</v>
      </c>
      <c r="B61" s="10" t="s">
        <v>321</v>
      </c>
      <c r="C61" s="11" t="s">
        <v>322</v>
      </c>
      <c r="D61" s="14" t="s">
        <v>222</v>
      </c>
      <c r="E61" s="223">
        <v>105000</v>
      </c>
      <c r="F61" s="12"/>
    </row>
    <row r="62" spans="1:6" ht="20.149999999999999" customHeight="1">
      <c r="A62" s="9"/>
      <c r="B62" s="19" t="s">
        <v>34</v>
      </c>
      <c r="C62" s="20">
        <v>2</v>
      </c>
      <c r="D62" s="20"/>
      <c r="E62" s="226">
        <f>SUM(E60:E61)</f>
        <v>330000</v>
      </c>
      <c r="F62" s="12"/>
    </row>
    <row r="63" spans="1:6" ht="20.149999999999999" customHeight="1">
      <c r="A63" s="9"/>
      <c r="B63" s="19"/>
      <c r="C63" s="20"/>
      <c r="D63" s="20"/>
      <c r="E63" s="227"/>
      <c r="F63" s="12"/>
    </row>
    <row r="64" spans="1:6" ht="20.149999999999999" customHeight="1">
      <c r="A64" s="9"/>
      <c r="B64" s="19" t="s">
        <v>45</v>
      </c>
      <c r="C64" s="20"/>
      <c r="D64" s="20"/>
      <c r="E64" s="227"/>
      <c r="F64" s="12"/>
    </row>
    <row r="65" spans="1:6" ht="20.149999999999999" customHeight="1">
      <c r="A65" s="9">
        <v>1</v>
      </c>
      <c r="B65" s="10" t="s">
        <v>323</v>
      </c>
      <c r="C65" s="16" t="s">
        <v>324</v>
      </c>
      <c r="D65" s="9" t="s">
        <v>297</v>
      </c>
      <c r="E65" s="223">
        <v>225000</v>
      </c>
      <c r="F65" s="12"/>
    </row>
    <row r="66" spans="1:6" ht="20.149999999999999" customHeight="1">
      <c r="A66" s="9">
        <v>2</v>
      </c>
      <c r="B66" s="17" t="s">
        <v>325</v>
      </c>
      <c r="C66" s="16" t="s">
        <v>326</v>
      </c>
      <c r="D66" s="14" t="s">
        <v>952</v>
      </c>
      <c r="E66" s="223">
        <v>105000</v>
      </c>
      <c r="F66" s="12"/>
    </row>
    <row r="67" spans="1:6" ht="20.149999999999999" customHeight="1">
      <c r="A67" s="9">
        <v>3</v>
      </c>
      <c r="B67" s="10" t="s">
        <v>328</v>
      </c>
      <c r="C67" s="3" t="s">
        <v>47</v>
      </c>
      <c r="D67" s="9" t="s">
        <v>266</v>
      </c>
      <c r="E67" s="223">
        <v>75000</v>
      </c>
      <c r="F67" s="12"/>
    </row>
    <row r="68" spans="1:6" ht="20.149999999999999" customHeight="1">
      <c r="A68" s="9">
        <v>4</v>
      </c>
      <c r="B68" s="17" t="s">
        <v>329</v>
      </c>
      <c r="C68" s="16" t="s">
        <v>47</v>
      </c>
      <c r="D68" s="14" t="s">
        <v>950</v>
      </c>
      <c r="E68" s="223">
        <v>75000</v>
      </c>
      <c r="F68" s="12"/>
    </row>
    <row r="69" spans="1:6" ht="20.149999999999999" customHeight="1">
      <c r="A69" s="9">
        <v>5</v>
      </c>
      <c r="B69" s="13" t="s">
        <v>330</v>
      </c>
      <c r="C69" s="16" t="s">
        <v>256</v>
      </c>
      <c r="D69" s="14" t="s">
        <v>257</v>
      </c>
      <c r="E69" s="223">
        <v>75000</v>
      </c>
      <c r="F69" s="12"/>
    </row>
    <row r="70" spans="1:6" ht="20.149999999999999" customHeight="1">
      <c r="A70" s="9">
        <v>6</v>
      </c>
      <c r="B70" s="13" t="s">
        <v>255</v>
      </c>
      <c r="C70" s="16" t="s">
        <v>256</v>
      </c>
      <c r="D70" s="14" t="s">
        <v>342</v>
      </c>
      <c r="E70" s="223">
        <v>75000</v>
      </c>
      <c r="F70" s="12"/>
    </row>
    <row r="71" spans="1:6" ht="20.149999999999999" customHeight="1">
      <c r="A71" s="9">
        <v>7</v>
      </c>
      <c r="B71" s="10" t="s">
        <v>331</v>
      </c>
      <c r="C71" s="3" t="s">
        <v>63</v>
      </c>
      <c r="D71" s="9" t="s">
        <v>42</v>
      </c>
      <c r="E71" s="223">
        <v>45000</v>
      </c>
      <c r="F71" s="12"/>
    </row>
    <row r="72" spans="1:6" ht="20.149999999999999" customHeight="1">
      <c r="A72" s="9">
        <v>8</v>
      </c>
      <c r="B72" s="10" t="s">
        <v>1033</v>
      </c>
      <c r="C72" s="16" t="s">
        <v>275</v>
      </c>
      <c r="D72" s="14" t="s">
        <v>271</v>
      </c>
      <c r="E72" s="223">
        <v>45000</v>
      </c>
      <c r="F72" s="12"/>
    </row>
    <row r="73" spans="1:6" ht="20.149999999999999" customHeight="1">
      <c r="A73" s="9">
        <v>9</v>
      </c>
      <c r="B73" s="10" t="s">
        <v>333</v>
      </c>
      <c r="C73" s="16" t="s">
        <v>275</v>
      </c>
      <c r="D73" s="14" t="s">
        <v>42</v>
      </c>
      <c r="E73" s="223">
        <v>45000</v>
      </c>
      <c r="F73" s="12"/>
    </row>
    <row r="74" spans="1:6" ht="20.149999999999999" customHeight="1">
      <c r="A74" s="9">
        <v>10</v>
      </c>
      <c r="B74" s="10" t="s">
        <v>334</v>
      </c>
      <c r="C74" s="16" t="s">
        <v>275</v>
      </c>
      <c r="D74" s="14" t="s">
        <v>42</v>
      </c>
      <c r="E74" s="223">
        <v>45000</v>
      </c>
      <c r="F74" s="12"/>
    </row>
    <row r="75" spans="1:6" ht="20.149999999999999" customHeight="1">
      <c r="A75" s="9">
        <v>11</v>
      </c>
      <c r="B75" s="10" t="s">
        <v>335</v>
      </c>
      <c r="C75" s="3" t="s">
        <v>336</v>
      </c>
      <c r="D75" s="9" t="s">
        <v>332</v>
      </c>
      <c r="E75" s="223">
        <v>45000</v>
      </c>
      <c r="F75" s="12"/>
    </row>
    <row r="76" spans="1:6" ht="20.149999999999999" customHeight="1">
      <c r="A76" s="9">
        <v>12</v>
      </c>
      <c r="B76" s="10" t="s">
        <v>1115</v>
      </c>
      <c r="C76" s="16" t="s">
        <v>63</v>
      </c>
      <c r="D76" s="9" t="s">
        <v>301</v>
      </c>
      <c r="E76" s="223">
        <v>45000</v>
      </c>
      <c r="F76" s="12"/>
    </row>
    <row r="77" spans="1:6" ht="20.149999999999999" customHeight="1">
      <c r="A77" s="9">
        <v>13</v>
      </c>
      <c r="B77" s="10" t="s">
        <v>281</v>
      </c>
      <c r="C77" s="16" t="s">
        <v>273</v>
      </c>
      <c r="D77" s="9" t="s">
        <v>283</v>
      </c>
      <c r="E77" s="223">
        <v>45000</v>
      </c>
      <c r="F77" s="12"/>
    </row>
    <row r="78" spans="1:6" ht="20.149999999999999" customHeight="1">
      <c r="A78" s="9">
        <v>14</v>
      </c>
      <c r="B78" s="13" t="s">
        <v>272</v>
      </c>
      <c r="C78" s="16" t="s">
        <v>273</v>
      </c>
      <c r="D78" s="9" t="s">
        <v>294</v>
      </c>
      <c r="E78" s="223">
        <v>45000</v>
      </c>
      <c r="F78" s="12"/>
    </row>
    <row r="79" spans="1:6" ht="20.149999999999999" customHeight="1">
      <c r="A79" s="9"/>
      <c r="B79" s="19" t="s">
        <v>34</v>
      </c>
      <c r="C79" s="20">
        <v>14</v>
      </c>
      <c r="D79" s="20"/>
      <c r="E79" s="226">
        <f>SUM(E65:E78)</f>
        <v>990000</v>
      </c>
      <c r="F79" s="12"/>
    </row>
    <row r="80" spans="1:6" ht="20.149999999999999" customHeight="1">
      <c r="A80" s="9"/>
      <c r="B80" s="21"/>
      <c r="C80" s="20"/>
      <c r="D80" s="20"/>
      <c r="E80" s="227"/>
      <c r="F80" s="12"/>
    </row>
    <row r="81" spans="1:6" ht="20.149999999999999" customHeight="1">
      <c r="A81" s="9"/>
      <c r="B81" s="19" t="s">
        <v>51</v>
      </c>
      <c r="C81" s="20"/>
      <c r="D81" s="20"/>
      <c r="E81" s="227"/>
      <c r="F81" s="12"/>
    </row>
    <row r="82" spans="1:6" ht="20.149999999999999" customHeight="1">
      <c r="A82" s="9">
        <v>1</v>
      </c>
      <c r="B82" s="10" t="s">
        <v>338</v>
      </c>
      <c r="C82" s="3" t="s">
        <v>339</v>
      </c>
      <c r="D82" s="9" t="s">
        <v>297</v>
      </c>
      <c r="E82" s="223">
        <v>225000</v>
      </c>
      <c r="F82" s="12"/>
    </row>
    <row r="83" spans="1:6" ht="20.149999999999999" customHeight="1">
      <c r="A83" s="9">
        <v>2</v>
      </c>
      <c r="B83" s="13" t="s">
        <v>220</v>
      </c>
      <c r="C83" s="3" t="s">
        <v>221</v>
      </c>
      <c r="D83" s="14" t="s">
        <v>952</v>
      </c>
      <c r="E83" s="223">
        <v>105000</v>
      </c>
      <c r="F83" s="12"/>
    </row>
    <row r="84" spans="1:6" ht="20.149999999999999" customHeight="1">
      <c r="A84" s="9">
        <v>3</v>
      </c>
      <c r="B84" s="13" t="s">
        <v>1116</v>
      </c>
      <c r="C84" s="3" t="s">
        <v>1117</v>
      </c>
      <c r="D84" s="14" t="s">
        <v>952</v>
      </c>
      <c r="E84" s="223">
        <v>105000</v>
      </c>
      <c r="F84" s="12"/>
    </row>
    <row r="85" spans="1:6" ht="20.149999999999999" customHeight="1">
      <c r="A85" s="9">
        <v>4</v>
      </c>
      <c r="B85" s="10" t="s">
        <v>340</v>
      </c>
      <c r="C85" s="3" t="s">
        <v>968</v>
      </c>
      <c r="D85" s="14" t="s">
        <v>266</v>
      </c>
      <c r="E85" s="223">
        <v>75000</v>
      </c>
      <c r="F85" s="12"/>
    </row>
    <row r="86" spans="1:6" ht="20.149999999999999" customHeight="1">
      <c r="A86" s="9">
        <v>5</v>
      </c>
      <c r="B86" s="10" t="s">
        <v>343</v>
      </c>
      <c r="C86" s="3" t="s">
        <v>344</v>
      </c>
      <c r="D86" s="9" t="s">
        <v>301</v>
      </c>
      <c r="E86" s="223">
        <v>45000</v>
      </c>
      <c r="F86" s="12"/>
    </row>
    <row r="87" spans="1:6" ht="20.149999999999999" customHeight="1">
      <c r="A87" s="9"/>
      <c r="B87" s="19" t="s">
        <v>34</v>
      </c>
      <c r="C87" s="20">
        <v>5</v>
      </c>
      <c r="D87" s="20"/>
      <c r="E87" s="226">
        <f>SUM(E82:E86)</f>
        <v>555000</v>
      </c>
      <c r="F87" s="12"/>
    </row>
    <row r="88" spans="1:6" ht="20.149999999999999" customHeight="1">
      <c r="A88" s="9"/>
      <c r="B88" s="19"/>
      <c r="C88" s="20"/>
      <c r="D88" s="20"/>
      <c r="E88" s="223"/>
      <c r="F88" s="12"/>
    </row>
    <row r="89" spans="1:6" ht="20.149999999999999" customHeight="1">
      <c r="A89" s="9"/>
      <c r="B89" s="19" t="s">
        <v>56</v>
      </c>
      <c r="C89" s="24"/>
      <c r="D89" s="20"/>
      <c r="E89" s="223"/>
      <c r="F89" s="12"/>
    </row>
    <row r="90" spans="1:6" ht="20.149999999999999" customHeight="1">
      <c r="A90" s="9">
        <v>1</v>
      </c>
      <c r="B90" s="10" t="s">
        <v>349</v>
      </c>
      <c r="C90" s="3" t="s">
        <v>310</v>
      </c>
      <c r="D90" s="9" t="s">
        <v>249</v>
      </c>
      <c r="E90" s="223">
        <v>105000</v>
      </c>
      <c r="F90" s="12"/>
    </row>
    <row r="91" spans="1:6" ht="20.149999999999999" customHeight="1">
      <c r="A91" s="9">
        <v>2</v>
      </c>
      <c r="B91" s="10" t="s">
        <v>350</v>
      </c>
      <c r="C91" s="3" t="s">
        <v>310</v>
      </c>
      <c r="D91" s="9" t="s">
        <v>249</v>
      </c>
      <c r="E91" s="223">
        <v>105000</v>
      </c>
      <c r="F91" s="12"/>
    </row>
    <row r="92" spans="1:6" ht="20.149999999999999" customHeight="1">
      <c r="A92" s="9">
        <v>3</v>
      </c>
      <c r="B92" s="13" t="s">
        <v>386</v>
      </c>
      <c r="C92" s="3" t="s">
        <v>256</v>
      </c>
      <c r="D92" s="9" t="s">
        <v>254</v>
      </c>
      <c r="E92" s="223">
        <v>75000</v>
      </c>
      <c r="F92" s="12"/>
    </row>
    <row r="93" spans="1:6" ht="20.149999999999999" customHeight="1">
      <c r="A93" s="9">
        <v>4</v>
      </c>
      <c r="B93" s="10" t="s">
        <v>351</v>
      </c>
      <c r="C93" s="3" t="s">
        <v>259</v>
      </c>
      <c r="D93" s="9" t="s">
        <v>257</v>
      </c>
      <c r="E93" s="223">
        <v>75000</v>
      </c>
      <c r="F93" s="12"/>
    </row>
    <row r="94" spans="1:6" ht="21.65" customHeight="1">
      <c r="A94" s="9">
        <v>5</v>
      </c>
      <c r="B94" s="10" t="s">
        <v>352</v>
      </c>
      <c r="C94" s="3" t="s">
        <v>353</v>
      </c>
      <c r="D94" s="14" t="s">
        <v>266</v>
      </c>
      <c r="E94" s="223">
        <v>75000</v>
      </c>
      <c r="F94" s="12"/>
    </row>
    <row r="95" spans="1:6" ht="21.65" customHeight="1">
      <c r="A95" s="9">
        <v>6</v>
      </c>
      <c r="B95" s="10" t="s">
        <v>354</v>
      </c>
      <c r="C95" s="11" t="s">
        <v>47</v>
      </c>
      <c r="D95" s="14" t="s">
        <v>950</v>
      </c>
      <c r="E95" s="223">
        <v>75000</v>
      </c>
      <c r="F95" s="12"/>
    </row>
    <row r="96" spans="1:6" ht="21.65" customHeight="1">
      <c r="A96" s="9">
        <v>7</v>
      </c>
      <c r="B96" s="10" t="s">
        <v>355</v>
      </c>
      <c r="C96" s="11" t="s">
        <v>47</v>
      </c>
      <c r="D96" s="14" t="s">
        <v>950</v>
      </c>
      <c r="E96" s="223">
        <v>75000</v>
      </c>
      <c r="F96" s="12"/>
    </row>
    <row r="97" spans="1:6" ht="21.65" customHeight="1">
      <c r="A97" s="9">
        <v>8</v>
      </c>
      <c r="B97" s="10" t="s">
        <v>357</v>
      </c>
      <c r="C97" s="16" t="s">
        <v>275</v>
      </c>
      <c r="D97" s="14" t="s">
        <v>42</v>
      </c>
      <c r="E97" s="223">
        <v>45000</v>
      </c>
      <c r="F97" s="12"/>
    </row>
    <row r="98" spans="1:6" ht="21.65" customHeight="1">
      <c r="A98" s="9">
        <v>9</v>
      </c>
      <c r="B98" s="10" t="s">
        <v>359</v>
      </c>
      <c r="C98" s="3" t="s">
        <v>360</v>
      </c>
      <c r="D98" s="9" t="s">
        <v>38</v>
      </c>
      <c r="E98" s="223">
        <v>45000</v>
      </c>
      <c r="F98" s="12"/>
    </row>
    <row r="99" spans="1:6" ht="21.65" customHeight="1">
      <c r="A99" s="9">
        <v>10</v>
      </c>
      <c r="B99" s="10" t="s">
        <v>361</v>
      </c>
      <c r="C99" s="16" t="s">
        <v>362</v>
      </c>
      <c r="D99" s="14" t="s">
        <v>294</v>
      </c>
      <c r="E99" s="223">
        <v>45000</v>
      </c>
      <c r="F99" s="12"/>
    </row>
    <row r="100" spans="1:6" ht="20.149999999999999" customHeight="1">
      <c r="A100" s="9"/>
      <c r="B100" s="19" t="s">
        <v>34</v>
      </c>
      <c r="C100" s="20">
        <v>10</v>
      </c>
      <c r="D100" s="20"/>
      <c r="E100" s="226">
        <f>SUM(E90:E99)</f>
        <v>720000</v>
      </c>
      <c r="F100" s="12"/>
    </row>
    <row r="101" spans="1:6" ht="20.149999999999999" customHeight="1">
      <c r="A101" s="9"/>
      <c r="B101" s="21"/>
      <c r="C101" s="20"/>
      <c r="D101" s="20"/>
      <c r="E101" s="227"/>
      <c r="F101" s="12"/>
    </row>
    <row r="102" spans="1:6" ht="20.149999999999999" customHeight="1">
      <c r="A102" s="9"/>
      <c r="B102" s="19" t="s">
        <v>58</v>
      </c>
      <c r="C102" s="20"/>
      <c r="D102" s="20"/>
      <c r="E102" s="227"/>
      <c r="F102" s="12"/>
    </row>
    <row r="103" spans="1:6" ht="20.149999999999999" customHeight="1">
      <c r="A103" s="9">
        <v>1</v>
      </c>
      <c r="B103" s="17" t="s">
        <v>232</v>
      </c>
      <c r="C103" s="9" t="s">
        <v>233</v>
      </c>
      <c r="D103" s="14" t="s">
        <v>308</v>
      </c>
      <c r="E103" s="223">
        <v>150000</v>
      </c>
      <c r="F103" s="12"/>
    </row>
    <row r="104" spans="1:6" ht="20.149999999999999" customHeight="1">
      <c r="A104" s="9">
        <v>2</v>
      </c>
      <c r="B104" s="10" t="s">
        <v>250</v>
      </c>
      <c r="C104" s="3" t="s">
        <v>367</v>
      </c>
      <c r="D104" s="9" t="s">
        <v>257</v>
      </c>
      <c r="E104" s="223">
        <v>75000</v>
      </c>
      <c r="F104" s="12"/>
    </row>
    <row r="105" spans="1:6" ht="20.149999999999999" customHeight="1">
      <c r="A105" s="9">
        <v>3</v>
      </c>
      <c r="B105" s="10" t="s">
        <v>368</v>
      </c>
      <c r="C105" s="3" t="s">
        <v>369</v>
      </c>
      <c r="D105" s="14" t="s">
        <v>332</v>
      </c>
      <c r="E105" s="223">
        <v>45000</v>
      </c>
      <c r="F105" s="12"/>
    </row>
    <row r="106" spans="1:6" ht="20.149999999999999" customHeight="1">
      <c r="A106" s="9">
        <v>4</v>
      </c>
      <c r="B106" s="10" t="s">
        <v>1118</v>
      </c>
      <c r="C106" s="3" t="s">
        <v>1119</v>
      </c>
      <c r="D106" s="14" t="s">
        <v>945</v>
      </c>
      <c r="E106" s="223">
        <v>45000</v>
      </c>
      <c r="F106" s="12"/>
    </row>
    <row r="107" spans="1:6" ht="20.149999999999999" customHeight="1">
      <c r="A107" s="3"/>
      <c r="B107" s="19" t="s">
        <v>34</v>
      </c>
      <c r="C107" s="20">
        <v>3</v>
      </c>
      <c r="D107" s="25"/>
      <c r="E107" s="226">
        <f>SUM(E103:E106)</f>
        <v>315000</v>
      </c>
      <c r="F107" s="12"/>
    </row>
    <row r="108" spans="1:6" ht="20.149999999999999" customHeight="1">
      <c r="A108" s="3"/>
      <c r="B108" s="21"/>
      <c r="C108" s="20"/>
      <c r="D108" s="25"/>
      <c r="E108" s="227"/>
      <c r="F108" s="12"/>
    </row>
    <row r="109" spans="1:6" ht="20.149999999999999" customHeight="1">
      <c r="A109" s="3"/>
      <c r="B109" s="19" t="s">
        <v>372</v>
      </c>
      <c r="C109" s="3"/>
      <c r="D109" s="3"/>
      <c r="E109" s="228"/>
      <c r="F109" s="12"/>
    </row>
    <row r="110" spans="1:6" ht="20.149999999999999" customHeight="1">
      <c r="A110" s="3">
        <v>1</v>
      </c>
      <c r="B110" s="10" t="s">
        <v>373</v>
      </c>
      <c r="C110" s="11" t="s">
        <v>374</v>
      </c>
      <c r="D110" s="14" t="s">
        <v>297</v>
      </c>
      <c r="E110" s="223">
        <v>225000</v>
      </c>
      <c r="F110" s="12"/>
    </row>
    <row r="111" spans="1:6" ht="20.149999999999999" customHeight="1">
      <c r="A111" s="3">
        <v>2</v>
      </c>
      <c r="B111" s="10" t="s">
        <v>375</v>
      </c>
      <c r="C111" s="3" t="s">
        <v>376</v>
      </c>
      <c r="D111" s="15" t="s">
        <v>308</v>
      </c>
      <c r="E111" s="223">
        <v>150000</v>
      </c>
      <c r="F111" s="12"/>
    </row>
    <row r="112" spans="1:6" ht="20.149999999999999" customHeight="1">
      <c r="A112" s="3">
        <v>3</v>
      </c>
      <c r="B112" s="10" t="s">
        <v>377</v>
      </c>
      <c r="C112" s="3" t="s">
        <v>378</v>
      </c>
      <c r="D112" s="9" t="s">
        <v>263</v>
      </c>
      <c r="E112" s="223">
        <v>75000</v>
      </c>
      <c r="F112" s="12"/>
    </row>
    <row r="113" spans="1:6" ht="20.149999999999999" customHeight="1">
      <c r="A113" s="3">
        <v>4</v>
      </c>
      <c r="B113" s="10" t="s">
        <v>379</v>
      </c>
      <c r="C113" s="3" t="s">
        <v>378</v>
      </c>
      <c r="D113" s="9" t="s">
        <v>263</v>
      </c>
      <c r="E113" s="223">
        <v>75000</v>
      </c>
      <c r="F113" s="12"/>
    </row>
    <row r="114" spans="1:6" ht="20.149999999999999" customHeight="1">
      <c r="A114" s="3">
        <v>5</v>
      </c>
      <c r="B114" s="10" t="s">
        <v>380</v>
      </c>
      <c r="C114" s="3" t="s">
        <v>381</v>
      </c>
      <c r="D114" s="14" t="s">
        <v>384</v>
      </c>
      <c r="E114" s="223">
        <v>45000</v>
      </c>
      <c r="F114" s="12"/>
    </row>
    <row r="115" spans="1:6" ht="20.149999999999999" customHeight="1">
      <c r="A115" s="3">
        <v>6</v>
      </c>
      <c r="B115" s="17" t="s">
        <v>383</v>
      </c>
      <c r="C115" s="3" t="s">
        <v>381</v>
      </c>
      <c r="D115" s="9" t="s">
        <v>945</v>
      </c>
      <c r="E115" s="223">
        <v>45000</v>
      </c>
      <c r="F115" s="12"/>
    </row>
    <row r="116" spans="1:6" ht="20.149999999999999" customHeight="1">
      <c r="A116" s="3">
        <v>7</v>
      </c>
      <c r="B116" s="17" t="s">
        <v>385</v>
      </c>
      <c r="C116" s="3" t="s">
        <v>381</v>
      </c>
      <c r="D116" s="14" t="s">
        <v>294</v>
      </c>
      <c r="E116" s="223">
        <v>45000</v>
      </c>
      <c r="F116" s="12"/>
    </row>
    <row r="117" spans="1:6" ht="20.149999999999999" customHeight="1">
      <c r="A117" s="3"/>
      <c r="B117" s="19" t="s">
        <v>34</v>
      </c>
      <c r="C117" s="20">
        <v>7</v>
      </c>
      <c r="D117" s="3"/>
      <c r="E117" s="229">
        <f>SUM(E110:E116)</f>
        <v>660000</v>
      </c>
      <c r="F117" s="12"/>
    </row>
    <row r="118" spans="1:6" ht="20.149999999999999" customHeight="1">
      <c r="A118" s="3"/>
      <c r="B118" s="21"/>
      <c r="C118" s="9"/>
      <c r="D118" s="3"/>
      <c r="E118" s="230"/>
      <c r="F118" s="12"/>
    </row>
    <row r="119" spans="1:6" ht="20.149999999999999" customHeight="1">
      <c r="A119" s="3"/>
      <c r="B119" s="19" t="s">
        <v>67</v>
      </c>
      <c r="C119" s="20"/>
      <c r="D119" s="20"/>
      <c r="E119" s="223"/>
      <c r="F119" s="12"/>
    </row>
    <row r="120" spans="1:6" ht="20.149999999999999" customHeight="1">
      <c r="A120" s="3">
        <v>1</v>
      </c>
      <c r="B120" s="10" t="s">
        <v>392</v>
      </c>
      <c r="C120" s="11" t="s">
        <v>393</v>
      </c>
      <c r="D120" s="14" t="s">
        <v>297</v>
      </c>
      <c r="E120" s="223">
        <v>225000</v>
      </c>
      <c r="F120" s="12"/>
    </row>
    <row r="121" spans="1:6" ht="20.149999999999999" customHeight="1">
      <c r="A121" s="3">
        <v>2</v>
      </c>
      <c r="B121" s="10" t="s">
        <v>130</v>
      </c>
      <c r="C121" s="11" t="s">
        <v>227</v>
      </c>
      <c r="D121" s="14" t="s">
        <v>249</v>
      </c>
      <c r="E121" s="223">
        <v>105000</v>
      </c>
      <c r="F121" s="12"/>
    </row>
    <row r="122" spans="1:6" ht="20.149999999999999" customHeight="1">
      <c r="A122" s="3">
        <v>3</v>
      </c>
      <c r="B122" s="13" t="s">
        <v>395</v>
      </c>
      <c r="C122" s="11" t="s">
        <v>227</v>
      </c>
      <c r="D122" s="14" t="s">
        <v>249</v>
      </c>
      <c r="E122" s="223">
        <v>105000</v>
      </c>
      <c r="F122" s="12"/>
    </row>
    <row r="123" spans="1:6" ht="20.149999999999999" customHeight="1">
      <c r="A123" s="3">
        <v>4</v>
      </c>
      <c r="B123" s="13" t="s">
        <v>226</v>
      </c>
      <c r="C123" s="11" t="s">
        <v>227</v>
      </c>
      <c r="D123" s="14" t="s">
        <v>228</v>
      </c>
      <c r="E123" s="223">
        <v>105000</v>
      </c>
      <c r="F123" s="12"/>
    </row>
    <row r="124" spans="1:6" ht="20.149999999999999" customHeight="1">
      <c r="A124" s="3">
        <v>5</v>
      </c>
      <c r="B124" s="10" t="s">
        <v>396</v>
      </c>
      <c r="C124" s="11" t="s">
        <v>397</v>
      </c>
      <c r="D124" s="14" t="s">
        <v>342</v>
      </c>
      <c r="E124" s="223">
        <v>75000</v>
      </c>
      <c r="F124" s="12"/>
    </row>
    <row r="125" spans="1:6" ht="20.149999999999999" customHeight="1">
      <c r="A125" s="3">
        <v>6</v>
      </c>
      <c r="B125" s="10" t="s">
        <v>398</v>
      </c>
      <c r="C125" s="11" t="s">
        <v>399</v>
      </c>
      <c r="D125" s="14" t="s">
        <v>266</v>
      </c>
      <c r="E125" s="223">
        <v>75000</v>
      </c>
      <c r="F125" s="12"/>
    </row>
    <row r="126" spans="1:6" ht="20.149999999999999" customHeight="1">
      <c r="A126" s="3">
        <v>7</v>
      </c>
      <c r="B126" s="10" t="s">
        <v>400</v>
      </c>
      <c r="C126" s="11" t="s">
        <v>970</v>
      </c>
      <c r="D126" s="14" t="s">
        <v>266</v>
      </c>
      <c r="E126" s="223">
        <v>75000</v>
      </c>
      <c r="F126" s="12"/>
    </row>
    <row r="127" spans="1:6" ht="20.149999999999999" customHeight="1">
      <c r="A127" s="3">
        <v>8</v>
      </c>
      <c r="B127" s="10" t="s">
        <v>401</v>
      </c>
      <c r="C127" s="11" t="s">
        <v>402</v>
      </c>
      <c r="D127" s="9" t="s">
        <v>283</v>
      </c>
      <c r="E127" s="223">
        <v>45000</v>
      </c>
      <c r="F127" s="12"/>
    </row>
    <row r="128" spans="1:6" ht="20.149999999999999" customHeight="1">
      <c r="A128" s="3">
        <v>9</v>
      </c>
      <c r="B128" s="17" t="s">
        <v>403</v>
      </c>
      <c r="C128" s="11" t="s">
        <v>404</v>
      </c>
      <c r="D128" s="14" t="s">
        <v>294</v>
      </c>
      <c r="E128" s="223">
        <v>45000</v>
      </c>
      <c r="F128" s="12"/>
    </row>
    <row r="129" spans="1:6" ht="20.149999999999999" customHeight="1">
      <c r="A129" s="3"/>
      <c r="B129" s="19" t="s">
        <v>34</v>
      </c>
      <c r="C129" s="25" t="s">
        <v>1120</v>
      </c>
      <c r="D129" s="14"/>
      <c r="E129" s="231">
        <f>SUM(E120:E128)</f>
        <v>855000</v>
      </c>
      <c r="F129" s="12"/>
    </row>
    <row r="130" spans="1:6" ht="20.149999999999999" customHeight="1">
      <c r="A130" s="3"/>
      <c r="B130" s="21"/>
      <c r="C130" s="25"/>
      <c r="D130" s="14"/>
      <c r="E130" s="227"/>
      <c r="F130" s="12"/>
    </row>
    <row r="131" spans="1:6" ht="20.149999999999999" customHeight="1">
      <c r="A131" s="3"/>
      <c r="B131" s="19" t="s">
        <v>71</v>
      </c>
      <c r="C131" s="11"/>
      <c r="D131" s="14"/>
      <c r="E131" s="223"/>
      <c r="F131" s="12"/>
    </row>
    <row r="132" spans="1:6" ht="20.149999999999999" customHeight="1">
      <c r="A132" s="26">
        <v>1</v>
      </c>
      <c r="B132" s="10" t="s">
        <v>407</v>
      </c>
      <c r="C132" s="11" t="s">
        <v>408</v>
      </c>
      <c r="D132" s="14" t="s">
        <v>297</v>
      </c>
      <c r="E132" s="223">
        <v>225000</v>
      </c>
      <c r="F132" s="12"/>
    </row>
    <row r="133" spans="1:6" ht="20.149999999999999" customHeight="1">
      <c r="A133" s="26">
        <v>2</v>
      </c>
      <c r="B133" s="10" t="s">
        <v>229</v>
      </c>
      <c r="C133" s="11" t="s">
        <v>230</v>
      </c>
      <c r="D133" s="14" t="s">
        <v>231</v>
      </c>
      <c r="E133" s="223">
        <v>150000</v>
      </c>
      <c r="F133" s="12"/>
    </row>
    <row r="134" spans="1:6" ht="20.149999999999999" customHeight="1">
      <c r="A134" s="26">
        <v>3</v>
      </c>
      <c r="B134" s="13" t="s">
        <v>409</v>
      </c>
      <c r="C134" s="3" t="s">
        <v>410</v>
      </c>
      <c r="D134" s="15" t="s">
        <v>308</v>
      </c>
      <c r="E134" s="223">
        <v>150000</v>
      </c>
      <c r="F134" s="12"/>
    </row>
    <row r="135" spans="1:6" ht="20.149999999999999" customHeight="1">
      <c r="A135" s="26">
        <v>4</v>
      </c>
      <c r="B135" s="10" t="s">
        <v>411</v>
      </c>
      <c r="C135" s="11" t="s">
        <v>412</v>
      </c>
      <c r="D135" s="14" t="s">
        <v>257</v>
      </c>
      <c r="E135" s="223">
        <v>75000</v>
      </c>
      <c r="F135" s="12"/>
    </row>
    <row r="136" spans="1:6" ht="20.149999999999999" customHeight="1">
      <c r="A136" s="26">
        <v>5</v>
      </c>
      <c r="B136" s="10" t="s">
        <v>413</v>
      </c>
      <c r="C136" s="3" t="s">
        <v>414</v>
      </c>
      <c r="D136" s="14" t="s">
        <v>257</v>
      </c>
      <c r="E136" s="223">
        <v>75000</v>
      </c>
      <c r="F136" s="12"/>
    </row>
    <row r="137" spans="1:6" ht="20.149999999999999" customHeight="1">
      <c r="A137" s="26">
        <v>6</v>
      </c>
      <c r="B137" s="10" t="s">
        <v>366</v>
      </c>
      <c r="C137" s="3" t="s">
        <v>420</v>
      </c>
      <c r="D137" s="14" t="s">
        <v>266</v>
      </c>
      <c r="E137" s="223">
        <v>75000</v>
      </c>
      <c r="F137" s="12"/>
    </row>
    <row r="138" spans="1:6" ht="20.149999999999999" customHeight="1">
      <c r="A138" s="26">
        <v>7</v>
      </c>
      <c r="B138" s="10" t="s">
        <v>416</v>
      </c>
      <c r="C138" s="11" t="s">
        <v>417</v>
      </c>
      <c r="D138" s="14" t="s">
        <v>271</v>
      </c>
      <c r="E138" s="223">
        <v>45000</v>
      </c>
      <c r="F138" s="12"/>
    </row>
    <row r="139" spans="1:6" ht="20.149999999999999" customHeight="1">
      <c r="A139" s="26">
        <v>8</v>
      </c>
      <c r="B139" s="10" t="s">
        <v>418</v>
      </c>
      <c r="C139" s="11" t="s">
        <v>417</v>
      </c>
      <c r="D139" s="14" t="s">
        <v>271</v>
      </c>
      <c r="E139" s="223">
        <v>45000</v>
      </c>
      <c r="F139" s="12"/>
    </row>
    <row r="140" spans="1:6" ht="20.149999999999999" customHeight="1">
      <c r="A140" s="26">
        <v>9</v>
      </c>
      <c r="B140" s="10" t="s">
        <v>419</v>
      </c>
      <c r="C140" s="3" t="s">
        <v>420</v>
      </c>
      <c r="D140" s="14" t="s">
        <v>271</v>
      </c>
      <c r="E140" s="223">
        <v>45000</v>
      </c>
      <c r="F140" s="12"/>
    </row>
    <row r="141" spans="1:6" ht="20.149999999999999" customHeight="1">
      <c r="A141" s="26">
        <v>10</v>
      </c>
      <c r="B141" s="10" t="s">
        <v>421</v>
      </c>
      <c r="C141" s="11" t="s">
        <v>426</v>
      </c>
      <c r="D141" s="14" t="s">
        <v>332</v>
      </c>
      <c r="E141" s="223">
        <v>45000</v>
      </c>
      <c r="F141" s="12"/>
    </row>
    <row r="142" spans="1:6" ht="20.149999999999999" customHeight="1">
      <c r="A142" s="26">
        <v>11</v>
      </c>
      <c r="B142" s="10" t="s">
        <v>423</v>
      </c>
      <c r="C142" s="11" t="s">
        <v>971</v>
      </c>
      <c r="D142" s="14" t="s">
        <v>432</v>
      </c>
      <c r="E142" s="223">
        <v>45000</v>
      </c>
      <c r="F142" s="12"/>
    </row>
    <row r="143" spans="1:6" ht="20.149999999999999" customHeight="1">
      <c r="A143" s="26">
        <v>12</v>
      </c>
      <c r="B143" s="10" t="s">
        <v>425</v>
      </c>
      <c r="C143" s="11" t="s">
        <v>426</v>
      </c>
      <c r="D143" s="14" t="s">
        <v>271</v>
      </c>
      <c r="E143" s="223">
        <v>45000</v>
      </c>
      <c r="F143" s="12"/>
    </row>
    <row r="144" spans="1:6" ht="20.149999999999999" customHeight="1">
      <c r="A144" s="26">
        <v>13</v>
      </c>
      <c r="B144" s="17" t="s">
        <v>427</v>
      </c>
      <c r="C144" s="3" t="s">
        <v>437</v>
      </c>
      <c r="D144" s="14" t="s">
        <v>432</v>
      </c>
      <c r="E144" s="223">
        <v>45000</v>
      </c>
      <c r="F144" s="12"/>
    </row>
    <row r="145" spans="1:6" ht="20.149999999999999" customHeight="1">
      <c r="A145" s="26">
        <v>14</v>
      </c>
      <c r="B145" s="10" t="s">
        <v>429</v>
      </c>
      <c r="C145" s="3" t="s">
        <v>430</v>
      </c>
      <c r="D145" s="14" t="s">
        <v>301</v>
      </c>
      <c r="E145" s="223">
        <v>45000</v>
      </c>
      <c r="F145" s="12"/>
    </row>
    <row r="146" spans="1:6" ht="20.149999999999999" customHeight="1">
      <c r="A146" s="26">
        <v>15</v>
      </c>
      <c r="B146" s="10" t="s">
        <v>431</v>
      </c>
      <c r="C146" s="3" t="s">
        <v>430</v>
      </c>
      <c r="D146" s="14" t="s">
        <v>345</v>
      </c>
      <c r="E146" s="223">
        <v>45000</v>
      </c>
      <c r="F146" s="12"/>
    </row>
    <row r="147" spans="1:6" ht="20.149999999999999" customHeight="1">
      <c r="A147" s="26">
        <v>16</v>
      </c>
      <c r="B147" s="10" t="s">
        <v>433</v>
      </c>
      <c r="C147" s="3" t="s">
        <v>430</v>
      </c>
      <c r="D147" s="14" t="s">
        <v>345</v>
      </c>
      <c r="E147" s="223">
        <v>45000</v>
      </c>
      <c r="F147" s="12"/>
    </row>
    <row r="148" spans="1:6" ht="20.149999999999999" customHeight="1">
      <c r="A148" s="26">
        <v>17</v>
      </c>
      <c r="B148" s="10" t="s">
        <v>434</v>
      </c>
      <c r="C148" s="11" t="s">
        <v>435</v>
      </c>
      <c r="D148" s="14" t="s">
        <v>38</v>
      </c>
      <c r="E148" s="223">
        <v>45000</v>
      </c>
      <c r="F148" s="12"/>
    </row>
    <row r="149" spans="1:6" ht="20.149999999999999" customHeight="1">
      <c r="A149" s="26">
        <v>18</v>
      </c>
      <c r="B149" s="10" t="s">
        <v>953</v>
      </c>
      <c r="C149" s="11" t="s">
        <v>437</v>
      </c>
      <c r="D149" s="9" t="s">
        <v>25</v>
      </c>
      <c r="E149" s="223">
        <v>45000</v>
      </c>
      <c r="F149" s="12"/>
    </row>
    <row r="150" spans="1:6" ht="20.149999999999999" customHeight="1">
      <c r="A150" s="26">
        <v>19</v>
      </c>
      <c r="B150" s="10" t="s">
        <v>438</v>
      </c>
      <c r="C150" s="11" t="s">
        <v>439</v>
      </c>
      <c r="D150" s="14" t="s">
        <v>301</v>
      </c>
      <c r="E150" s="223">
        <v>45000</v>
      </c>
      <c r="F150" s="12"/>
    </row>
    <row r="151" spans="1:6" ht="20.149999999999999" customHeight="1">
      <c r="A151" s="26">
        <v>20</v>
      </c>
      <c r="B151" s="10" t="s">
        <v>440</v>
      </c>
      <c r="C151" s="11" t="s">
        <v>441</v>
      </c>
      <c r="D151" s="14" t="s">
        <v>283</v>
      </c>
      <c r="E151" s="223">
        <v>45000</v>
      </c>
      <c r="F151" s="12"/>
    </row>
    <row r="152" spans="1:6" ht="20.149999999999999" customHeight="1">
      <c r="A152" s="26">
        <v>21</v>
      </c>
      <c r="B152" s="10" t="s">
        <v>442</v>
      </c>
      <c r="C152" s="11" t="s">
        <v>443</v>
      </c>
      <c r="D152" s="14" t="s">
        <v>301</v>
      </c>
      <c r="E152" s="223">
        <v>45000</v>
      </c>
      <c r="F152" s="12"/>
    </row>
    <row r="153" spans="1:6" ht="20.149999999999999" customHeight="1">
      <c r="A153" s="26">
        <v>22</v>
      </c>
      <c r="B153" s="10" t="s">
        <v>444</v>
      </c>
      <c r="C153" s="11" t="s">
        <v>445</v>
      </c>
      <c r="D153" s="14" t="s">
        <v>283</v>
      </c>
      <c r="E153" s="223">
        <v>45000</v>
      </c>
      <c r="F153" s="12"/>
    </row>
    <row r="154" spans="1:6" ht="20.149999999999999" customHeight="1">
      <c r="A154" s="26">
        <v>23</v>
      </c>
      <c r="B154" s="17" t="s">
        <v>446</v>
      </c>
      <c r="C154" s="11" t="s">
        <v>451</v>
      </c>
      <c r="D154" s="14" t="s">
        <v>945</v>
      </c>
      <c r="E154" s="223">
        <v>45000</v>
      </c>
      <c r="F154" s="12"/>
    </row>
    <row r="155" spans="1:6" ht="20.149999999999999" customHeight="1">
      <c r="A155" s="26">
        <v>24</v>
      </c>
      <c r="B155" s="17" t="s">
        <v>448</v>
      </c>
      <c r="C155" s="11" t="s">
        <v>449</v>
      </c>
      <c r="D155" s="14" t="s">
        <v>31</v>
      </c>
      <c r="E155" s="223">
        <v>45000</v>
      </c>
      <c r="F155" s="12"/>
    </row>
    <row r="156" spans="1:6" ht="20.149999999999999" customHeight="1">
      <c r="A156" s="26">
        <v>25</v>
      </c>
      <c r="B156" s="17" t="s">
        <v>450</v>
      </c>
      <c r="C156" s="11" t="s">
        <v>451</v>
      </c>
      <c r="D156" s="14" t="s">
        <v>31</v>
      </c>
      <c r="E156" s="223">
        <v>45000</v>
      </c>
      <c r="F156" s="12"/>
    </row>
    <row r="157" spans="1:6" ht="20.149999999999999" customHeight="1">
      <c r="A157" s="26">
        <v>26</v>
      </c>
      <c r="B157" s="17" t="s">
        <v>452</v>
      </c>
      <c r="C157" s="11" t="s">
        <v>453</v>
      </c>
      <c r="D157" s="14" t="s">
        <v>294</v>
      </c>
      <c r="E157" s="223">
        <v>45000</v>
      </c>
      <c r="F157" s="12"/>
    </row>
    <row r="158" spans="1:6" ht="20.149999999999999" customHeight="1">
      <c r="A158" s="26">
        <v>27</v>
      </c>
      <c r="B158" s="17" t="s">
        <v>454</v>
      </c>
      <c r="C158" s="11" t="s">
        <v>455</v>
      </c>
      <c r="D158" s="14" t="s">
        <v>294</v>
      </c>
      <c r="E158" s="223">
        <v>45000</v>
      </c>
      <c r="F158" s="12"/>
    </row>
    <row r="159" spans="1:6" ht="20.149999999999999" customHeight="1">
      <c r="A159" s="26">
        <v>28</v>
      </c>
      <c r="B159" s="10" t="s">
        <v>457</v>
      </c>
      <c r="C159" s="11" t="s">
        <v>458</v>
      </c>
      <c r="D159" s="14" t="s">
        <v>465</v>
      </c>
      <c r="E159" s="223">
        <v>30000</v>
      </c>
      <c r="F159" s="12"/>
    </row>
    <row r="160" spans="1:6" ht="20.149999999999999" customHeight="1">
      <c r="A160" s="26">
        <v>29</v>
      </c>
      <c r="B160" s="10" t="s">
        <v>460</v>
      </c>
      <c r="C160" s="11" t="s">
        <v>458</v>
      </c>
      <c r="D160" s="14" t="s">
        <v>465</v>
      </c>
      <c r="E160" s="223">
        <v>30000</v>
      </c>
      <c r="F160" s="12"/>
    </row>
    <row r="161" spans="1:6" ht="20.149999999999999" customHeight="1">
      <c r="A161" s="26">
        <v>30</v>
      </c>
      <c r="B161" s="10" t="s">
        <v>461</v>
      </c>
      <c r="C161" s="11" t="s">
        <v>458</v>
      </c>
      <c r="D161" s="14" t="s">
        <v>465</v>
      </c>
      <c r="E161" s="223">
        <v>30000</v>
      </c>
      <c r="F161" s="12"/>
    </row>
    <row r="162" spans="1:6" ht="20.149999999999999" customHeight="1">
      <c r="A162" s="26">
        <v>32</v>
      </c>
      <c r="B162" s="10" t="s">
        <v>462</v>
      </c>
      <c r="C162" s="11" t="s">
        <v>458</v>
      </c>
      <c r="D162" s="14" t="s">
        <v>465</v>
      </c>
      <c r="E162" s="223">
        <v>30000</v>
      </c>
      <c r="F162" s="12"/>
    </row>
    <row r="163" spans="1:6" ht="20.149999999999999" customHeight="1">
      <c r="A163" s="26">
        <v>33</v>
      </c>
      <c r="B163" s="10" t="s">
        <v>463</v>
      </c>
      <c r="C163" s="11" t="s">
        <v>458</v>
      </c>
      <c r="D163" s="14" t="s">
        <v>465</v>
      </c>
      <c r="E163" s="223">
        <v>30000</v>
      </c>
      <c r="F163" s="12"/>
    </row>
    <row r="164" spans="1:6" ht="20.149999999999999" customHeight="1">
      <c r="A164" s="26">
        <v>34</v>
      </c>
      <c r="B164" s="10" t="s">
        <v>464</v>
      </c>
      <c r="C164" s="11" t="s">
        <v>458</v>
      </c>
      <c r="D164" s="14" t="s">
        <v>476</v>
      </c>
      <c r="E164" s="223">
        <v>30000</v>
      </c>
      <c r="F164" s="12"/>
    </row>
    <row r="165" spans="1:6" ht="20.149999999999999" customHeight="1">
      <c r="A165" s="26">
        <v>35</v>
      </c>
      <c r="B165" s="10" t="s">
        <v>466</v>
      </c>
      <c r="C165" s="11" t="s">
        <v>458</v>
      </c>
      <c r="D165" s="14" t="s">
        <v>476</v>
      </c>
      <c r="E165" s="223">
        <v>30000</v>
      </c>
      <c r="F165" s="12"/>
    </row>
    <row r="166" spans="1:6" ht="20.149999999999999" customHeight="1">
      <c r="A166" s="26">
        <v>36</v>
      </c>
      <c r="B166" s="10" t="s">
        <v>1121</v>
      </c>
      <c r="C166" s="11" t="s">
        <v>458</v>
      </c>
      <c r="D166" s="14" t="s">
        <v>476</v>
      </c>
      <c r="E166" s="223">
        <v>30000</v>
      </c>
      <c r="F166" s="12"/>
    </row>
    <row r="167" spans="1:6" ht="20.149999999999999" customHeight="1">
      <c r="A167" s="26">
        <v>37</v>
      </c>
      <c r="B167" s="13" t="s">
        <v>467</v>
      </c>
      <c r="C167" s="11" t="s">
        <v>458</v>
      </c>
      <c r="D167" s="14" t="s">
        <v>476</v>
      </c>
      <c r="E167" s="223">
        <v>30000</v>
      </c>
      <c r="F167" s="12"/>
    </row>
    <row r="168" spans="1:6" ht="20.149999999999999" customHeight="1">
      <c r="A168" s="26">
        <v>38</v>
      </c>
      <c r="B168" s="10" t="s">
        <v>468</v>
      </c>
      <c r="C168" s="11" t="s">
        <v>458</v>
      </c>
      <c r="D168" s="14" t="s">
        <v>476</v>
      </c>
      <c r="E168" s="223">
        <v>30000</v>
      </c>
      <c r="F168" s="12"/>
    </row>
    <row r="169" spans="1:6" ht="20.149999999999999" customHeight="1">
      <c r="A169" s="26">
        <v>39</v>
      </c>
      <c r="B169" s="17" t="s">
        <v>469</v>
      </c>
      <c r="C169" s="11" t="s">
        <v>458</v>
      </c>
      <c r="D169" s="14" t="s">
        <v>476</v>
      </c>
      <c r="E169" s="223">
        <v>30000</v>
      </c>
      <c r="F169" s="12"/>
    </row>
    <row r="170" spans="1:6" ht="20.149999999999999" customHeight="1">
      <c r="A170" s="26">
        <v>40</v>
      </c>
      <c r="B170" s="17" t="s">
        <v>470</v>
      </c>
      <c r="C170" s="11" t="s">
        <v>458</v>
      </c>
      <c r="D170" s="14" t="s">
        <v>476</v>
      </c>
      <c r="E170" s="223">
        <v>30000</v>
      </c>
      <c r="F170" s="12"/>
    </row>
    <row r="171" spans="1:6" ht="20.149999999999999" customHeight="1">
      <c r="A171" s="26">
        <v>41</v>
      </c>
      <c r="B171" s="10" t="s">
        <v>471</v>
      </c>
      <c r="C171" s="11" t="s">
        <v>478</v>
      </c>
      <c r="D171" s="14" t="s">
        <v>479</v>
      </c>
      <c r="E171" s="223">
        <v>30000</v>
      </c>
      <c r="F171" s="12"/>
    </row>
    <row r="172" spans="1:6" ht="20.149999999999999" customHeight="1">
      <c r="A172" s="26">
        <v>42</v>
      </c>
      <c r="B172" s="10" t="s">
        <v>474</v>
      </c>
      <c r="C172" s="11" t="s">
        <v>478</v>
      </c>
      <c r="D172" s="14" t="s">
        <v>479</v>
      </c>
      <c r="E172" s="223">
        <v>30000</v>
      </c>
      <c r="F172" s="12"/>
    </row>
    <row r="173" spans="1:6" ht="20.149999999999999" customHeight="1">
      <c r="A173" s="26">
        <v>43</v>
      </c>
      <c r="B173" s="17" t="s">
        <v>475</v>
      </c>
      <c r="C173" s="11" t="s">
        <v>478</v>
      </c>
      <c r="D173" s="14" t="s">
        <v>948</v>
      </c>
      <c r="E173" s="223">
        <v>30000</v>
      </c>
      <c r="F173" s="12"/>
    </row>
    <row r="174" spans="1:6" ht="20.149999999999999" customHeight="1">
      <c r="A174" s="26">
        <v>44</v>
      </c>
      <c r="B174" s="10" t="s">
        <v>477</v>
      </c>
      <c r="C174" s="11" t="s">
        <v>478</v>
      </c>
      <c r="D174" s="14" t="s">
        <v>954</v>
      </c>
      <c r="E174" s="223">
        <v>30000</v>
      </c>
      <c r="F174" s="12"/>
    </row>
    <row r="175" spans="1:6" ht="20.149999999999999" customHeight="1">
      <c r="A175" s="26">
        <v>45</v>
      </c>
      <c r="B175" s="10" t="s">
        <v>480</v>
      </c>
      <c r="C175" s="11" t="s">
        <v>481</v>
      </c>
      <c r="D175" s="14" t="s">
        <v>955</v>
      </c>
      <c r="E175" s="223">
        <v>30000</v>
      </c>
      <c r="F175" s="12"/>
    </row>
    <row r="176" spans="1:6" ht="20.149999999999999" customHeight="1">
      <c r="A176" s="26">
        <v>46</v>
      </c>
      <c r="B176" s="10" t="s">
        <v>483</v>
      </c>
      <c r="C176" s="11" t="s">
        <v>481</v>
      </c>
      <c r="D176" s="14" t="s">
        <v>955</v>
      </c>
      <c r="E176" s="223">
        <v>30000</v>
      </c>
      <c r="F176" s="12"/>
    </row>
    <row r="177" spans="1:6" ht="20.149999999999999" customHeight="1">
      <c r="A177" s="26">
        <v>47</v>
      </c>
      <c r="B177" s="10" t="s">
        <v>484</v>
      </c>
      <c r="C177" s="11" t="s">
        <v>481</v>
      </c>
      <c r="D177" s="14" t="s">
        <v>955</v>
      </c>
      <c r="E177" s="223">
        <v>30000</v>
      </c>
      <c r="F177" s="12"/>
    </row>
    <row r="178" spans="1:6" ht="20.149999999999999" customHeight="1">
      <c r="A178" s="26">
        <v>48</v>
      </c>
      <c r="B178" s="10" t="s">
        <v>485</v>
      </c>
      <c r="C178" s="11" t="s">
        <v>481</v>
      </c>
      <c r="D178" s="14" t="s">
        <v>955</v>
      </c>
      <c r="E178" s="223">
        <v>30000</v>
      </c>
      <c r="F178" s="12"/>
    </row>
    <row r="179" spans="1:6" ht="20.149999999999999" customHeight="1">
      <c r="A179" s="26">
        <v>49</v>
      </c>
      <c r="B179" s="10" t="s">
        <v>486</v>
      </c>
      <c r="C179" s="11" t="s">
        <v>481</v>
      </c>
      <c r="D179" s="14" t="s">
        <v>955</v>
      </c>
      <c r="E179" s="223">
        <v>30000</v>
      </c>
      <c r="F179" s="12"/>
    </row>
    <row r="180" spans="1:6" ht="20.149999999999999" customHeight="1">
      <c r="A180" s="26">
        <v>50</v>
      </c>
      <c r="B180" s="17" t="s">
        <v>487</v>
      </c>
      <c r="C180" s="11" t="s">
        <v>481</v>
      </c>
      <c r="D180" s="14" t="s">
        <v>955</v>
      </c>
      <c r="E180" s="223">
        <v>30000</v>
      </c>
      <c r="F180" s="12"/>
    </row>
    <row r="181" spans="1:6" ht="20.149999999999999" customHeight="1">
      <c r="A181" s="26">
        <v>51</v>
      </c>
      <c r="B181" s="17" t="s">
        <v>488</v>
      </c>
      <c r="C181" s="11" t="s">
        <v>481</v>
      </c>
      <c r="D181" s="14" t="s">
        <v>955</v>
      </c>
      <c r="E181" s="223">
        <v>30000</v>
      </c>
      <c r="F181" s="12"/>
    </row>
    <row r="182" spans="1:6" ht="20.149999999999999" customHeight="1">
      <c r="A182" s="26">
        <v>52</v>
      </c>
      <c r="B182" s="10" t="s">
        <v>489</v>
      </c>
      <c r="C182" s="11" t="s">
        <v>478</v>
      </c>
      <c r="D182" s="14" t="s">
        <v>955</v>
      </c>
      <c r="E182" s="223">
        <v>30000</v>
      </c>
      <c r="F182" s="12"/>
    </row>
    <row r="183" spans="1:6" ht="20.149999999999999" customHeight="1">
      <c r="A183" s="26">
        <v>53</v>
      </c>
      <c r="B183" s="10" t="s">
        <v>490</v>
      </c>
      <c r="C183" s="11" t="s">
        <v>478</v>
      </c>
      <c r="D183" s="14" t="s">
        <v>955</v>
      </c>
      <c r="E183" s="223">
        <v>30000</v>
      </c>
      <c r="F183" s="12"/>
    </row>
    <row r="184" spans="1:6" ht="20.149999999999999" customHeight="1">
      <c r="A184" s="26">
        <v>54</v>
      </c>
      <c r="B184" s="17" t="s">
        <v>491</v>
      </c>
      <c r="C184" s="11" t="s">
        <v>481</v>
      </c>
      <c r="D184" s="14" t="s">
        <v>972</v>
      </c>
      <c r="E184" s="223">
        <v>30000</v>
      </c>
      <c r="F184" s="12"/>
    </row>
    <row r="185" spans="1:6" ht="20.149999999999999" customHeight="1">
      <c r="A185" s="26">
        <v>55</v>
      </c>
      <c r="B185" s="17" t="s">
        <v>493</v>
      </c>
      <c r="C185" s="11" t="s">
        <v>481</v>
      </c>
      <c r="D185" s="14" t="s">
        <v>956</v>
      </c>
      <c r="E185" s="223">
        <v>30000</v>
      </c>
      <c r="F185" s="12"/>
    </row>
    <row r="186" spans="1:6" ht="20.149999999999999" customHeight="1">
      <c r="A186" s="26"/>
      <c r="B186" s="7" t="s">
        <v>34</v>
      </c>
      <c r="C186" s="27" t="s">
        <v>1122</v>
      </c>
      <c r="D186" s="28"/>
      <c r="E186" s="232">
        <f>SUM(E132:E185)</f>
        <v>2505000</v>
      </c>
      <c r="F186" s="12"/>
    </row>
    <row r="187" spans="1:6" ht="9" customHeight="1">
      <c r="A187" s="26"/>
      <c r="B187" s="7"/>
      <c r="C187" s="27"/>
      <c r="D187" s="28"/>
      <c r="E187" s="232"/>
      <c r="F187" s="12"/>
    </row>
    <row r="188" spans="1:6" ht="30" customHeight="1">
      <c r="A188" s="3"/>
      <c r="B188" s="233" t="s">
        <v>80</v>
      </c>
      <c r="C188" s="234">
        <f>C37+C42+C57+C62+C79+C87+C100+C107+C117+C129+C186</f>
        <v>149</v>
      </c>
      <c r="D188" s="235"/>
      <c r="E188" s="236">
        <f>E186+E129+E117+E107+E100+E87+E79+E62+E57+E42+E37</f>
        <v>11070000</v>
      </c>
      <c r="F188" s="12"/>
    </row>
    <row r="189" spans="1:6" ht="20.149999999999999" customHeight="1">
      <c r="A189" s="2"/>
      <c r="B189" s="32"/>
      <c r="C189" s="2"/>
      <c r="D189" s="33"/>
      <c r="E189" s="89"/>
      <c r="F189" s="34"/>
    </row>
    <row r="190" spans="1:6" ht="65.25" customHeight="1">
      <c r="A190" s="2"/>
      <c r="B190" s="32"/>
      <c r="C190" s="33"/>
      <c r="D190" s="33"/>
      <c r="E190" s="90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796875" defaultRowHeight="20.149999999999999" customHeight="1"/>
  <cols>
    <col min="1" max="1" width="5.453125" style="1" customWidth="1"/>
    <col min="2" max="2" width="44.54296875" style="1" customWidth="1"/>
    <col min="3" max="3" width="38" style="1" customWidth="1"/>
    <col min="4" max="4" width="12.453125" style="1" customWidth="1"/>
    <col min="5" max="5" width="21.81640625" style="1" customWidth="1"/>
    <col min="6" max="6" width="21.7265625" style="1" customWidth="1"/>
    <col min="7" max="16384" width="9.1796875" style="1"/>
  </cols>
  <sheetData>
    <row r="1" spans="1:6" ht="27" customHeight="1">
      <c r="A1" s="217" t="s">
        <v>0</v>
      </c>
      <c r="B1" s="217"/>
      <c r="C1" s="217"/>
      <c r="D1" s="217"/>
      <c r="E1" s="238"/>
    </row>
    <row r="2" spans="1:6" ht="33.75" customHeight="1">
      <c r="A2" s="217" t="s">
        <v>1105</v>
      </c>
      <c r="B2" s="63"/>
      <c r="C2" s="62"/>
      <c r="D2" s="62"/>
      <c r="E2" s="64"/>
    </row>
    <row r="3" spans="1:6" ht="9.75" customHeight="1">
      <c r="A3" s="2"/>
      <c r="B3" s="2"/>
      <c r="C3" s="2"/>
      <c r="D3" s="2"/>
    </row>
    <row r="4" spans="1:6" ht="49.5" customHeight="1">
      <c r="A4" s="218"/>
      <c r="B4" s="219" t="s">
        <v>2</v>
      </c>
      <c r="C4" s="220" t="s">
        <v>3</v>
      </c>
      <c r="D4" s="221" t="s">
        <v>4</v>
      </c>
      <c r="E4" s="222" t="s">
        <v>134</v>
      </c>
    </row>
    <row r="5" spans="1:6" ht="17.25" customHeight="1">
      <c r="C5" s="7"/>
      <c r="D5" s="7"/>
      <c r="E5" s="211" t="s">
        <v>20</v>
      </c>
    </row>
    <row r="6" spans="1:6" ht="20.149999999999999" customHeight="1">
      <c r="A6" s="8" t="s">
        <v>21</v>
      </c>
      <c r="B6" s="7" t="s">
        <v>22</v>
      </c>
      <c r="C6" s="7"/>
      <c r="D6" s="7"/>
      <c r="E6" s="211"/>
    </row>
    <row r="7" spans="1: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223">
        <v>450000</v>
      </c>
      <c r="F7" s="12"/>
    </row>
    <row r="8" spans="1:6" ht="20.149999999999999" customHeight="1">
      <c r="A8" s="9">
        <v>2</v>
      </c>
      <c r="B8" s="10" t="s">
        <v>1016</v>
      </c>
      <c r="C8" s="3" t="s">
        <v>1106</v>
      </c>
      <c r="D8" s="9" t="s">
        <v>231</v>
      </c>
      <c r="E8" s="223">
        <v>150000</v>
      </c>
      <c r="F8" s="12"/>
    </row>
    <row r="9" spans="1:6" ht="20.149999999999999" customHeight="1">
      <c r="A9" s="9">
        <v>3</v>
      </c>
      <c r="B9" s="13" t="s">
        <v>1107</v>
      </c>
      <c r="C9" s="3" t="s">
        <v>1108</v>
      </c>
      <c r="D9" s="9" t="s">
        <v>231</v>
      </c>
      <c r="E9" s="223">
        <v>150000</v>
      </c>
      <c r="F9" s="12"/>
    </row>
    <row r="10" spans="1:6" ht="20.149999999999999" customHeight="1">
      <c r="A10" s="9">
        <v>4</v>
      </c>
      <c r="B10" s="10" t="s">
        <v>239</v>
      </c>
      <c r="C10" s="11" t="s">
        <v>240</v>
      </c>
      <c r="D10" s="9" t="s">
        <v>234</v>
      </c>
      <c r="E10" s="223">
        <v>150000</v>
      </c>
      <c r="F10" s="12"/>
    </row>
    <row r="11" spans="1:6" ht="20.149999999999999" customHeight="1">
      <c r="A11" s="9">
        <v>5</v>
      </c>
      <c r="B11" s="13" t="s">
        <v>241</v>
      </c>
      <c r="C11" s="3" t="s">
        <v>242</v>
      </c>
      <c r="D11" s="14" t="s">
        <v>308</v>
      </c>
      <c r="E11" s="223">
        <v>150000</v>
      </c>
      <c r="F11" s="12"/>
    </row>
    <row r="12" spans="1:6" ht="20.149999999999999" customHeight="1">
      <c r="A12" s="9">
        <v>6</v>
      </c>
      <c r="B12" s="13" t="s">
        <v>363</v>
      </c>
      <c r="C12" s="3" t="s">
        <v>1018</v>
      </c>
      <c r="D12" s="15" t="s">
        <v>308</v>
      </c>
      <c r="E12" s="223">
        <v>150000</v>
      </c>
      <c r="F12" s="12"/>
    </row>
    <row r="13" spans="1:6" ht="20.149999999999999" customHeight="1">
      <c r="A13" s="9">
        <v>7</v>
      </c>
      <c r="B13" s="10" t="s">
        <v>243</v>
      </c>
      <c r="C13" s="16" t="s">
        <v>244</v>
      </c>
      <c r="D13" s="15" t="s">
        <v>308</v>
      </c>
      <c r="E13" s="223">
        <v>150000</v>
      </c>
      <c r="F13" s="12"/>
    </row>
    <row r="14" spans="1:6" ht="20.149999999999999" customHeight="1">
      <c r="A14" s="9">
        <v>8</v>
      </c>
      <c r="B14" s="13" t="s">
        <v>245</v>
      </c>
      <c r="C14" s="3" t="s">
        <v>246</v>
      </c>
      <c r="D14" s="15" t="s">
        <v>308</v>
      </c>
      <c r="E14" s="223">
        <v>150000</v>
      </c>
      <c r="F14" s="12"/>
    </row>
    <row r="15" spans="1:6" ht="20.149999999999999" customHeight="1">
      <c r="A15" s="9">
        <v>9</v>
      </c>
      <c r="B15" s="10" t="s">
        <v>247</v>
      </c>
      <c r="C15" s="11" t="s">
        <v>248</v>
      </c>
      <c r="D15" s="14" t="s">
        <v>249</v>
      </c>
      <c r="E15" s="223">
        <v>105000</v>
      </c>
      <c r="F15" s="12"/>
    </row>
    <row r="16" spans="1:6" ht="20.149999999999999" customHeight="1">
      <c r="A16" s="9">
        <v>10</v>
      </c>
      <c r="B16" s="17" t="s">
        <v>223</v>
      </c>
      <c r="C16" s="11" t="s">
        <v>224</v>
      </c>
      <c r="D16" s="9" t="s">
        <v>222</v>
      </c>
      <c r="E16" s="223">
        <v>105000</v>
      </c>
      <c r="F16" s="12"/>
    </row>
    <row r="17" spans="1:6" ht="20.149999999999999" customHeight="1">
      <c r="A17" s="9">
        <v>11</v>
      </c>
      <c r="B17" s="18" t="s">
        <v>1109</v>
      </c>
      <c r="C17" s="3" t="s">
        <v>1110</v>
      </c>
      <c r="D17" s="15" t="s">
        <v>257</v>
      </c>
      <c r="E17" s="223">
        <v>75000</v>
      </c>
      <c r="F17" s="12"/>
    </row>
    <row r="18" spans="1:6" ht="19.5" customHeight="1">
      <c r="A18" s="9">
        <v>12</v>
      </c>
      <c r="B18" s="13" t="s">
        <v>1019</v>
      </c>
      <c r="C18" s="3" t="s">
        <v>253</v>
      </c>
      <c r="D18" s="9" t="s">
        <v>257</v>
      </c>
      <c r="E18" s="223">
        <v>75000</v>
      </c>
      <c r="F18" s="12"/>
    </row>
    <row r="19" spans="1:6" ht="19.5" customHeight="1">
      <c r="A19" s="9">
        <v>13</v>
      </c>
      <c r="B19" s="13" t="s">
        <v>1111</v>
      </c>
      <c r="C19" s="3" t="s">
        <v>1112</v>
      </c>
      <c r="D19" s="9" t="s">
        <v>257</v>
      </c>
      <c r="E19" s="223">
        <v>75000</v>
      </c>
      <c r="F19" s="12"/>
    </row>
    <row r="20" spans="1:6" ht="20.149999999999999" customHeight="1">
      <c r="A20" s="9">
        <v>14</v>
      </c>
      <c r="B20" s="10" t="s">
        <v>252</v>
      </c>
      <c r="C20" s="3" t="s">
        <v>253</v>
      </c>
      <c r="D20" s="14" t="s">
        <v>257</v>
      </c>
      <c r="E20" s="223">
        <v>75000</v>
      </c>
      <c r="F20" s="12"/>
    </row>
    <row r="21" spans="1:6" ht="20.149999999999999" customHeight="1">
      <c r="A21" s="9">
        <v>15</v>
      </c>
      <c r="B21" s="10" t="s">
        <v>264</v>
      </c>
      <c r="C21" s="11" t="s">
        <v>265</v>
      </c>
      <c r="D21" s="14" t="s">
        <v>950</v>
      </c>
      <c r="E21" s="223">
        <v>75000</v>
      </c>
      <c r="F21" s="12"/>
    </row>
    <row r="22" spans="1:6" ht="20.149999999999999" customHeight="1">
      <c r="A22" s="9">
        <v>16</v>
      </c>
      <c r="B22" s="17" t="s">
        <v>267</v>
      </c>
      <c r="C22" s="3" t="s">
        <v>268</v>
      </c>
      <c r="D22" s="14" t="s">
        <v>951</v>
      </c>
      <c r="E22" s="223">
        <v>75000</v>
      </c>
      <c r="F22" s="12"/>
    </row>
    <row r="23" spans="1:6" ht="20.149999999999999" customHeight="1">
      <c r="A23" s="9">
        <v>17</v>
      </c>
      <c r="B23" s="10" t="s">
        <v>389</v>
      </c>
      <c r="C23" s="11" t="s">
        <v>390</v>
      </c>
      <c r="D23" s="14" t="s">
        <v>271</v>
      </c>
      <c r="E23" s="223">
        <v>45000</v>
      </c>
      <c r="F23" s="12"/>
    </row>
    <row r="24" spans="1:6" ht="18.75" customHeight="1">
      <c r="A24" s="9">
        <v>18</v>
      </c>
      <c r="B24" s="10" t="s">
        <v>270</v>
      </c>
      <c r="C24" s="11" t="s">
        <v>50</v>
      </c>
      <c r="D24" s="14" t="s">
        <v>332</v>
      </c>
      <c r="E24" s="223">
        <v>45000</v>
      </c>
      <c r="F24" s="12"/>
    </row>
    <row r="25" spans="1:6" ht="18.75" customHeight="1">
      <c r="A25" s="9">
        <v>19</v>
      </c>
      <c r="B25" s="17" t="s">
        <v>1113</v>
      </c>
      <c r="C25" s="11" t="s">
        <v>293</v>
      </c>
      <c r="D25" s="14" t="s">
        <v>345</v>
      </c>
      <c r="E25" s="223">
        <v>45000</v>
      </c>
      <c r="F25" s="12"/>
    </row>
    <row r="26" spans="1:6" ht="18.75" customHeight="1">
      <c r="A26" s="9">
        <v>20</v>
      </c>
      <c r="B26" s="3" t="s">
        <v>278</v>
      </c>
      <c r="C26" s="3" t="s">
        <v>176</v>
      </c>
      <c r="D26" s="9" t="s">
        <v>283</v>
      </c>
      <c r="E26" s="223">
        <v>45000</v>
      </c>
      <c r="F26" s="12"/>
    </row>
    <row r="27" spans="1:6" ht="18.75" customHeight="1">
      <c r="A27" s="9">
        <v>21</v>
      </c>
      <c r="B27" s="17" t="s">
        <v>280</v>
      </c>
      <c r="C27" s="11" t="s">
        <v>176</v>
      </c>
      <c r="D27" s="14" t="s">
        <v>283</v>
      </c>
      <c r="E27" s="223">
        <v>45000</v>
      </c>
      <c r="F27" s="12"/>
    </row>
    <row r="28" spans="1:6" ht="18.75" customHeight="1">
      <c r="A28" s="9">
        <v>22</v>
      </c>
      <c r="B28" s="10" t="s">
        <v>1020</v>
      </c>
      <c r="C28" s="11" t="s">
        <v>1021</v>
      </c>
      <c r="D28" s="14" t="s">
        <v>283</v>
      </c>
      <c r="E28" s="223">
        <v>45000</v>
      </c>
      <c r="F28" s="12"/>
    </row>
    <row r="29" spans="1:6" ht="18.75" customHeight="1">
      <c r="A29" s="9">
        <v>23</v>
      </c>
      <c r="B29" s="17" t="s">
        <v>282</v>
      </c>
      <c r="C29" s="11" t="s">
        <v>967</v>
      </c>
      <c r="D29" s="14" t="s">
        <v>945</v>
      </c>
      <c r="E29" s="223">
        <v>45000</v>
      </c>
      <c r="F29" s="12"/>
    </row>
    <row r="30" spans="1:6" ht="18.75" customHeight="1">
      <c r="A30" s="9">
        <v>24</v>
      </c>
      <c r="B30" s="17" t="s">
        <v>284</v>
      </c>
      <c r="C30" s="3" t="s">
        <v>1022</v>
      </c>
      <c r="D30" s="9" t="s">
        <v>945</v>
      </c>
      <c r="E30" s="223">
        <v>45000</v>
      </c>
      <c r="F30" s="12"/>
    </row>
    <row r="31" spans="1:6" ht="18.75" customHeight="1">
      <c r="A31" s="9">
        <v>25</v>
      </c>
      <c r="B31" s="17" t="s">
        <v>287</v>
      </c>
      <c r="C31" s="16" t="s">
        <v>288</v>
      </c>
      <c r="D31" s="14" t="s">
        <v>283</v>
      </c>
      <c r="E31" s="223">
        <v>45000</v>
      </c>
      <c r="F31" s="12"/>
    </row>
    <row r="32" spans="1:6" ht="18.75" customHeight="1">
      <c r="A32" s="9">
        <v>26</v>
      </c>
      <c r="B32" s="17" t="s">
        <v>289</v>
      </c>
      <c r="C32" s="3" t="s">
        <v>290</v>
      </c>
      <c r="D32" s="9" t="s">
        <v>294</v>
      </c>
      <c r="E32" s="223">
        <v>45000</v>
      </c>
      <c r="F32" s="12"/>
    </row>
    <row r="33" spans="1:6" ht="18.75" customHeight="1">
      <c r="A33" s="9">
        <v>27</v>
      </c>
      <c r="B33" s="17" t="s">
        <v>933</v>
      </c>
      <c r="C33" s="11" t="s">
        <v>293</v>
      </c>
      <c r="D33" s="14" t="s">
        <v>294</v>
      </c>
      <c r="E33" s="223">
        <v>45000</v>
      </c>
      <c r="F33" s="12"/>
    </row>
    <row r="34" spans="1:6" ht="18.75" customHeight="1">
      <c r="A34" s="9">
        <v>28</v>
      </c>
      <c r="B34" s="17" t="s">
        <v>1114</v>
      </c>
      <c r="C34" s="11" t="s">
        <v>293</v>
      </c>
      <c r="D34" s="14" t="s">
        <v>294</v>
      </c>
      <c r="E34" s="223">
        <v>45000</v>
      </c>
      <c r="F34" s="12"/>
    </row>
    <row r="35" spans="1:6" ht="18.75" customHeight="1">
      <c r="A35" s="9">
        <v>29</v>
      </c>
      <c r="B35" s="17" t="s">
        <v>405</v>
      </c>
      <c r="C35" s="11" t="s">
        <v>69</v>
      </c>
      <c r="D35" s="14" t="s">
        <v>31</v>
      </c>
      <c r="E35" s="223">
        <v>45000</v>
      </c>
      <c r="F35" s="12"/>
    </row>
    <row r="36" spans="1:6" ht="26.25" customHeight="1">
      <c r="A36" s="9"/>
      <c r="B36" s="19" t="s">
        <v>34</v>
      </c>
      <c r="C36" s="20">
        <v>29</v>
      </c>
      <c r="D36" s="14"/>
      <c r="E36" s="224">
        <f>SUM(E7:E35)</f>
        <v>2745000</v>
      </c>
      <c r="F36" s="12"/>
    </row>
    <row r="37" spans="1:6" ht="18.75" customHeight="1">
      <c r="A37" s="9"/>
      <c r="B37" s="21"/>
      <c r="C37" s="3"/>
      <c r="D37" s="14"/>
      <c r="E37" s="225"/>
      <c r="F37" s="12"/>
    </row>
    <row r="38" spans="1:6" ht="18.75" customHeight="1">
      <c r="A38" s="9"/>
      <c r="B38" s="19" t="s">
        <v>35</v>
      </c>
      <c r="C38" s="3"/>
      <c r="D38" s="14"/>
      <c r="E38" s="223"/>
      <c r="F38" s="12"/>
    </row>
    <row r="39" spans="1:6" ht="18.75" customHeight="1">
      <c r="A39" s="9">
        <v>1</v>
      </c>
      <c r="B39" s="17" t="s">
        <v>295</v>
      </c>
      <c r="C39" s="3" t="s">
        <v>296</v>
      </c>
      <c r="D39" s="9" t="s">
        <v>297</v>
      </c>
      <c r="E39" s="223">
        <v>225000</v>
      </c>
      <c r="F39" s="12"/>
    </row>
    <row r="40" spans="1:6" ht="18.75" customHeight="1">
      <c r="A40" s="9">
        <v>2</v>
      </c>
      <c r="B40" s="17" t="s">
        <v>298</v>
      </c>
      <c r="C40" s="3" t="s">
        <v>537</v>
      </c>
      <c r="D40" s="9" t="s">
        <v>31</v>
      </c>
      <c r="E40" s="223">
        <v>45000</v>
      </c>
      <c r="F40" s="12"/>
    </row>
    <row r="41" spans="1:6" ht="19.5" customHeight="1">
      <c r="A41" s="9"/>
      <c r="B41" s="13"/>
      <c r="C41" s="20">
        <v>2</v>
      </c>
      <c r="D41" s="9"/>
      <c r="E41" s="224">
        <f>SUM(E39:E40)</f>
        <v>270000</v>
      </c>
      <c r="F41" s="12"/>
    </row>
    <row r="42" spans="1:6" ht="20.149999999999999" customHeight="1">
      <c r="A42" s="9"/>
      <c r="B42" s="13"/>
      <c r="C42" s="3"/>
      <c r="D42" s="9"/>
      <c r="E42" s="223"/>
      <c r="F42" s="12"/>
    </row>
    <row r="43" spans="1:6" ht="20.149999999999999" customHeight="1">
      <c r="A43" s="9"/>
      <c r="B43" s="22" t="s">
        <v>39</v>
      </c>
      <c r="C43" s="4"/>
      <c r="D43" s="23"/>
      <c r="E43" s="223"/>
      <c r="F43" s="12"/>
    </row>
    <row r="44" spans="1:6" ht="20.149999999999999" customHeight="1">
      <c r="A44" s="9">
        <v>1</v>
      </c>
      <c r="B44" s="10" t="s">
        <v>302</v>
      </c>
      <c r="C44" s="3" t="s">
        <v>303</v>
      </c>
      <c r="D44" s="9" t="s">
        <v>297</v>
      </c>
      <c r="E44" s="223">
        <v>225000</v>
      </c>
      <c r="F44" s="12"/>
    </row>
    <row r="45" spans="1:6" ht="20.149999999999999" customHeight="1">
      <c r="A45" s="9">
        <v>2</v>
      </c>
      <c r="B45" s="10" t="s">
        <v>304</v>
      </c>
      <c r="C45" s="3" t="s">
        <v>305</v>
      </c>
      <c r="D45" s="9" t="s">
        <v>249</v>
      </c>
      <c r="E45" s="223">
        <v>105000</v>
      </c>
      <c r="F45" s="12"/>
    </row>
    <row r="46" spans="1:6" ht="20.149999999999999" customHeight="1">
      <c r="A46" s="9">
        <v>3</v>
      </c>
      <c r="B46" s="10" t="s">
        <v>306</v>
      </c>
      <c r="C46" s="3" t="s">
        <v>310</v>
      </c>
      <c r="D46" s="9" t="s">
        <v>249</v>
      </c>
      <c r="E46" s="223">
        <v>105000</v>
      </c>
      <c r="F46" s="12"/>
    </row>
    <row r="47" spans="1:6" ht="20.149999999999999" customHeight="1">
      <c r="A47" s="9">
        <v>4</v>
      </c>
      <c r="B47" s="10" t="s">
        <v>309</v>
      </c>
      <c r="C47" s="3" t="s">
        <v>310</v>
      </c>
      <c r="D47" s="9" t="s">
        <v>249</v>
      </c>
      <c r="E47" s="223">
        <v>105000</v>
      </c>
      <c r="F47" s="12"/>
    </row>
    <row r="48" spans="1:6" ht="20.149999999999999" customHeight="1">
      <c r="A48" s="9">
        <v>5</v>
      </c>
      <c r="B48" s="10" t="s">
        <v>311</v>
      </c>
      <c r="C48" s="3" t="s">
        <v>310</v>
      </c>
      <c r="D48" s="9" t="s">
        <v>327</v>
      </c>
      <c r="E48" s="223">
        <v>105000</v>
      </c>
      <c r="F48" s="12"/>
    </row>
    <row r="49" spans="1:6" ht="20.149999999999999" customHeight="1">
      <c r="A49" s="9">
        <v>6</v>
      </c>
      <c r="B49" s="10" t="s">
        <v>312</v>
      </c>
      <c r="C49" s="3" t="s">
        <v>259</v>
      </c>
      <c r="D49" s="9" t="s">
        <v>257</v>
      </c>
      <c r="E49" s="223">
        <v>75000</v>
      </c>
      <c r="F49" s="12"/>
    </row>
    <row r="50" spans="1:6" ht="20.149999999999999" customHeight="1">
      <c r="A50" s="9">
        <v>7</v>
      </c>
      <c r="B50" s="13" t="s">
        <v>313</v>
      </c>
      <c r="C50" s="3" t="s">
        <v>256</v>
      </c>
      <c r="D50" s="15" t="s">
        <v>257</v>
      </c>
      <c r="E50" s="223">
        <v>75000</v>
      </c>
      <c r="F50" s="12"/>
    </row>
    <row r="51" spans="1:6" ht="20.149999999999999" customHeight="1">
      <c r="A51" s="9">
        <v>8</v>
      </c>
      <c r="B51" s="10" t="s">
        <v>1025</v>
      </c>
      <c r="C51" s="3" t="s">
        <v>256</v>
      </c>
      <c r="D51" s="9" t="s">
        <v>342</v>
      </c>
      <c r="E51" s="223">
        <v>75000</v>
      </c>
      <c r="F51" s="12"/>
    </row>
    <row r="52" spans="1:6" ht="20.149999999999999" customHeight="1">
      <c r="A52" s="9">
        <v>9</v>
      </c>
      <c r="B52" s="10" t="s">
        <v>258</v>
      </c>
      <c r="C52" s="3" t="s">
        <v>353</v>
      </c>
      <c r="D52" s="9" t="s">
        <v>266</v>
      </c>
      <c r="E52" s="223">
        <v>75000</v>
      </c>
      <c r="F52" s="12"/>
    </row>
    <row r="53" spans="1:6" ht="20.149999999999999" customHeight="1">
      <c r="A53" s="9">
        <v>10</v>
      </c>
      <c r="B53" s="10" t="s">
        <v>315</v>
      </c>
      <c r="C53" s="3" t="s">
        <v>63</v>
      </c>
      <c r="D53" s="9" t="s">
        <v>25</v>
      </c>
      <c r="E53" s="223">
        <v>45000</v>
      </c>
      <c r="F53" s="12"/>
    </row>
    <row r="54" spans="1:6" ht="20.149999999999999" customHeight="1">
      <c r="A54" s="9">
        <v>11</v>
      </c>
      <c r="B54" s="10" t="s">
        <v>316</v>
      </c>
      <c r="C54" s="3" t="s">
        <v>63</v>
      </c>
      <c r="D54" s="9" t="s">
        <v>25</v>
      </c>
      <c r="E54" s="223">
        <v>45000</v>
      </c>
      <c r="F54" s="12"/>
    </row>
    <row r="55" spans="1:6" ht="20.149999999999999" customHeight="1">
      <c r="A55" s="9">
        <v>12</v>
      </c>
      <c r="B55" s="10" t="s">
        <v>317</v>
      </c>
      <c r="C55" s="3" t="s">
        <v>63</v>
      </c>
      <c r="D55" s="9" t="s">
        <v>25</v>
      </c>
      <c r="E55" s="223">
        <v>45000</v>
      </c>
      <c r="F55" s="12"/>
    </row>
    <row r="56" spans="1:6" ht="25.5" customHeight="1">
      <c r="A56" s="9"/>
      <c r="B56" s="19" t="s">
        <v>34</v>
      </c>
      <c r="C56" s="20">
        <v>12</v>
      </c>
      <c r="D56" s="20"/>
      <c r="E56" s="226">
        <f>SUM(E44:E55)</f>
        <v>1080000</v>
      </c>
      <c r="F56" s="12"/>
    </row>
    <row r="57" spans="1:6" ht="20.149999999999999" customHeight="1">
      <c r="A57" s="9"/>
      <c r="B57" s="21"/>
      <c r="C57" s="20"/>
      <c r="D57" s="20"/>
      <c r="E57" s="227"/>
      <c r="F57" s="12"/>
    </row>
    <row r="58" spans="1:6" ht="20.149999999999999" customHeight="1">
      <c r="A58" s="9"/>
      <c r="B58" s="19" t="s">
        <v>318</v>
      </c>
      <c r="C58" s="20"/>
      <c r="D58" s="20"/>
      <c r="E58" s="227"/>
      <c r="F58" s="12"/>
    </row>
    <row r="59" spans="1:6" ht="20.149999999999999" customHeight="1">
      <c r="A59" s="9">
        <v>1</v>
      </c>
      <c r="B59" s="10" t="s">
        <v>319</v>
      </c>
      <c r="C59" s="11" t="s">
        <v>320</v>
      </c>
      <c r="D59" s="14" t="s">
        <v>297</v>
      </c>
      <c r="E59" s="223">
        <v>225000</v>
      </c>
      <c r="F59" s="12"/>
    </row>
    <row r="60" spans="1:6" ht="20.149999999999999" customHeight="1">
      <c r="A60" s="9">
        <v>2</v>
      </c>
      <c r="B60" s="10" t="s">
        <v>321</v>
      </c>
      <c r="C60" s="11" t="s">
        <v>322</v>
      </c>
      <c r="D60" s="14" t="s">
        <v>222</v>
      </c>
      <c r="E60" s="223">
        <v>105000</v>
      </c>
      <c r="F60" s="12"/>
    </row>
    <row r="61" spans="1:6" ht="20.149999999999999" customHeight="1">
      <c r="A61" s="9"/>
      <c r="B61" s="19" t="s">
        <v>34</v>
      </c>
      <c r="C61" s="20">
        <v>2</v>
      </c>
      <c r="D61" s="20"/>
      <c r="E61" s="226">
        <f>SUM(E59:E60)</f>
        <v>330000</v>
      </c>
      <c r="F61" s="12"/>
    </row>
    <row r="62" spans="1:6" ht="20.149999999999999" customHeight="1">
      <c r="A62" s="9"/>
      <c r="B62" s="19"/>
      <c r="C62" s="20"/>
      <c r="D62" s="20"/>
      <c r="E62" s="227"/>
      <c r="F62" s="12"/>
    </row>
    <row r="63" spans="1:6" ht="20.149999999999999" customHeight="1">
      <c r="A63" s="9"/>
      <c r="B63" s="19" t="s">
        <v>45</v>
      </c>
      <c r="C63" s="20"/>
      <c r="D63" s="20"/>
      <c r="E63" s="227"/>
      <c r="F63" s="12"/>
    </row>
    <row r="64" spans="1:6" ht="20.149999999999999" customHeight="1">
      <c r="A64" s="9">
        <v>1</v>
      </c>
      <c r="B64" s="10" t="s">
        <v>323</v>
      </c>
      <c r="C64" s="16" t="s">
        <v>324</v>
      </c>
      <c r="D64" s="9" t="s">
        <v>297</v>
      </c>
      <c r="E64" s="223">
        <v>225000</v>
      </c>
      <c r="F64" s="12"/>
    </row>
    <row r="65" spans="1:6" ht="20.149999999999999" customHeight="1">
      <c r="A65" s="9">
        <v>2</v>
      </c>
      <c r="B65" s="17" t="s">
        <v>325</v>
      </c>
      <c r="C65" s="16" t="s">
        <v>326</v>
      </c>
      <c r="D65" s="14" t="s">
        <v>952</v>
      </c>
      <c r="E65" s="223">
        <v>105000</v>
      </c>
      <c r="F65" s="12"/>
    </row>
    <row r="66" spans="1:6" ht="20.149999999999999" customHeight="1">
      <c r="A66" s="9">
        <v>3</v>
      </c>
      <c r="B66" s="10" t="s">
        <v>328</v>
      </c>
      <c r="C66" s="3" t="s">
        <v>47</v>
      </c>
      <c r="D66" s="9" t="s">
        <v>266</v>
      </c>
      <c r="E66" s="223">
        <v>75000</v>
      </c>
      <c r="F66" s="12"/>
    </row>
    <row r="67" spans="1:6" ht="20.149999999999999" customHeight="1">
      <c r="A67" s="9">
        <v>4</v>
      </c>
      <c r="B67" s="17" t="s">
        <v>329</v>
      </c>
      <c r="C67" s="16" t="s">
        <v>47</v>
      </c>
      <c r="D67" s="14" t="s">
        <v>950</v>
      </c>
      <c r="E67" s="223">
        <v>75000</v>
      </c>
      <c r="F67" s="12"/>
    </row>
    <row r="68" spans="1:6" ht="20.149999999999999" customHeight="1">
      <c r="A68" s="9">
        <v>5</v>
      </c>
      <c r="B68" s="13" t="s">
        <v>330</v>
      </c>
      <c r="C68" s="16" t="s">
        <v>256</v>
      </c>
      <c r="D68" s="14" t="s">
        <v>257</v>
      </c>
      <c r="E68" s="223">
        <v>75000</v>
      </c>
      <c r="F68" s="12"/>
    </row>
    <row r="69" spans="1:6" ht="20.149999999999999" customHeight="1">
      <c r="A69" s="9">
        <v>6</v>
      </c>
      <c r="B69" s="13" t="s">
        <v>255</v>
      </c>
      <c r="C69" s="16" t="s">
        <v>256</v>
      </c>
      <c r="D69" s="14" t="s">
        <v>342</v>
      </c>
      <c r="E69" s="223">
        <v>75000</v>
      </c>
      <c r="F69" s="12"/>
    </row>
    <row r="70" spans="1:6" ht="20.149999999999999" customHeight="1">
      <c r="A70" s="9">
        <v>7</v>
      </c>
      <c r="B70" s="10" t="s">
        <v>331</v>
      </c>
      <c r="C70" s="3" t="s">
        <v>63</v>
      </c>
      <c r="D70" s="9" t="s">
        <v>42</v>
      </c>
      <c r="E70" s="223">
        <v>45000</v>
      </c>
      <c r="F70" s="12"/>
    </row>
    <row r="71" spans="1:6" ht="20.149999999999999" customHeight="1">
      <c r="A71" s="9">
        <v>8</v>
      </c>
      <c r="B71" s="10" t="s">
        <v>333</v>
      </c>
      <c r="C71" s="16" t="s">
        <v>275</v>
      </c>
      <c r="D71" s="14" t="s">
        <v>42</v>
      </c>
      <c r="E71" s="223">
        <v>45000</v>
      </c>
      <c r="F71" s="12"/>
    </row>
    <row r="72" spans="1:6" ht="20.149999999999999" customHeight="1">
      <c r="A72" s="9">
        <v>9</v>
      </c>
      <c r="B72" s="10" t="s">
        <v>334</v>
      </c>
      <c r="C72" s="16" t="s">
        <v>275</v>
      </c>
      <c r="D72" s="14" t="s">
        <v>42</v>
      </c>
      <c r="E72" s="223">
        <v>45000</v>
      </c>
      <c r="F72" s="12"/>
    </row>
    <row r="73" spans="1:6" ht="20.149999999999999" customHeight="1">
      <c r="A73" s="9">
        <v>10</v>
      </c>
      <c r="B73" s="10" t="s">
        <v>335</v>
      </c>
      <c r="C73" s="3" t="s">
        <v>336</v>
      </c>
      <c r="D73" s="9" t="s">
        <v>332</v>
      </c>
      <c r="E73" s="223">
        <v>45000</v>
      </c>
      <c r="F73" s="12"/>
    </row>
    <row r="74" spans="1:6" ht="20.149999999999999" customHeight="1">
      <c r="A74" s="9">
        <v>11</v>
      </c>
      <c r="B74" s="10" t="s">
        <v>1115</v>
      </c>
      <c r="C74" s="16" t="s">
        <v>63</v>
      </c>
      <c r="D74" s="9" t="s">
        <v>301</v>
      </c>
      <c r="E74" s="223">
        <v>45000</v>
      </c>
      <c r="F74" s="12"/>
    </row>
    <row r="75" spans="1:6" ht="20.149999999999999" customHeight="1">
      <c r="A75" s="9">
        <v>12</v>
      </c>
      <c r="B75" s="10" t="s">
        <v>281</v>
      </c>
      <c r="C75" s="16" t="s">
        <v>273</v>
      </c>
      <c r="D75" s="9" t="s">
        <v>283</v>
      </c>
      <c r="E75" s="223">
        <v>45000</v>
      </c>
      <c r="F75" s="12"/>
    </row>
    <row r="76" spans="1:6" ht="20.149999999999999" customHeight="1">
      <c r="A76" s="9">
        <v>13</v>
      </c>
      <c r="B76" s="13" t="s">
        <v>272</v>
      </c>
      <c r="C76" s="16" t="s">
        <v>273</v>
      </c>
      <c r="D76" s="9" t="s">
        <v>294</v>
      </c>
      <c r="E76" s="223">
        <v>45000</v>
      </c>
      <c r="F76" s="12"/>
    </row>
    <row r="77" spans="1:6" ht="20.149999999999999" customHeight="1">
      <c r="A77" s="9"/>
      <c r="B77" s="19" t="s">
        <v>34</v>
      </c>
      <c r="C77" s="20">
        <v>13</v>
      </c>
      <c r="D77" s="20"/>
      <c r="E77" s="226">
        <f>SUM(E64:E76)</f>
        <v>945000</v>
      </c>
      <c r="F77" s="12"/>
    </row>
    <row r="78" spans="1:6" ht="20.149999999999999" customHeight="1">
      <c r="A78" s="9"/>
      <c r="B78" s="21"/>
      <c r="C78" s="20"/>
      <c r="D78" s="20"/>
      <c r="E78" s="227"/>
      <c r="F78" s="12"/>
    </row>
    <row r="79" spans="1:6" ht="20.149999999999999" customHeight="1">
      <c r="A79" s="9"/>
      <c r="B79" s="19" t="s">
        <v>51</v>
      </c>
      <c r="C79" s="20"/>
      <c r="D79" s="20"/>
      <c r="E79" s="227"/>
      <c r="F79" s="12"/>
    </row>
    <row r="80" spans="1:6" ht="20.149999999999999" customHeight="1">
      <c r="A80" s="9">
        <v>1</v>
      </c>
      <c r="B80" s="10" t="s">
        <v>338</v>
      </c>
      <c r="C80" s="3" t="s">
        <v>339</v>
      </c>
      <c r="D80" s="9" t="s">
        <v>297</v>
      </c>
      <c r="E80" s="223">
        <v>225000</v>
      </c>
      <c r="F80" s="12"/>
    </row>
    <row r="81" spans="1:6" ht="20.149999999999999" customHeight="1">
      <c r="A81" s="9">
        <v>2</v>
      </c>
      <c r="B81" s="13" t="s">
        <v>220</v>
      </c>
      <c r="C81" s="3" t="s">
        <v>221</v>
      </c>
      <c r="D81" s="14" t="s">
        <v>952</v>
      </c>
      <c r="E81" s="223">
        <v>105000</v>
      </c>
      <c r="F81" s="12"/>
    </row>
    <row r="82" spans="1:6" ht="20.149999999999999" customHeight="1">
      <c r="A82" s="9">
        <v>3</v>
      </c>
      <c r="B82" s="13" t="s">
        <v>1116</v>
      </c>
      <c r="C82" s="3" t="s">
        <v>1117</v>
      </c>
      <c r="D82" s="14" t="s">
        <v>952</v>
      </c>
      <c r="E82" s="223">
        <v>105000</v>
      </c>
      <c r="F82" s="12"/>
    </row>
    <row r="83" spans="1:6" ht="20.149999999999999" customHeight="1">
      <c r="A83" s="9">
        <v>4</v>
      </c>
      <c r="B83" s="10" t="s">
        <v>340</v>
      </c>
      <c r="C83" s="3" t="s">
        <v>968</v>
      </c>
      <c r="D83" s="14" t="s">
        <v>266</v>
      </c>
      <c r="E83" s="223">
        <v>75000</v>
      </c>
      <c r="F83" s="12"/>
    </row>
    <row r="84" spans="1:6" ht="20.149999999999999" customHeight="1">
      <c r="A84" s="9">
        <v>5</v>
      </c>
      <c r="B84" s="10" t="s">
        <v>343</v>
      </c>
      <c r="C84" s="3" t="s">
        <v>344</v>
      </c>
      <c r="D84" s="9" t="s">
        <v>301</v>
      </c>
      <c r="E84" s="223">
        <v>45000</v>
      </c>
      <c r="F84" s="12"/>
    </row>
    <row r="85" spans="1:6" ht="20.149999999999999" customHeight="1">
      <c r="A85" s="9"/>
      <c r="B85" s="19" t="s">
        <v>34</v>
      </c>
      <c r="C85" s="20">
        <v>5</v>
      </c>
      <c r="D85" s="20"/>
      <c r="E85" s="226">
        <f>SUM(E80:E84)</f>
        <v>555000</v>
      </c>
      <c r="F85" s="12"/>
    </row>
    <row r="86" spans="1:6" ht="20.149999999999999" customHeight="1">
      <c r="A86" s="9"/>
      <c r="B86" s="19"/>
      <c r="C86" s="20"/>
      <c r="D86" s="20"/>
      <c r="E86" s="223"/>
      <c r="F86" s="12"/>
    </row>
    <row r="87" spans="1:6" ht="20.149999999999999" customHeight="1">
      <c r="A87" s="9"/>
      <c r="B87" s="19" t="s">
        <v>56</v>
      </c>
      <c r="C87" s="24"/>
      <c r="D87" s="20"/>
      <c r="E87" s="223"/>
      <c r="F87" s="12"/>
    </row>
    <row r="88" spans="1:6" ht="20.149999999999999" customHeight="1">
      <c r="A88" s="9">
        <v>1</v>
      </c>
      <c r="B88" s="10" t="s">
        <v>349</v>
      </c>
      <c r="C88" s="3" t="s">
        <v>310</v>
      </c>
      <c r="D88" s="9" t="s">
        <v>249</v>
      </c>
      <c r="E88" s="223">
        <v>105000</v>
      </c>
      <c r="F88" s="12"/>
    </row>
    <row r="89" spans="1:6" ht="20.149999999999999" customHeight="1">
      <c r="A89" s="9">
        <v>2</v>
      </c>
      <c r="B89" s="10" t="s">
        <v>350</v>
      </c>
      <c r="C89" s="3" t="s">
        <v>310</v>
      </c>
      <c r="D89" s="9" t="s">
        <v>249</v>
      </c>
      <c r="E89" s="223">
        <v>105000</v>
      </c>
      <c r="F89" s="12"/>
    </row>
    <row r="90" spans="1:6" ht="20.149999999999999" customHeight="1">
      <c r="A90" s="9">
        <v>3</v>
      </c>
      <c r="B90" s="13" t="s">
        <v>386</v>
      </c>
      <c r="C90" s="3" t="s">
        <v>256</v>
      </c>
      <c r="D90" s="9" t="s">
        <v>254</v>
      </c>
      <c r="E90" s="223">
        <v>75000</v>
      </c>
      <c r="F90" s="12"/>
    </row>
    <row r="91" spans="1:6" ht="20.149999999999999" customHeight="1">
      <c r="A91" s="9">
        <v>4</v>
      </c>
      <c r="B91" s="10" t="s">
        <v>351</v>
      </c>
      <c r="C91" s="3" t="s">
        <v>259</v>
      </c>
      <c r="D91" s="9" t="s">
        <v>257</v>
      </c>
      <c r="E91" s="223">
        <v>75000</v>
      </c>
      <c r="F91" s="12"/>
    </row>
    <row r="92" spans="1:6" ht="21.65" customHeight="1">
      <c r="A92" s="9">
        <v>5</v>
      </c>
      <c r="B92" s="10" t="s">
        <v>352</v>
      </c>
      <c r="C92" s="3" t="s">
        <v>353</v>
      </c>
      <c r="D92" s="14" t="s">
        <v>266</v>
      </c>
      <c r="E92" s="223">
        <v>75000</v>
      </c>
      <c r="F92" s="12"/>
    </row>
    <row r="93" spans="1:6" ht="21.65" customHeight="1">
      <c r="A93" s="9">
        <v>6</v>
      </c>
      <c r="B93" s="10" t="s">
        <v>354</v>
      </c>
      <c r="C93" s="11" t="s">
        <v>47</v>
      </c>
      <c r="D93" s="14" t="s">
        <v>950</v>
      </c>
      <c r="E93" s="223">
        <v>75000</v>
      </c>
      <c r="F93" s="12"/>
    </row>
    <row r="94" spans="1:6" ht="21.65" customHeight="1">
      <c r="A94" s="9">
        <v>7</v>
      </c>
      <c r="B94" s="10" t="s">
        <v>355</v>
      </c>
      <c r="C94" s="11" t="s">
        <v>47</v>
      </c>
      <c r="D94" s="14" t="s">
        <v>950</v>
      </c>
      <c r="E94" s="223">
        <v>75000</v>
      </c>
      <c r="F94" s="12"/>
    </row>
    <row r="95" spans="1:6" ht="21.65" customHeight="1">
      <c r="A95" s="9">
        <v>8</v>
      </c>
      <c r="B95" s="10" t="s">
        <v>357</v>
      </c>
      <c r="C95" s="16" t="s">
        <v>275</v>
      </c>
      <c r="D95" s="14" t="s">
        <v>42</v>
      </c>
      <c r="E95" s="223">
        <v>45000</v>
      </c>
      <c r="F95" s="12"/>
    </row>
    <row r="96" spans="1:6" ht="21.65" customHeight="1">
      <c r="A96" s="9">
        <v>9</v>
      </c>
      <c r="B96" s="10" t="s">
        <v>359</v>
      </c>
      <c r="C96" s="3" t="s">
        <v>360</v>
      </c>
      <c r="D96" s="9" t="s">
        <v>38</v>
      </c>
      <c r="E96" s="223">
        <v>45000</v>
      </c>
      <c r="F96" s="12"/>
    </row>
    <row r="97" spans="1:6" ht="21.65" customHeight="1">
      <c r="A97" s="9">
        <v>10</v>
      </c>
      <c r="B97" s="10" t="s">
        <v>361</v>
      </c>
      <c r="C97" s="16" t="s">
        <v>362</v>
      </c>
      <c r="D97" s="14" t="s">
        <v>294</v>
      </c>
      <c r="E97" s="223">
        <v>45000</v>
      </c>
      <c r="F97" s="12"/>
    </row>
    <row r="98" spans="1:6" ht="20.149999999999999" customHeight="1">
      <c r="A98" s="9"/>
      <c r="B98" s="19" t="s">
        <v>34</v>
      </c>
      <c r="C98" s="20">
        <v>10</v>
      </c>
      <c r="D98" s="20"/>
      <c r="E98" s="226">
        <f>SUM(E88:E97)</f>
        <v>720000</v>
      </c>
      <c r="F98" s="12"/>
    </row>
    <row r="99" spans="1:6" ht="20.149999999999999" customHeight="1">
      <c r="A99" s="9"/>
      <c r="B99" s="21"/>
      <c r="C99" s="20"/>
      <c r="D99" s="20"/>
      <c r="E99" s="227"/>
      <c r="F99" s="12"/>
    </row>
    <row r="100" spans="1:6" ht="20.149999999999999" customHeight="1">
      <c r="A100" s="9"/>
      <c r="B100" s="19" t="s">
        <v>58</v>
      </c>
      <c r="C100" s="20"/>
      <c r="D100" s="20"/>
      <c r="E100" s="227"/>
      <c r="F100" s="12"/>
    </row>
    <row r="101" spans="1:6" ht="20.149999999999999" customHeight="1">
      <c r="A101" s="9">
        <v>1</v>
      </c>
      <c r="B101" s="17" t="s">
        <v>232</v>
      </c>
      <c r="C101" s="9" t="s">
        <v>233</v>
      </c>
      <c r="D101" s="14" t="s">
        <v>308</v>
      </c>
      <c r="E101" s="223">
        <v>150000</v>
      </c>
      <c r="F101" s="12"/>
    </row>
    <row r="102" spans="1:6" ht="20.149999999999999" customHeight="1">
      <c r="A102" s="9">
        <v>2</v>
      </c>
      <c r="B102" s="10" t="s">
        <v>250</v>
      </c>
      <c r="C102" s="3" t="s">
        <v>367</v>
      </c>
      <c r="D102" s="9" t="s">
        <v>257</v>
      </c>
      <c r="E102" s="223">
        <v>75000</v>
      </c>
      <c r="F102" s="12"/>
    </row>
    <row r="103" spans="1:6" ht="20.149999999999999" customHeight="1">
      <c r="A103" s="9">
        <v>3</v>
      </c>
      <c r="B103" s="10" t="s">
        <v>368</v>
      </c>
      <c r="C103" s="3" t="s">
        <v>369</v>
      </c>
      <c r="D103" s="14" t="s">
        <v>332</v>
      </c>
      <c r="E103" s="223">
        <v>45000</v>
      </c>
      <c r="F103" s="12"/>
    </row>
    <row r="104" spans="1:6" ht="20.149999999999999" customHeight="1">
      <c r="A104" s="9">
        <v>4</v>
      </c>
      <c r="B104" s="10" t="s">
        <v>1118</v>
      </c>
      <c r="C104" s="3" t="s">
        <v>1119</v>
      </c>
      <c r="D104" s="14" t="s">
        <v>945</v>
      </c>
      <c r="E104" s="223">
        <v>45000</v>
      </c>
      <c r="F104" s="12"/>
    </row>
    <row r="105" spans="1:6" ht="20.149999999999999" customHeight="1">
      <c r="A105" s="3"/>
      <c r="B105" s="19" t="s">
        <v>34</v>
      </c>
      <c r="C105" s="20">
        <v>3</v>
      </c>
      <c r="D105" s="25"/>
      <c r="E105" s="226">
        <f>SUM(E101:E104)</f>
        <v>315000</v>
      </c>
      <c r="F105" s="12"/>
    </row>
    <row r="106" spans="1:6" ht="20.149999999999999" customHeight="1">
      <c r="A106" s="3"/>
      <c r="B106" s="21"/>
      <c r="C106" s="20"/>
      <c r="D106" s="25"/>
      <c r="E106" s="227"/>
      <c r="F106" s="12"/>
    </row>
    <row r="107" spans="1:6" ht="20.149999999999999" customHeight="1">
      <c r="A107" s="3"/>
      <c r="B107" s="19" t="s">
        <v>372</v>
      </c>
      <c r="C107" s="3"/>
      <c r="D107" s="3"/>
      <c r="E107" s="228"/>
      <c r="F107" s="12"/>
    </row>
    <row r="108" spans="1:6" ht="20.149999999999999" customHeight="1">
      <c r="A108" s="3">
        <v>1</v>
      </c>
      <c r="B108" s="10" t="s">
        <v>373</v>
      </c>
      <c r="C108" s="11" t="s">
        <v>374</v>
      </c>
      <c r="D108" s="14" t="s">
        <v>297</v>
      </c>
      <c r="E108" s="223">
        <v>225000</v>
      </c>
      <c r="F108" s="12"/>
    </row>
    <row r="109" spans="1:6" ht="20.149999999999999" customHeight="1">
      <c r="A109" s="3">
        <v>2</v>
      </c>
      <c r="B109" s="10" t="s">
        <v>375</v>
      </c>
      <c r="C109" s="3" t="s">
        <v>376</v>
      </c>
      <c r="D109" s="15" t="s">
        <v>308</v>
      </c>
      <c r="E109" s="223">
        <v>150000</v>
      </c>
      <c r="F109" s="12"/>
    </row>
    <row r="110" spans="1:6" ht="20.149999999999999" customHeight="1">
      <c r="A110" s="3">
        <v>3</v>
      </c>
      <c r="B110" s="10" t="s">
        <v>377</v>
      </c>
      <c r="C110" s="3" t="s">
        <v>378</v>
      </c>
      <c r="D110" s="9" t="s">
        <v>263</v>
      </c>
      <c r="E110" s="223">
        <v>75000</v>
      </c>
      <c r="F110" s="12"/>
    </row>
    <row r="111" spans="1:6" ht="20.149999999999999" customHeight="1">
      <c r="A111" s="3">
        <v>4</v>
      </c>
      <c r="B111" s="10" t="s">
        <v>379</v>
      </c>
      <c r="C111" s="3" t="s">
        <v>378</v>
      </c>
      <c r="D111" s="9" t="s">
        <v>263</v>
      </c>
      <c r="E111" s="223">
        <v>75000</v>
      </c>
      <c r="F111" s="12"/>
    </row>
    <row r="112" spans="1:6" ht="20.149999999999999" customHeight="1">
      <c r="A112" s="3">
        <v>5</v>
      </c>
      <c r="B112" s="10" t="s">
        <v>380</v>
      </c>
      <c r="C112" s="3" t="s">
        <v>381</v>
      </c>
      <c r="D112" s="14" t="s">
        <v>384</v>
      </c>
      <c r="E112" s="223">
        <v>45000</v>
      </c>
      <c r="F112" s="12"/>
    </row>
    <row r="113" spans="1:6" ht="20.149999999999999" customHeight="1">
      <c r="A113" s="3">
        <v>6</v>
      </c>
      <c r="B113" s="17" t="s">
        <v>383</v>
      </c>
      <c r="C113" s="3" t="s">
        <v>381</v>
      </c>
      <c r="D113" s="9" t="s">
        <v>945</v>
      </c>
      <c r="E113" s="223">
        <v>45000</v>
      </c>
      <c r="F113" s="12"/>
    </row>
    <row r="114" spans="1:6" ht="20.149999999999999" customHeight="1">
      <c r="A114" s="3">
        <v>7</v>
      </c>
      <c r="B114" s="17" t="s">
        <v>385</v>
      </c>
      <c r="C114" s="3" t="s">
        <v>381</v>
      </c>
      <c r="D114" s="14" t="s">
        <v>294</v>
      </c>
      <c r="E114" s="223">
        <v>45000</v>
      </c>
      <c r="F114" s="12"/>
    </row>
    <row r="115" spans="1:6" ht="20.149999999999999" customHeight="1">
      <c r="A115" s="3"/>
      <c r="B115" s="19" t="s">
        <v>34</v>
      </c>
      <c r="C115" s="20">
        <v>7</v>
      </c>
      <c r="D115" s="3"/>
      <c r="E115" s="229">
        <f>SUM(E108:E114)</f>
        <v>660000</v>
      </c>
      <c r="F115" s="12"/>
    </row>
    <row r="116" spans="1:6" ht="20.149999999999999" customHeight="1">
      <c r="A116" s="3"/>
      <c r="B116" s="19"/>
      <c r="C116" s="20"/>
      <c r="D116" s="3"/>
      <c r="E116" s="229"/>
      <c r="F116" s="12"/>
    </row>
    <row r="117" spans="1:6" ht="48.75" customHeight="1">
      <c r="A117" s="9"/>
      <c r="B117" s="19" t="s">
        <v>1123</v>
      </c>
      <c r="C117" s="20"/>
      <c r="D117" s="20"/>
      <c r="E117" s="229"/>
      <c r="F117" s="12"/>
    </row>
    <row r="118" spans="1:6" ht="27" customHeight="1">
      <c r="A118" s="9">
        <v>1</v>
      </c>
      <c r="B118" s="10" t="s">
        <v>1033</v>
      </c>
      <c r="C118" s="16" t="s">
        <v>275</v>
      </c>
      <c r="D118" s="14" t="s">
        <v>271</v>
      </c>
      <c r="E118" s="223">
        <v>45000</v>
      </c>
      <c r="F118" s="12"/>
    </row>
    <row r="119" spans="1:6" ht="27" customHeight="1">
      <c r="A119" s="9">
        <v>2</v>
      </c>
      <c r="B119" s="10" t="s">
        <v>387</v>
      </c>
      <c r="C119" s="3" t="s">
        <v>388</v>
      </c>
      <c r="D119" s="14" t="s">
        <v>332</v>
      </c>
      <c r="E119" s="223">
        <v>45000</v>
      </c>
      <c r="F119" s="12"/>
    </row>
    <row r="120" spans="1:6" ht="27" customHeight="1">
      <c r="A120" s="3"/>
      <c r="B120" s="19" t="s">
        <v>34</v>
      </c>
      <c r="C120" s="20">
        <v>2</v>
      </c>
      <c r="D120" s="25"/>
      <c r="E120" s="229">
        <f>SUM(E118:E119)</f>
        <v>90000</v>
      </c>
      <c r="F120" s="12"/>
    </row>
    <row r="121" spans="1:6" ht="20.149999999999999" customHeight="1">
      <c r="A121" s="3"/>
      <c r="B121" s="21"/>
      <c r="C121" s="9"/>
      <c r="D121" s="3"/>
      <c r="E121" s="230"/>
      <c r="F121" s="12"/>
    </row>
    <row r="122" spans="1:6" ht="20.149999999999999" customHeight="1">
      <c r="A122" s="3"/>
      <c r="B122" s="19" t="s">
        <v>67</v>
      </c>
      <c r="C122" s="20"/>
      <c r="D122" s="20"/>
      <c r="E122" s="223"/>
      <c r="F122" s="12"/>
    </row>
    <row r="123" spans="1:6" ht="20.149999999999999" customHeight="1">
      <c r="A123" s="3">
        <v>1</v>
      </c>
      <c r="B123" s="10" t="s">
        <v>392</v>
      </c>
      <c r="C123" s="11" t="s">
        <v>393</v>
      </c>
      <c r="D123" s="14" t="s">
        <v>297</v>
      </c>
      <c r="E123" s="223">
        <v>225000</v>
      </c>
      <c r="F123" s="12"/>
    </row>
    <row r="124" spans="1:6" ht="20.149999999999999" customHeight="1">
      <c r="A124" s="3">
        <v>2</v>
      </c>
      <c r="B124" s="10" t="s">
        <v>130</v>
      </c>
      <c r="C124" s="11" t="s">
        <v>227</v>
      </c>
      <c r="D124" s="14" t="s">
        <v>249</v>
      </c>
      <c r="E124" s="223">
        <v>105000</v>
      </c>
      <c r="F124" s="12"/>
    </row>
    <row r="125" spans="1:6" ht="20.149999999999999" customHeight="1">
      <c r="A125" s="3">
        <v>3</v>
      </c>
      <c r="B125" s="13" t="s">
        <v>395</v>
      </c>
      <c r="C125" s="11" t="s">
        <v>227</v>
      </c>
      <c r="D125" s="14" t="s">
        <v>249</v>
      </c>
      <c r="E125" s="223">
        <v>105000</v>
      </c>
      <c r="F125" s="12"/>
    </row>
    <row r="126" spans="1:6" ht="20.149999999999999" customHeight="1">
      <c r="A126" s="3">
        <v>4</v>
      </c>
      <c r="B126" s="13" t="s">
        <v>226</v>
      </c>
      <c r="C126" s="11" t="s">
        <v>227</v>
      </c>
      <c r="D126" s="14" t="s">
        <v>228</v>
      </c>
      <c r="E126" s="223">
        <v>105000</v>
      </c>
      <c r="F126" s="12"/>
    </row>
    <row r="127" spans="1:6" ht="20.149999999999999" customHeight="1">
      <c r="A127" s="3">
        <v>5</v>
      </c>
      <c r="B127" s="10" t="s">
        <v>396</v>
      </c>
      <c r="C127" s="11" t="s">
        <v>397</v>
      </c>
      <c r="D127" s="14" t="s">
        <v>342</v>
      </c>
      <c r="E127" s="223">
        <v>75000</v>
      </c>
      <c r="F127" s="12"/>
    </row>
    <row r="128" spans="1:6" ht="20.149999999999999" customHeight="1">
      <c r="A128" s="3">
        <v>6</v>
      </c>
      <c r="B128" s="10" t="s">
        <v>398</v>
      </c>
      <c r="C128" s="11" t="s">
        <v>399</v>
      </c>
      <c r="D128" s="14" t="s">
        <v>266</v>
      </c>
      <c r="E128" s="223">
        <v>75000</v>
      </c>
      <c r="F128" s="12"/>
    </row>
    <row r="129" spans="1:6" ht="20.149999999999999" customHeight="1">
      <c r="A129" s="3">
        <v>7</v>
      </c>
      <c r="B129" s="10" t="s">
        <v>400</v>
      </c>
      <c r="C129" s="11" t="s">
        <v>970</v>
      </c>
      <c r="D129" s="14" t="s">
        <v>266</v>
      </c>
      <c r="E129" s="223">
        <v>75000</v>
      </c>
      <c r="F129" s="12"/>
    </row>
    <row r="130" spans="1:6" ht="20.149999999999999" customHeight="1">
      <c r="A130" s="3">
        <v>8</v>
      </c>
      <c r="B130" s="10" t="s">
        <v>401</v>
      </c>
      <c r="C130" s="11" t="s">
        <v>402</v>
      </c>
      <c r="D130" s="9" t="s">
        <v>283</v>
      </c>
      <c r="E130" s="223">
        <v>45000</v>
      </c>
      <c r="F130" s="12"/>
    </row>
    <row r="131" spans="1:6" ht="20.149999999999999" customHeight="1">
      <c r="A131" s="3">
        <v>9</v>
      </c>
      <c r="B131" s="17" t="s">
        <v>403</v>
      </c>
      <c r="C131" s="11" t="s">
        <v>404</v>
      </c>
      <c r="D131" s="14" t="s">
        <v>294</v>
      </c>
      <c r="E131" s="223">
        <v>45000</v>
      </c>
      <c r="F131" s="12"/>
    </row>
    <row r="132" spans="1:6" ht="20.149999999999999" customHeight="1">
      <c r="A132" s="3"/>
      <c r="B132" s="19" t="s">
        <v>34</v>
      </c>
      <c r="C132" s="25" t="s">
        <v>1120</v>
      </c>
      <c r="D132" s="14"/>
      <c r="E132" s="231">
        <f>SUM(E123:E131)</f>
        <v>855000</v>
      </c>
      <c r="F132" s="12"/>
    </row>
    <row r="133" spans="1:6" ht="20.149999999999999" customHeight="1">
      <c r="A133" s="3"/>
      <c r="B133" s="21"/>
      <c r="C133" s="25"/>
      <c r="D133" s="14"/>
      <c r="E133" s="227"/>
      <c r="F133" s="12"/>
    </row>
    <row r="134" spans="1:6" ht="20.149999999999999" customHeight="1">
      <c r="A134" s="3"/>
      <c r="B134" s="19" t="s">
        <v>71</v>
      </c>
      <c r="C134" s="11"/>
      <c r="D134" s="14"/>
      <c r="E134" s="223"/>
      <c r="F134" s="12"/>
    </row>
    <row r="135" spans="1:6" ht="20.149999999999999" customHeight="1">
      <c r="A135" s="26">
        <v>1</v>
      </c>
      <c r="B135" s="10" t="s">
        <v>407</v>
      </c>
      <c r="C135" s="11" t="s">
        <v>408</v>
      </c>
      <c r="D135" s="14" t="s">
        <v>297</v>
      </c>
      <c r="E135" s="223">
        <v>225000</v>
      </c>
      <c r="F135" s="12"/>
    </row>
    <row r="136" spans="1:6" ht="20.149999999999999" customHeight="1">
      <c r="A136" s="26">
        <v>2</v>
      </c>
      <c r="B136" s="10" t="s">
        <v>229</v>
      </c>
      <c r="C136" s="11" t="s">
        <v>230</v>
      </c>
      <c r="D136" s="14" t="s">
        <v>231</v>
      </c>
      <c r="E136" s="223">
        <v>150000</v>
      </c>
      <c r="F136" s="12"/>
    </row>
    <row r="137" spans="1:6" ht="20.149999999999999" customHeight="1">
      <c r="A137" s="26">
        <v>3</v>
      </c>
      <c r="B137" s="13" t="s">
        <v>409</v>
      </c>
      <c r="C137" s="3" t="s">
        <v>410</v>
      </c>
      <c r="D137" s="15" t="s">
        <v>308</v>
      </c>
      <c r="E137" s="223">
        <v>150000</v>
      </c>
      <c r="F137" s="12"/>
    </row>
    <row r="138" spans="1:6" ht="20.149999999999999" customHeight="1">
      <c r="A138" s="26">
        <v>4</v>
      </c>
      <c r="B138" s="10" t="s">
        <v>411</v>
      </c>
      <c r="C138" s="11" t="s">
        <v>412</v>
      </c>
      <c r="D138" s="14" t="s">
        <v>257</v>
      </c>
      <c r="E138" s="223">
        <v>75000</v>
      </c>
      <c r="F138" s="12"/>
    </row>
    <row r="139" spans="1:6" ht="20.149999999999999" customHeight="1">
      <c r="A139" s="26">
        <v>5</v>
      </c>
      <c r="B139" s="10" t="s">
        <v>413</v>
      </c>
      <c r="C139" s="3" t="s">
        <v>414</v>
      </c>
      <c r="D139" s="14" t="s">
        <v>257</v>
      </c>
      <c r="E139" s="223">
        <v>75000</v>
      </c>
      <c r="F139" s="12"/>
    </row>
    <row r="140" spans="1:6" ht="20.149999999999999" customHeight="1">
      <c r="A140" s="26">
        <v>6</v>
      </c>
      <c r="B140" s="10" t="s">
        <v>366</v>
      </c>
      <c r="C140" s="3" t="s">
        <v>420</v>
      </c>
      <c r="D140" s="14" t="s">
        <v>266</v>
      </c>
      <c r="E140" s="223">
        <v>75000</v>
      </c>
      <c r="F140" s="12"/>
    </row>
    <row r="141" spans="1:6" ht="20.149999999999999" customHeight="1">
      <c r="A141" s="26">
        <v>7</v>
      </c>
      <c r="B141" s="10" t="s">
        <v>416</v>
      </c>
      <c r="C141" s="11" t="s">
        <v>417</v>
      </c>
      <c r="D141" s="14" t="s">
        <v>271</v>
      </c>
      <c r="E141" s="223">
        <v>45000</v>
      </c>
      <c r="F141" s="12"/>
    </row>
    <row r="142" spans="1:6" ht="20.149999999999999" customHeight="1">
      <c r="A142" s="26">
        <v>8</v>
      </c>
      <c r="B142" s="10" t="s">
        <v>418</v>
      </c>
      <c r="C142" s="11" t="s">
        <v>417</v>
      </c>
      <c r="D142" s="14" t="s">
        <v>271</v>
      </c>
      <c r="E142" s="223">
        <v>45000</v>
      </c>
      <c r="F142" s="12"/>
    </row>
    <row r="143" spans="1:6" ht="20.149999999999999" customHeight="1">
      <c r="A143" s="26">
        <v>9</v>
      </c>
      <c r="B143" s="10" t="s">
        <v>419</v>
      </c>
      <c r="C143" s="3" t="s">
        <v>420</v>
      </c>
      <c r="D143" s="14" t="s">
        <v>271</v>
      </c>
      <c r="E143" s="223">
        <v>45000</v>
      </c>
      <c r="F143" s="12"/>
    </row>
    <row r="144" spans="1:6" ht="20.149999999999999" customHeight="1">
      <c r="A144" s="26">
        <v>10</v>
      </c>
      <c r="B144" s="10" t="s">
        <v>421</v>
      </c>
      <c r="C144" s="11" t="s">
        <v>426</v>
      </c>
      <c r="D144" s="14" t="s">
        <v>332</v>
      </c>
      <c r="E144" s="223">
        <v>45000</v>
      </c>
      <c r="F144" s="12"/>
    </row>
    <row r="145" spans="1:6" ht="20.149999999999999" customHeight="1">
      <c r="A145" s="26">
        <v>11</v>
      </c>
      <c r="B145" s="10" t="s">
        <v>423</v>
      </c>
      <c r="C145" s="11" t="s">
        <v>971</v>
      </c>
      <c r="D145" s="14" t="s">
        <v>432</v>
      </c>
      <c r="E145" s="223">
        <v>45000</v>
      </c>
      <c r="F145" s="12"/>
    </row>
    <row r="146" spans="1:6" ht="20.149999999999999" customHeight="1">
      <c r="A146" s="26">
        <v>12</v>
      </c>
      <c r="B146" s="10" t="s">
        <v>425</v>
      </c>
      <c r="C146" s="11" t="s">
        <v>426</v>
      </c>
      <c r="D146" s="14" t="s">
        <v>271</v>
      </c>
      <c r="E146" s="223">
        <v>45000</v>
      </c>
      <c r="F146" s="12"/>
    </row>
    <row r="147" spans="1:6" ht="20.149999999999999" customHeight="1">
      <c r="A147" s="26">
        <v>13</v>
      </c>
      <c r="B147" s="17" t="s">
        <v>427</v>
      </c>
      <c r="C147" s="3" t="s">
        <v>437</v>
      </c>
      <c r="D147" s="14" t="s">
        <v>432</v>
      </c>
      <c r="E147" s="223">
        <v>45000</v>
      </c>
      <c r="F147" s="12"/>
    </row>
    <row r="148" spans="1:6" ht="20.149999999999999" customHeight="1">
      <c r="A148" s="26">
        <v>14</v>
      </c>
      <c r="B148" s="10" t="s">
        <v>429</v>
      </c>
      <c r="C148" s="3" t="s">
        <v>430</v>
      </c>
      <c r="D148" s="14" t="s">
        <v>301</v>
      </c>
      <c r="E148" s="223">
        <v>45000</v>
      </c>
      <c r="F148" s="12"/>
    </row>
    <row r="149" spans="1:6" ht="20.149999999999999" customHeight="1">
      <c r="A149" s="26">
        <v>15</v>
      </c>
      <c r="B149" s="10" t="s">
        <v>431</v>
      </c>
      <c r="C149" s="3" t="s">
        <v>430</v>
      </c>
      <c r="D149" s="14" t="s">
        <v>345</v>
      </c>
      <c r="E149" s="223">
        <v>45000</v>
      </c>
      <c r="F149" s="12"/>
    </row>
    <row r="150" spans="1:6" ht="20.149999999999999" customHeight="1">
      <c r="A150" s="26">
        <v>16</v>
      </c>
      <c r="B150" s="10" t="s">
        <v>433</v>
      </c>
      <c r="C150" s="3" t="s">
        <v>430</v>
      </c>
      <c r="D150" s="14" t="s">
        <v>345</v>
      </c>
      <c r="E150" s="223">
        <v>45000</v>
      </c>
      <c r="F150" s="12"/>
    </row>
    <row r="151" spans="1:6" ht="20.149999999999999" customHeight="1">
      <c r="A151" s="26">
        <v>17</v>
      </c>
      <c r="B151" s="10" t="s">
        <v>434</v>
      </c>
      <c r="C151" s="11" t="s">
        <v>435</v>
      </c>
      <c r="D151" s="14" t="s">
        <v>38</v>
      </c>
      <c r="E151" s="223">
        <v>45000</v>
      </c>
      <c r="F151" s="12"/>
    </row>
    <row r="152" spans="1:6" ht="20.149999999999999" customHeight="1">
      <c r="A152" s="26">
        <v>18</v>
      </c>
      <c r="B152" s="10" t="s">
        <v>953</v>
      </c>
      <c r="C152" s="11" t="s">
        <v>437</v>
      </c>
      <c r="D152" s="9" t="s">
        <v>25</v>
      </c>
      <c r="E152" s="223">
        <v>45000</v>
      </c>
      <c r="F152" s="12"/>
    </row>
    <row r="153" spans="1:6" ht="20.149999999999999" customHeight="1">
      <c r="A153" s="26">
        <v>19</v>
      </c>
      <c r="B153" s="10" t="s">
        <v>438</v>
      </c>
      <c r="C153" s="11" t="s">
        <v>439</v>
      </c>
      <c r="D153" s="14" t="s">
        <v>301</v>
      </c>
      <c r="E153" s="223">
        <v>45000</v>
      </c>
      <c r="F153" s="12"/>
    </row>
    <row r="154" spans="1:6" ht="20.149999999999999" customHeight="1">
      <c r="A154" s="26">
        <v>20</v>
      </c>
      <c r="B154" s="10" t="s">
        <v>440</v>
      </c>
      <c r="C154" s="11" t="s">
        <v>441</v>
      </c>
      <c r="D154" s="14" t="s">
        <v>283</v>
      </c>
      <c r="E154" s="223">
        <v>45000</v>
      </c>
      <c r="F154" s="12"/>
    </row>
    <row r="155" spans="1:6" ht="20.149999999999999" customHeight="1">
      <c r="A155" s="26">
        <v>21</v>
      </c>
      <c r="B155" s="10" t="s">
        <v>442</v>
      </c>
      <c r="C155" s="11" t="s">
        <v>443</v>
      </c>
      <c r="D155" s="14" t="s">
        <v>301</v>
      </c>
      <c r="E155" s="223">
        <v>45000</v>
      </c>
      <c r="F155" s="12"/>
    </row>
    <row r="156" spans="1:6" ht="20.149999999999999" customHeight="1">
      <c r="A156" s="26">
        <v>22</v>
      </c>
      <c r="B156" s="10" t="s">
        <v>444</v>
      </c>
      <c r="C156" s="11" t="s">
        <v>445</v>
      </c>
      <c r="D156" s="14" t="s">
        <v>283</v>
      </c>
      <c r="E156" s="223">
        <v>45000</v>
      </c>
      <c r="F156" s="12"/>
    </row>
    <row r="157" spans="1:6" ht="20.149999999999999" customHeight="1">
      <c r="A157" s="26">
        <v>23</v>
      </c>
      <c r="B157" s="17" t="s">
        <v>446</v>
      </c>
      <c r="C157" s="11" t="s">
        <v>451</v>
      </c>
      <c r="D157" s="14" t="s">
        <v>945</v>
      </c>
      <c r="E157" s="223">
        <v>45000</v>
      </c>
      <c r="F157" s="12"/>
    </row>
    <row r="158" spans="1:6" ht="20.149999999999999" customHeight="1">
      <c r="A158" s="26">
        <v>24</v>
      </c>
      <c r="B158" s="17" t="s">
        <v>448</v>
      </c>
      <c r="C158" s="11" t="s">
        <v>449</v>
      </c>
      <c r="D158" s="14" t="s">
        <v>31</v>
      </c>
      <c r="E158" s="223">
        <v>45000</v>
      </c>
      <c r="F158" s="12"/>
    </row>
    <row r="159" spans="1:6" ht="20.149999999999999" customHeight="1">
      <c r="A159" s="26">
        <v>25</v>
      </c>
      <c r="B159" s="17" t="s">
        <v>450</v>
      </c>
      <c r="C159" s="11" t="s">
        <v>451</v>
      </c>
      <c r="D159" s="14" t="s">
        <v>31</v>
      </c>
      <c r="E159" s="223">
        <v>45000</v>
      </c>
      <c r="F159" s="12"/>
    </row>
    <row r="160" spans="1:6" ht="20.149999999999999" customHeight="1">
      <c r="A160" s="26">
        <v>26</v>
      </c>
      <c r="B160" s="17" t="s">
        <v>452</v>
      </c>
      <c r="C160" s="11" t="s">
        <v>453</v>
      </c>
      <c r="D160" s="14" t="s">
        <v>294</v>
      </c>
      <c r="E160" s="223">
        <v>45000</v>
      </c>
      <c r="F160" s="12"/>
    </row>
    <row r="161" spans="1:6" ht="20.149999999999999" customHeight="1">
      <c r="A161" s="26">
        <v>27</v>
      </c>
      <c r="B161" s="17" t="s">
        <v>454</v>
      </c>
      <c r="C161" s="11" t="s">
        <v>455</v>
      </c>
      <c r="D161" s="14" t="s">
        <v>294</v>
      </c>
      <c r="E161" s="223">
        <v>45000</v>
      </c>
      <c r="F161" s="12"/>
    </row>
    <row r="162" spans="1:6" ht="20.149999999999999" customHeight="1">
      <c r="A162" s="26">
        <v>28</v>
      </c>
      <c r="B162" s="10" t="s">
        <v>457</v>
      </c>
      <c r="C162" s="11" t="s">
        <v>458</v>
      </c>
      <c r="D162" s="14" t="s">
        <v>465</v>
      </c>
      <c r="E162" s="223">
        <v>30000</v>
      </c>
      <c r="F162" s="12"/>
    </row>
    <row r="163" spans="1:6" ht="20.149999999999999" customHeight="1">
      <c r="A163" s="26">
        <v>29</v>
      </c>
      <c r="B163" s="10" t="s">
        <v>460</v>
      </c>
      <c r="C163" s="11" t="s">
        <v>458</v>
      </c>
      <c r="D163" s="14" t="s">
        <v>465</v>
      </c>
      <c r="E163" s="223">
        <v>30000</v>
      </c>
      <c r="F163" s="12"/>
    </row>
    <row r="164" spans="1:6" ht="20.149999999999999" customHeight="1">
      <c r="A164" s="26">
        <v>30</v>
      </c>
      <c r="B164" s="10" t="s">
        <v>461</v>
      </c>
      <c r="C164" s="11" t="s">
        <v>458</v>
      </c>
      <c r="D164" s="14" t="s">
        <v>465</v>
      </c>
      <c r="E164" s="223">
        <v>30000</v>
      </c>
      <c r="F164" s="12"/>
    </row>
    <row r="165" spans="1:6" ht="20.149999999999999" customHeight="1">
      <c r="A165" s="26">
        <v>32</v>
      </c>
      <c r="B165" s="10" t="s">
        <v>462</v>
      </c>
      <c r="C165" s="11" t="s">
        <v>458</v>
      </c>
      <c r="D165" s="14" t="s">
        <v>465</v>
      </c>
      <c r="E165" s="223">
        <v>30000</v>
      </c>
      <c r="F165" s="12"/>
    </row>
    <row r="166" spans="1:6" ht="20.149999999999999" customHeight="1">
      <c r="A166" s="26">
        <v>33</v>
      </c>
      <c r="B166" s="10" t="s">
        <v>463</v>
      </c>
      <c r="C166" s="11" t="s">
        <v>458</v>
      </c>
      <c r="D166" s="14" t="s">
        <v>465</v>
      </c>
      <c r="E166" s="223">
        <v>30000</v>
      </c>
      <c r="F166" s="12"/>
    </row>
    <row r="167" spans="1:6" ht="20.149999999999999" customHeight="1">
      <c r="A167" s="26">
        <v>34</v>
      </c>
      <c r="B167" s="10" t="s">
        <v>464</v>
      </c>
      <c r="C167" s="11" t="s">
        <v>458</v>
      </c>
      <c r="D167" s="14" t="s">
        <v>476</v>
      </c>
      <c r="E167" s="223">
        <v>30000</v>
      </c>
      <c r="F167" s="12"/>
    </row>
    <row r="168" spans="1:6" ht="20.149999999999999" customHeight="1">
      <c r="A168" s="26">
        <v>35</v>
      </c>
      <c r="B168" s="10" t="s">
        <v>466</v>
      </c>
      <c r="C168" s="11" t="s">
        <v>458</v>
      </c>
      <c r="D168" s="14" t="s">
        <v>476</v>
      </c>
      <c r="E168" s="223">
        <v>30000</v>
      </c>
      <c r="F168" s="12"/>
    </row>
    <row r="169" spans="1:6" ht="20.149999999999999" customHeight="1">
      <c r="A169" s="26">
        <v>36</v>
      </c>
      <c r="B169" s="13" t="s">
        <v>467</v>
      </c>
      <c r="C169" s="11" t="s">
        <v>458</v>
      </c>
      <c r="D169" s="14" t="s">
        <v>476</v>
      </c>
      <c r="E169" s="223">
        <v>30000</v>
      </c>
      <c r="F169" s="12"/>
    </row>
    <row r="170" spans="1:6" ht="20.149999999999999" customHeight="1">
      <c r="A170" s="26">
        <v>37</v>
      </c>
      <c r="B170" s="10" t="s">
        <v>468</v>
      </c>
      <c r="C170" s="11" t="s">
        <v>458</v>
      </c>
      <c r="D170" s="14" t="s">
        <v>476</v>
      </c>
      <c r="E170" s="223">
        <v>30000</v>
      </c>
      <c r="F170" s="12"/>
    </row>
    <row r="171" spans="1:6" ht="20.149999999999999" customHeight="1">
      <c r="A171" s="26">
        <v>38</v>
      </c>
      <c r="B171" s="17" t="s">
        <v>469</v>
      </c>
      <c r="C171" s="11" t="s">
        <v>458</v>
      </c>
      <c r="D171" s="14" t="s">
        <v>476</v>
      </c>
      <c r="E171" s="223">
        <v>30000</v>
      </c>
      <c r="F171" s="12"/>
    </row>
    <row r="172" spans="1:6" ht="20.149999999999999" customHeight="1">
      <c r="A172" s="26">
        <v>39</v>
      </c>
      <c r="B172" s="17" t="s">
        <v>470</v>
      </c>
      <c r="C172" s="11" t="s">
        <v>458</v>
      </c>
      <c r="D172" s="14" t="s">
        <v>476</v>
      </c>
      <c r="E172" s="223">
        <v>30000</v>
      </c>
      <c r="F172" s="12"/>
    </row>
    <row r="173" spans="1:6" ht="20.149999999999999" customHeight="1">
      <c r="A173" s="26">
        <v>40</v>
      </c>
      <c r="B173" s="10" t="s">
        <v>471</v>
      </c>
      <c r="C173" s="11" t="s">
        <v>478</v>
      </c>
      <c r="D173" s="14" t="s">
        <v>479</v>
      </c>
      <c r="E173" s="223">
        <v>30000</v>
      </c>
      <c r="F173" s="12"/>
    </row>
    <row r="174" spans="1:6" ht="20.149999999999999" customHeight="1">
      <c r="A174" s="26">
        <v>41</v>
      </c>
      <c r="B174" s="10" t="s">
        <v>474</v>
      </c>
      <c r="C174" s="11" t="s">
        <v>478</v>
      </c>
      <c r="D174" s="14" t="s">
        <v>479</v>
      </c>
      <c r="E174" s="223">
        <v>30000</v>
      </c>
      <c r="F174" s="12"/>
    </row>
    <row r="175" spans="1:6" ht="20.149999999999999" customHeight="1">
      <c r="A175" s="26">
        <v>42</v>
      </c>
      <c r="B175" s="17" t="s">
        <v>475</v>
      </c>
      <c r="C175" s="11" t="s">
        <v>478</v>
      </c>
      <c r="D175" s="14" t="s">
        <v>948</v>
      </c>
      <c r="E175" s="223">
        <v>30000</v>
      </c>
      <c r="F175" s="12"/>
    </row>
    <row r="176" spans="1:6" ht="20.149999999999999" customHeight="1">
      <c r="A176" s="26">
        <v>43</v>
      </c>
      <c r="B176" s="10" t="s">
        <v>477</v>
      </c>
      <c r="C176" s="11" t="s">
        <v>478</v>
      </c>
      <c r="D176" s="14" t="s">
        <v>954</v>
      </c>
      <c r="E176" s="223">
        <v>30000</v>
      </c>
      <c r="F176" s="12"/>
    </row>
    <row r="177" spans="1:6" ht="20.149999999999999" customHeight="1">
      <c r="A177" s="26">
        <v>44</v>
      </c>
      <c r="B177" s="10" t="s">
        <v>480</v>
      </c>
      <c r="C177" s="11" t="s">
        <v>481</v>
      </c>
      <c r="D177" s="14" t="s">
        <v>955</v>
      </c>
      <c r="E177" s="223">
        <v>30000</v>
      </c>
      <c r="F177" s="12"/>
    </row>
    <row r="178" spans="1:6" ht="20.149999999999999" customHeight="1">
      <c r="A178" s="26">
        <v>45</v>
      </c>
      <c r="B178" s="10" t="s">
        <v>483</v>
      </c>
      <c r="C178" s="11" t="s">
        <v>481</v>
      </c>
      <c r="D178" s="14" t="s">
        <v>955</v>
      </c>
      <c r="E178" s="223">
        <v>30000</v>
      </c>
      <c r="F178" s="12"/>
    </row>
    <row r="179" spans="1:6" ht="20.149999999999999" customHeight="1">
      <c r="A179" s="26">
        <v>46</v>
      </c>
      <c r="B179" s="10" t="s">
        <v>484</v>
      </c>
      <c r="C179" s="11" t="s">
        <v>481</v>
      </c>
      <c r="D179" s="14" t="s">
        <v>955</v>
      </c>
      <c r="E179" s="223">
        <v>30000</v>
      </c>
      <c r="F179" s="12"/>
    </row>
    <row r="180" spans="1:6" ht="20.149999999999999" customHeight="1">
      <c r="A180" s="26">
        <v>47</v>
      </c>
      <c r="B180" s="10" t="s">
        <v>485</v>
      </c>
      <c r="C180" s="11" t="s">
        <v>481</v>
      </c>
      <c r="D180" s="14" t="s">
        <v>955</v>
      </c>
      <c r="E180" s="223">
        <v>30000</v>
      </c>
      <c r="F180" s="12"/>
    </row>
    <row r="181" spans="1:6" ht="20.149999999999999" customHeight="1">
      <c r="A181" s="26">
        <v>48</v>
      </c>
      <c r="B181" s="10" t="s">
        <v>486</v>
      </c>
      <c r="C181" s="11" t="s">
        <v>481</v>
      </c>
      <c r="D181" s="14" t="s">
        <v>955</v>
      </c>
      <c r="E181" s="223">
        <v>30000</v>
      </c>
      <c r="F181" s="12"/>
    </row>
    <row r="182" spans="1:6" ht="20.149999999999999" customHeight="1">
      <c r="A182" s="26">
        <v>49</v>
      </c>
      <c r="B182" s="17" t="s">
        <v>487</v>
      </c>
      <c r="C182" s="11" t="s">
        <v>481</v>
      </c>
      <c r="D182" s="14" t="s">
        <v>955</v>
      </c>
      <c r="E182" s="223">
        <v>30000</v>
      </c>
      <c r="F182" s="12"/>
    </row>
    <row r="183" spans="1:6" ht="20.149999999999999" customHeight="1">
      <c r="A183" s="26">
        <v>50</v>
      </c>
      <c r="B183" s="17" t="s">
        <v>488</v>
      </c>
      <c r="C183" s="11" t="s">
        <v>481</v>
      </c>
      <c r="D183" s="14" t="s">
        <v>955</v>
      </c>
      <c r="E183" s="223">
        <v>30000</v>
      </c>
      <c r="F183" s="12"/>
    </row>
    <row r="184" spans="1:6" ht="20.149999999999999" customHeight="1">
      <c r="A184" s="26">
        <v>51</v>
      </c>
      <c r="B184" s="10" t="s">
        <v>489</v>
      </c>
      <c r="C184" s="11" t="s">
        <v>478</v>
      </c>
      <c r="D184" s="14" t="s">
        <v>955</v>
      </c>
      <c r="E184" s="223">
        <v>30000</v>
      </c>
      <c r="F184" s="12"/>
    </row>
    <row r="185" spans="1:6" ht="20.149999999999999" customHeight="1">
      <c r="A185" s="26">
        <v>52</v>
      </c>
      <c r="B185" s="10" t="s">
        <v>490</v>
      </c>
      <c r="C185" s="11" t="s">
        <v>478</v>
      </c>
      <c r="D185" s="14" t="s">
        <v>955</v>
      </c>
      <c r="E185" s="223">
        <v>30000</v>
      </c>
      <c r="F185" s="12"/>
    </row>
    <row r="186" spans="1:6" ht="20.149999999999999" customHeight="1">
      <c r="A186" s="26">
        <v>53</v>
      </c>
      <c r="B186" s="17" t="s">
        <v>491</v>
      </c>
      <c r="C186" s="11" t="s">
        <v>481</v>
      </c>
      <c r="D186" s="14" t="s">
        <v>972</v>
      </c>
      <c r="E186" s="223">
        <v>30000</v>
      </c>
      <c r="F186" s="12"/>
    </row>
    <row r="187" spans="1:6" ht="20.149999999999999" customHeight="1">
      <c r="A187" s="26">
        <v>54</v>
      </c>
      <c r="B187" s="17" t="s">
        <v>493</v>
      </c>
      <c r="C187" s="11" t="s">
        <v>481</v>
      </c>
      <c r="D187" s="14" t="s">
        <v>956</v>
      </c>
      <c r="E187" s="223">
        <v>30000</v>
      </c>
      <c r="F187" s="12"/>
    </row>
    <row r="188" spans="1:6" ht="20.149999999999999" customHeight="1">
      <c r="A188" s="26"/>
      <c r="B188" s="7" t="s">
        <v>34</v>
      </c>
      <c r="C188" s="27" t="s">
        <v>1124</v>
      </c>
      <c r="D188" s="28"/>
      <c r="E188" s="232">
        <f>SUM(E135:E187)</f>
        <v>2475000</v>
      </c>
      <c r="F188" s="12"/>
    </row>
    <row r="189" spans="1:6" ht="9" customHeight="1">
      <c r="A189" s="26"/>
      <c r="B189" s="7"/>
      <c r="C189" s="27"/>
      <c r="D189" s="28"/>
      <c r="E189" s="232"/>
      <c r="F189" s="12"/>
    </row>
    <row r="190" spans="1:6" ht="30" customHeight="1">
      <c r="A190" s="3"/>
      <c r="B190" s="233" t="s">
        <v>80</v>
      </c>
      <c r="C190" s="234">
        <f>C36+C41+C56+C61+C77+C85+C98+C105+C115+C132+C188</f>
        <v>146</v>
      </c>
      <c r="D190" s="235"/>
      <c r="E190" s="236">
        <f>E188+E132+E120+E115+E105+E98+E85+E77+E61+E56+E41+E36</f>
        <v>11040000</v>
      </c>
      <c r="F190" s="12"/>
    </row>
    <row r="191" spans="1:6" ht="20.149999999999999" customHeight="1">
      <c r="A191" s="2"/>
      <c r="B191" s="32"/>
      <c r="C191" s="2"/>
      <c r="D191" s="33"/>
      <c r="E191" s="89"/>
      <c r="F191" s="34"/>
    </row>
    <row r="192" spans="1:6" ht="65.25" customHeight="1">
      <c r="A192" s="2"/>
      <c r="B192" s="32"/>
      <c r="C192" s="33"/>
      <c r="D192" s="33"/>
      <c r="E192" s="90"/>
      <c r="F192" s="237">
        <f>'[10]Sallah Welfare June 2023 '!$D$73</f>
        <v>2842500</v>
      </c>
    </row>
    <row r="193" spans="6:6" ht="20.149999999999999" customHeight="1">
      <c r="F193" s="237">
        <v>830000</v>
      </c>
    </row>
    <row r="194" spans="6:6" ht="20.149999999999999" customHeight="1">
      <c r="F194" s="237">
        <f>E190</f>
        <v>11040000</v>
      </c>
    </row>
    <row r="195" spans="6:6" ht="20.149999999999999" customHeight="1">
      <c r="F195" s="237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796875" defaultRowHeight="20.149999999999999" customHeight="1"/>
  <cols>
    <col min="1" max="1" width="5.453125" style="1" customWidth="1"/>
    <col min="2" max="2" width="44.54296875" style="1" customWidth="1"/>
    <col min="3" max="3" width="37.54296875" style="1" customWidth="1"/>
    <col min="4" max="4" width="12.453125" style="1" customWidth="1"/>
    <col min="5" max="5" width="21.54296875" style="1" customWidth="1"/>
    <col min="6" max="6" width="21.7265625" style="1" customWidth="1"/>
    <col min="7" max="10" width="9.1796875" style="1"/>
    <col min="11" max="11" width="8.453125" style="1" customWidth="1"/>
    <col min="12" max="16384" width="9.1796875" style="1"/>
  </cols>
  <sheetData>
    <row r="1" spans="1:6" ht="27" customHeight="1">
      <c r="A1" s="217" t="s">
        <v>0</v>
      </c>
      <c r="B1" s="217"/>
      <c r="C1" s="217"/>
      <c r="D1" s="217"/>
      <c r="E1" s="217"/>
    </row>
    <row r="2" spans="1:6" ht="33.75" customHeight="1">
      <c r="A2" s="217" t="s">
        <v>1105</v>
      </c>
      <c r="B2" s="63"/>
      <c r="C2" s="62"/>
      <c r="D2" s="62"/>
      <c r="E2" s="62"/>
    </row>
    <row r="3" spans="1:6" ht="9.75" customHeight="1">
      <c r="A3" s="2"/>
      <c r="B3" s="2"/>
      <c r="C3" s="2"/>
      <c r="D3" s="2"/>
      <c r="E3" s="2"/>
    </row>
    <row r="4" spans="1:6" ht="49.5" customHeight="1">
      <c r="A4" s="218"/>
      <c r="B4" s="219" t="s">
        <v>2</v>
      </c>
      <c r="C4" s="220" t="s">
        <v>3</v>
      </c>
      <c r="D4" s="221" t="s">
        <v>4</v>
      </c>
      <c r="E4" s="222" t="s">
        <v>134</v>
      </c>
    </row>
    <row r="5" spans="1:6" ht="17.25" customHeight="1">
      <c r="C5" s="7"/>
      <c r="D5" s="7"/>
      <c r="E5" s="211" t="s">
        <v>20</v>
      </c>
    </row>
    <row r="6" spans="1:6" ht="20.149999999999999" customHeight="1">
      <c r="A6" s="8" t="s">
        <v>21</v>
      </c>
      <c r="B6" s="7" t="s">
        <v>22</v>
      </c>
      <c r="C6" s="7"/>
      <c r="D6" s="7"/>
      <c r="E6" s="211"/>
    </row>
    <row r="7" spans="1:6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223">
        <v>540000</v>
      </c>
      <c r="F7" s="12"/>
    </row>
    <row r="8" spans="1:6" ht="20.149999999999999" customHeight="1">
      <c r="A8" s="9">
        <v>2</v>
      </c>
      <c r="B8" s="10" t="s">
        <v>1016</v>
      </c>
      <c r="C8" s="3" t="s">
        <v>1106</v>
      </c>
      <c r="D8" s="9" t="s">
        <v>231</v>
      </c>
      <c r="E8" s="223">
        <v>180000</v>
      </c>
      <c r="F8" s="12"/>
    </row>
    <row r="9" spans="1:6" ht="20.149999999999999" customHeight="1">
      <c r="A9" s="9">
        <v>3</v>
      </c>
      <c r="B9" s="10" t="s">
        <v>239</v>
      </c>
      <c r="C9" s="11" t="s">
        <v>240</v>
      </c>
      <c r="D9" s="9" t="s">
        <v>234</v>
      </c>
      <c r="E9" s="223">
        <v>180000</v>
      </c>
      <c r="F9" s="12"/>
    </row>
    <row r="10" spans="1:6" ht="20.149999999999999" customHeight="1">
      <c r="A10" s="9">
        <v>4</v>
      </c>
      <c r="B10" s="13" t="s">
        <v>241</v>
      </c>
      <c r="C10" s="3" t="s">
        <v>242</v>
      </c>
      <c r="D10" s="14" t="s">
        <v>308</v>
      </c>
      <c r="E10" s="223">
        <v>180000</v>
      </c>
      <c r="F10" s="12"/>
    </row>
    <row r="11" spans="1:6" ht="20.149999999999999" customHeight="1">
      <c r="A11" s="9">
        <v>5</v>
      </c>
      <c r="B11" s="13" t="s">
        <v>363</v>
      </c>
      <c r="C11" s="3" t="s">
        <v>1018</v>
      </c>
      <c r="D11" s="15" t="s">
        <v>308</v>
      </c>
      <c r="E11" s="223">
        <v>180000</v>
      </c>
      <c r="F11" s="12"/>
    </row>
    <row r="12" spans="1:6" ht="20.149999999999999" customHeight="1">
      <c r="A12" s="9">
        <v>6</v>
      </c>
      <c r="B12" s="10" t="s">
        <v>243</v>
      </c>
      <c r="C12" s="16" t="s">
        <v>244</v>
      </c>
      <c r="D12" s="15" t="s">
        <v>308</v>
      </c>
      <c r="E12" s="223">
        <v>180000</v>
      </c>
      <c r="F12" s="12"/>
    </row>
    <row r="13" spans="1:6" ht="20.149999999999999" customHeight="1">
      <c r="A13" s="9">
        <v>7</v>
      </c>
      <c r="B13" s="13" t="s">
        <v>245</v>
      </c>
      <c r="C13" s="3" t="s">
        <v>246</v>
      </c>
      <c r="D13" s="15" t="s">
        <v>308</v>
      </c>
      <c r="E13" s="223">
        <v>180000</v>
      </c>
      <c r="F13" s="12"/>
    </row>
    <row r="14" spans="1:6" ht="20.149999999999999" customHeight="1">
      <c r="A14" s="9">
        <v>8</v>
      </c>
      <c r="B14" s="10" t="s">
        <v>247</v>
      </c>
      <c r="C14" s="11" t="s">
        <v>248</v>
      </c>
      <c r="D14" s="14" t="s">
        <v>249</v>
      </c>
      <c r="E14" s="223">
        <v>126000</v>
      </c>
      <c r="F14" s="12"/>
    </row>
    <row r="15" spans="1:6" ht="20.149999999999999" customHeight="1">
      <c r="A15" s="9">
        <v>9</v>
      </c>
      <c r="B15" s="17" t="s">
        <v>223</v>
      </c>
      <c r="C15" s="11" t="s">
        <v>224</v>
      </c>
      <c r="D15" s="9" t="s">
        <v>222</v>
      </c>
      <c r="E15" s="223">
        <v>126000</v>
      </c>
      <c r="F15" s="12"/>
    </row>
    <row r="16" spans="1:6" ht="20.149999999999999" customHeight="1">
      <c r="A16" s="9">
        <v>10</v>
      </c>
      <c r="B16" s="18" t="s">
        <v>1109</v>
      </c>
      <c r="C16" s="3" t="s">
        <v>1110</v>
      </c>
      <c r="D16" s="15" t="s">
        <v>257</v>
      </c>
      <c r="E16" s="223">
        <v>90000</v>
      </c>
      <c r="F16" s="12"/>
    </row>
    <row r="17" spans="1:6" ht="19.5" customHeight="1">
      <c r="A17" s="9">
        <v>11</v>
      </c>
      <c r="B17" s="13" t="s">
        <v>1019</v>
      </c>
      <c r="C17" s="3" t="s">
        <v>253</v>
      </c>
      <c r="D17" s="9" t="s">
        <v>257</v>
      </c>
      <c r="E17" s="223">
        <v>90000</v>
      </c>
      <c r="F17" s="12"/>
    </row>
    <row r="18" spans="1:6" ht="19.5" customHeight="1">
      <c r="A18" s="9">
        <v>12</v>
      </c>
      <c r="B18" s="13" t="s">
        <v>1111</v>
      </c>
      <c r="C18" s="3" t="s">
        <v>1112</v>
      </c>
      <c r="D18" s="9" t="s">
        <v>257</v>
      </c>
      <c r="E18" s="223">
        <v>90000</v>
      </c>
      <c r="F18" s="12"/>
    </row>
    <row r="19" spans="1:6" ht="20.149999999999999" customHeight="1">
      <c r="A19" s="9">
        <v>13</v>
      </c>
      <c r="B19" s="10" t="s">
        <v>252</v>
      </c>
      <c r="C19" s="3" t="s">
        <v>253</v>
      </c>
      <c r="D19" s="14" t="s">
        <v>257</v>
      </c>
      <c r="E19" s="223">
        <v>90000</v>
      </c>
      <c r="F19" s="12"/>
    </row>
    <row r="20" spans="1:6" ht="20.149999999999999" customHeight="1">
      <c r="A20" s="9">
        <v>14</v>
      </c>
      <c r="B20" s="10" t="s">
        <v>264</v>
      </c>
      <c r="C20" s="11" t="s">
        <v>265</v>
      </c>
      <c r="D20" s="14" t="s">
        <v>950</v>
      </c>
      <c r="E20" s="223">
        <v>90000</v>
      </c>
      <c r="F20" s="12"/>
    </row>
    <row r="21" spans="1:6" ht="20.149999999999999" customHeight="1">
      <c r="A21" s="9">
        <v>15</v>
      </c>
      <c r="B21" s="17" t="s">
        <v>267</v>
      </c>
      <c r="C21" s="3" t="s">
        <v>268</v>
      </c>
      <c r="D21" s="14" t="s">
        <v>951</v>
      </c>
      <c r="E21" s="223">
        <v>90000</v>
      </c>
      <c r="F21" s="12"/>
    </row>
    <row r="22" spans="1:6" ht="20.149999999999999" customHeight="1">
      <c r="A22" s="9">
        <v>16</v>
      </c>
      <c r="B22" s="10" t="s">
        <v>389</v>
      </c>
      <c r="C22" s="11" t="s">
        <v>390</v>
      </c>
      <c r="D22" s="14" t="s">
        <v>271</v>
      </c>
      <c r="E22" s="223">
        <v>54000</v>
      </c>
      <c r="F22" s="12"/>
    </row>
    <row r="23" spans="1:6" ht="18.75" customHeight="1">
      <c r="A23" s="9">
        <v>17</v>
      </c>
      <c r="B23" s="10" t="s">
        <v>270</v>
      </c>
      <c r="C23" s="11" t="s">
        <v>50</v>
      </c>
      <c r="D23" s="14" t="s">
        <v>332</v>
      </c>
      <c r="E23" s="223">
        <v>54000</v>
      </c>
      <c r="F23" s="12"/>
    </row>
    <row r="24" spans="1:6" ht="18.75" customHeight="1">
      <c r="A24" s="9">
        <v>18</v>
      </c>
      <c r="B24" s="17" t="s">
        <v>1113</v>
      </c>
      <c r="C24" s="11" t="s">
        <v>293</v>
      </c>
      <c r="D24" s="14" t="s">
        <v>345</v>
      </c>
      <c r="E24" s="223">
        <v>54000</v>
      </c>
      <c r="F24" s="12"/>
    </row>
    <row r="25" spans="1:6" ht="18.75" customHeight="1">
      <c r="A25" s="9">
        <v>19</v>
      </c>
      <c r="B25" s="3" t="s">
        <v>278</v>
      </c>
      <c r="C25" s="3" t="s">
        <v>176</v>
      </c>
      <c r="D25" s="9" t="s">
        <v>283</v>
      </c>
      <c r="E25" s="223">
        <v>54000</v>
      </c>
      <c r="F25" s="12"/>
    </row>
    <row r="26" spans="1:6" ht="18.75" customHeight="1">
      <c r="A26" s="9">
        <v>20</v>
      </c>
      <c r="B26" s="17" t="s">
        <v>280</v>
      </c>
      <c r="C26" s="11" t="s">
        <v>176</v>
      </c>
      <c r="D26" s="14" t="s">
        <v>283</v>
      </c>
      <c r="E26" s="223">
        <v>54000</v>
      </c>
      <c r="F26" s="12"/>
    </row>
    <row r="27" spans="1:6" ht="18.75" customHeight="1">
      <c r="A27" s="9">
        <v>21</v>
      </c>
      <c r="B27" s="10" t="s">
        <v>1020</v>
      </c>
      <c r="C27" s="11" t="s">
        <v>1021</v>
      </c>
      <c r="D27" s="14" t="s">
        <v>283</v>
      </c>
      <c r="E27" s="223">
        <v>54000</v>
      </c>
      <c r="F27" s="12"/>
    </row>
    <row r="28" spans="1:6" ht="18.75" customHeight="1">
      <c r="A28" s="9">
        <v>22</v>
      </c>
      <c r="B28" s="17" t="s">
        <v>282</v>
      </c>
      <c r="C28" s="11" t="s">
        <v>967</v>
      </c>
      <c r="D28" s="14" t="s">
        <v>945</v>
      </c>
      <c r="E28" s="223">
        <v>54000</v>
      </c>
      <c r="F28" s="12"/>
    </row>
    <row r="29" spans="1:6" ht="18.75" customHeight="1">
      <c r="A29" s="9">
        <v>23</v>
      </c>
      <c r="B29" s="17" t="s">
        <v>284</v>
      </c>
      <c r="C29" s="3" t="s">
        <v>1022</v>
      </c>
      <c r="D29" s="9" t="s">
        <v>945</v>
      </c>
      <c r="E29" s="223">
        <v>54000</v>
      </c>
      <c r="F29" s="12"/>
    </row>
    <row r="30" spans="1:6" ht="18.75" customHeight="1">
      <c r="A30" s="9">
        <v>24</v>
      </c>
      <c r="B30" s="17" t="s">
        <v>287</v>
      </c>
      <c r="C30" s="16" t="s">
        <v>288</v>
      </c>
      <c r="D30" s="14" t="s">
        <v>283</v>
      </c>
      <c r="E30" s="223">
        <v>54000</v>
      </c>
      <c r="F30" s="12"/>
    </row>
    <row r="31" spans="1:6" ht="18.75" customHeight="1">
      <c r="A31" s="9">
        <v>25</v>
      </c>
      <c r="B31" s="17" t="s">
        <v>289</v>
      </c>
      <c r="C31" s="3" t="s">
        <v>290</v>
      </c>
      <c r="D31" s="9" t="s">
        <v>294</v>
      </c>
      <c r="E31" s="223">
        <v>54000</v>
      </c>
      <c r="F31" s="12"/>
    </row>
    <row r="32" spans="1:6" ht="18.75" customHeight="1">
      <c r="A32" s="9">
        <v>26</v>
      </c>
      <c r="B32" s="17" t="s">
        <v>933</v>
      </c>
      <c r="C32" s="11" t="s">
        <v>293</v>
      </c>
      <c r="D32" s="14" t="s">
        <v>294</v>
      </c>
      <c r="E32" s="223">
        <v>54000</v>
      </c>
      <c r="F32" s="12"/>
    </row>
    <row r="33" spans="1:6" ht="18.75" customHeight="1">
      <c r="A33" s="9">
        <v>27</v>
      </c>
      <c r="B33" s="17" t="s">
        <v>1114</v>
      </c>
      <c r="C33" s="11" t="s">
        <v>293</v>
      </c>
      <c r="D33" s="14" t="s">
        <v>294</v>
      </c>
      <c r="E33" s="223">
        <v>54000</v>
      </c>
      <c r="F33" s="12"/>
    </row>
    <row r="34" spans="1:6" ht="18.75" customHeight="1">
      <c r="A34" s="9">
        <v>28</v>
      </c>
      <c r="B34" s="17" t="s">
        <v>405</v>
      </c>
      <c r="C34" s="11" t="s">
        <v>69</v>
      </c>
      <c r="D34" s="14" t="s">
        <v>31</v>
      </c>
      <c r="E34" s="223">
        <v>54000</v>
      </c>
      <c r="F34" s="12"/>
    </row>
    <row r="35" spans="1:6" ht="26.25" customHeight="1">
      <c r="A35" s="9"/>
      <c r="B35" s="19" t="s">
        <v>34</v>
      </c>
      <c r="C35" s="20">
        <v>28</v>
      </c>
      <c r="D35" s="14"/>
      <c r="E35" s="224">
        <f>SUM(E7:E34)</f>
        <v>3114000</v>
      </c>
      <c r="F35" s="12"/>
    </row>
    <row r="36" spans="1:6" ht="18.75" customHeight="1">
      <c r="A36" s="9"/>
      <c r="B36" s="21"/>
      <c r="C36" s="3"/>
      <c r="D36" s="14"/>
      <c r="E36" s="225"/>
      <c r="F36" s="12"/>
    </row>
    <row r="37" spans="1:6" ht="18.75" customHeight="1">
      <c r="A37" s="9"/>
      <c r="B37" s="19" t="s">
        <v>35</v>
      </c>
      <c r="C37" s="3"/>
      <c r="D37" s="14"/>
      <c r="E37" s="223"/>
      <c r="F37" s="12"/>
    </row>
    <row r="38" spans="1:6" ht="18.75" customHeight="1">
      <c r="A38" s="9">
        <v>1</v>
      </c>
      <c r="B38" s="17" t="s">
        <v>295</v>
      </c>
      <c r="C38" s="3" t="s">
        <v>296</v>
      </c>
      <c r="D38" s="9" t="s">
        <v>297</v>
      </c>
      <c r="E38" s="223">
        <v>270000</v>
      </c>
      <c r="F38" s="12"/>
    </row>
    <row r="39" spans="1:6" ht="18.75" customHeight="1">
      <c r="A39" s="9">
        <v>2</v>
      </c>
      <c r="B39" s="17" t="s">
        <v>298</v>
      </c>
      <c r="C39" s="3" t="s">
        <v>537</v>
      </c>
      <c r="D39" s="9" t="s">
        <v>31</v>
      </c>
      <c r="E39" s="223">
        <v>54000</v>
      </c>
      <c r="F39" s="12"/>
    </row>
    <row r="40" spans="1:6" ht="19.5" customHeight="1">
      <c r="A40" s="9"/>
      <c r="B40" s="13"/>
      <c r="C40" s="20">
        <v>2</v>
      </c>
      <c r="D40" s="9"/>
      <c r="E40" s="224">
        <v>324000</v>
      </c>
      <c r="F40" s="12"/>
    </row>
    <row r="41" spans="1:6" ht="20.149999999999999" customHeight="1">
      <c r="A41" s="9"/>
      <c r="B41" s="13"/>
      <c r="C41" s="3"/>
      <c r="D41" s="9"/>
      <c r="E41" s="223"/>
      <c r="F41" s="12"/>
    </row>
    <row r="42" spans="1:6" ht="20.149999999999999" customHeight="1">
      <c r="A42" s="9"/>
      <c r="B42" s="22" t="s">
        <v>39</v>
      </c>
      <c r="C42" s="4"/>
      <c r="D42" s="23"/>
      <c r="E42" s="223"/>
      <c r="F42" s="12"/>
    </row>
    <row r="43" spans="1:6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223">
        <v>270000</v>
      </c>
      <c r="F43" s="12"/>
    </row>
    <row r="44" spans="1:6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223">
        <v>126000</v>
      </c>
      <c r="F44" s="12"/>
    </row>
    <row r="45" spans="1:6" ht="20.149999999999999" customHeight="1">
      <c r="A45" s="9">
        <v>3</v>
      </c>
      <c r="B45" s="10" t="s">
        <v>306</v>
      </c>
      <c r="C45" s="3" t="s">
        <v>310</v>
      </c>
      <c r="D45" s="9" t="s">
        <v>249</v>
      </c>
      <c r="E45" s="223">
        <v>126000</v>
      </c>
      <c r="F45" s="12"/>
    </row>
    <row r="46" spans="1:6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223">
        <v>126000</v>
      </c>
      <c r="F46" s="12"/>
    </row>
    <row r="47" spans="1:6" ht="20.149999999999999" customHeight="1">
      <c r="A47" s="9">
        <v>5</v>
      </c>
      <c r="B47" s="10" t="s">
        <v>311</v>
      </c>
      <c r="C47" s="3" t="s">
        <v>310</v>
      </c>
      <c r="D47" s="9" t="s">
        <v>327</v>
      </c>
      <c r="E47" s="223">
        <v>126000</v>
      </c>
      <c r="F47" s="12"/>
    </row>
    <row r="48" spans="1:6" ht="20.149999999999999" customHeight="1">
      <c r="A48" s="9">
        <v>6</v>
      </c>
      <c r="B48" s="10" t="s">
        <v>312</v>
      </c>
      <c r="C48" s="3" t="s">
        <v>259</v>
      </c>
      <c r="D48" s="9" t="s">
        <v>257</v>
      </c>
      <c r="E48" s="223">
        <v>90000</v>
      </c>
      <c r="F48" s="12"/>
    </row>
    <row r="49" spans="1:6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223">
        <v>90000</v>
      </c>
      <c r="F49" s="12"/>
    </row>
    <row r="50" spans="1:6" ht="20.149999999999999" customHeight="1">
      <c r="A50" s="9">
        <v>8</v>
      </c>
      <c r="B50" s="10" t="s">
        <v>1025</v>
      </c>
      <c r="C50" s="3" t="s">
        <v>256</v>
      </c>
      <c r="D50" s="9" t="s">
        <v>342</v>
      </c>
      <c r="E50" s="223">
        <v>90000</v>
      </c>
      <c r="F50" s="12"/>
    </row>
    <row r="51" spans="1:6" ht="20.149999999999999" customHeight="1">
      <c r="A51" s="9">
        <v>9</v>
      </c>
      <c r="B51" s="10" t="s">
        <v>258</v>
      </c>
      <c r="C51" s="3" t="s">
        <v>353</v>
      </c>
      <c r="D51" s="9" t="s">
        <v>266</v>
      </c>
      <c r="E51" s="223">
        <v>90000</v>
      </c>
      <c r="F51" s="12"/>
    </row>
    <row r="52" spans="1:6" ht="20.149999999999999" customHeight="1">
      <c r="A52" s="9">
        <v>10</v>
      </c>
      <c r="B52" s="10" t="s">
        <v>315</v>
      </c>
      <c r="C52" s="3" t="s">
        <v>63</v>
      </c>
      <c r="D52" s="9" t="s">
        <v>25</v>
      </c>
      <c r="E52" s="223">
        <v>54000</v>
      </c>
      <c r="F52" s="12"/>
    </row>
    <row r="53" spans="1:6" ht="20.149999999999999" customHeight="1">
      <c r="A53" s="9">
        <v>11</v>
      </c>
      <c r="B53" s="10" t="s">
        <v>316</v>
      </c>
      <c r="C53" s="3" t="s">
        <v>63</v>
      </c>
      <c r="D53" s="9" t="s">
        <v>25</v>
      </c>
      <c r="E53" s="223">
        <v>54000</v>
      </c>
      <c r="F53" s="12"/>
    </row>
    <row r="54" spans="1:6" ht="20.149999999999999" customHeight="1">
      <c r="A54" s="9">
        <v>12</v>
      </c>
      <c r="B54" s="10" t="s">
        <v>317</v>
      </c>
      <c r="C54" s="3" t="s">
        <v>63</v>
      </c>
      <c r="D54" s="9" t="s">
        <v>25</v>
      </c>
      <c r="E54" s="223">
        <v>54000</v>
      </c>
      <c r="F54" s="12"/>
    </row>
    <row r="55" spans="1:6" ht="25.5" customHeight="1">
      <c r="A55" s="9"/>
      <c r="B55" s="19" t="s">
        <v>34</v>
      </c>
      <c r="C55" s="20">
        <v>12</v>
      </c>
      <c r="D55" s="20"/>
      <c r="E55" s="226">
        <v>1296000</v>
      </c>
      <c r="F55" s="12"/>
    </row>
    <row r="56" spans="1:6" ht="20.149999999999999" customHeight="1">
      <c r="A56" s="9"/>
      <c r="B56" s="21"/>
      <c r="C56" s="20"/>
      <c r="D56" s="20"/>
      <c r="E56" s="227"/>
      <c r="F56" s="12"/>
    </row>
    <row r="57" spans="1:6" ht="20.149999999999999" customHeight="1">
      <c r="A57" s="9"/>
      <c r="B57" s="19" t="s">
        <v>318</v>
      </c>
      <c r="C57" s="20"/>
      <c r="D57" s="20"/>
      <c r="E57" s="227"/>
      <c r="F57" s="12"/>
    </row>
    <row r="58" spans="1:6" ht="20.149999999999999" customHeight="1">
      <c r="A58" s="9">
        <v>1</v>
      </c>
      <c r="B58" s="10" t="s">
        <v>319</v>
      </c>
      <c r="C58" s="11" t="s">
        <v>320</v>
      </c>
      <c r="D58" s="14" t="s">
        <v>297</v>
      </c>
      <c r="E58" s="223">
        <v>270000</v>
      </c>
      <c r="F58" s="12"/>
    </row>
    <row r="59" spans="1:6" ht="20.149999999999999" customHeight="1">
      <c r="A59" s="9">
        <v>2</v>
      </c>
      <c r="B59" s="10" t="s">
        <v>321</v>
      </c>
      <c r="C59" s="11" t="s">
        <v>322</v>
      </c>
      <c r="D59" s="14" t="s">
        <v>222</v>
      </c>
      <c r="E59" s="223">
        <v>126000</v>
      </c>
      <c r="F59" s="12"/>
    </row>
    <row r="60" spans="1:6" ht="20.149999999999999" customHeight="1">
      <c r="A60" s="9"/>
      <c r="B60" s="19" t="s">
        <v>34</v>
      </c>
      <c r="C60" s="20">
        <v>2</v>
      </c>
      <c r="D60" s="20"/>
      <c r="E60" s="226">
        <v>396000</v>
      </c>
      <c r="F60" s="12"/>
    </row>
    <row r="61" spans="1:6" ht="20.149999999999999" customHeight="1">
      <c r="A61" s="9"/>
      <c r="B61" s="19"/>
      <c r="C61" s="20"/>
      <c r="D61" s="20"/>
      <c r="E61" s="227"/>
      <c r="F61" s="12"/>
    </row>
    <row r="62" spans="1:6" ht="20.149999999999999" customHeight="1">
      <c r="A62" s="9"/>
      <c r="B62" s="19" t="s">
        <v>45</v>
      </c>
      <c r="C62" s="20"/>
      <c r="D62" s="20"/>
      <c r="E62" s="227"/>
      <c r="F62" s="12"/>
    </row>
    <row r="63" spans="1:6" ht="20.149999999999999" customHeight="1">
      <c r="A63" s="9">
        <v>1</v>
      </c>
      <c r="B63" s="10" t="s">
        <v>323</v>
      </c>
      <c r="C63" s="16" t="s">
        <v>324</v>
      </c>
      <c r="D63" s="9" t="s">
        <v>297</v>
      </c>
      <c r="E63" s="223">
        <v>270000</v>
      </c>
      <c r="F63" s="12"/>
    </row>
    <row r="64" spans="1:6" ht="20.149999999999999" customHeight="1">
      <c r="A64" s="9">
        <v>2</v>
      </c>
      <c r="B64" s="17" t="s">
        <v>325</v>
      </c>
      <c r="C64" s="16" t="s">
        <v>326</v>
      </c>
      <c r="D64" s="14" t="s">
        <v>952</v>
      </c>
      <c r="E64" s="223">
        <v>126000</v>
      </c>
      <c r="F64" s="12"/>
    </row>
    <row r="65" spans="1:6" ht="20.149999999999999" customHeight="1">
      <c r="A65" s="9">
        <v>3</v>
      </c>
      <c r="B65" s="10" t="s">
        <v>328</v>
      </c>
      <c r="C65" s="3" t="s">
        <v>47</v>
      </c>
      <c r="D65" s="9" t="s">
        <v>266</v>
      </c>
      <c r="E65" s="223">
        <v>90000</v>
      </c>
      <c r="F65" s="12"/>
    </row>
    <row r="66" spans="1:6" ht="20.149999999999999" customHeight="1">
      <c r="A66" s="9">
        <v>4</v>
      </c>
      <c r="B66" s="17" t="s">
        <v>329</v>
      </c>
      <c r="C66" s="16" t="s">
        <v>47</v>
      </c>
      <c r="D66" s="14" t="s">
        <v>950</v>
      </c>
      <c r="E66" s="223">
        <v>90000</v>
      </c>
      <c r="F66" s="12"/>
    </row>
    <row r="67" spans="1:6" ht="20.149999999999999" customHeight="1">
      <c r="A67" s="9">
        <v>5</v>
      </c>
      <c r="B67" s="13" t="s">
        <v>330</v>
      </c>
      <c r="C67" s="16" t="s">
        <v>256</v>
      </c>
      <c r="D67" s="14" t="s">
        <v>257</v>
      </c>
      <c r="E67" s="223">
        <v>90000</v>
      </c>
      <c r="F67" s="12"/>
    </row>
    <row r="68" spans="1:6" ht="20.149999999999999" customHeight="1">
      <c r="A68" s="9">
        <v>6</v>
      </c>
      <c r="B68" s="13" t="s">
        <v>255</v>
      </c>
      <c r="C68" s="16" t="s">
        <v>256</v>
      </c>
      <c r="D68" s="14" t="s">
        <v>342</v>
      </c>
      <c r="E68" s="223">
        <v>90000</v>
      </c>
      <c r="F68" s="12"/>
    </row>
    <row r="69" spans="1:6" ht="20.149999999999999" customHeight="1">
      <c r="A69" s="9">
        <v>7</v>
      </c>
      <c r="B69" s="10" t="s">
        <v>331</v>
      </c>
      <c r="C69" s="3" t="s">
        <v>63</v>
      </c>
      <c r="D69" s="9" t="s">
        <v>42</v>
      </c>
      <c r="E69" s="223">
        <v>54000</v>
      </c>
      <c r="F69" s="12"/>
    </row>
    <row r="70" spans="1:6" ht="20.149999999999999" customHeight="1">
      <c r="A70" s="9">
        <v>8</v>
      </c>
      <c r="B70" s="10" t="s">
        <v>333</v>
      </c>
      <c r="C70" s="16" t="s">
        <v>275</v>
      </c>
      <c r="D70" s="14" t="s">
        <v>42</v>
      </c>
      <c r="E70" s="223">
        <v>54000</v>
      </c>
      <c r="F70" s="12"/>
    </row>
    <row r="71" spans="1:6" ht="20.149999999999999" customHeight="1">
      <c r="A71" s="9">
        <v>9</v>
      </c>
      <c r="B71" s="10" t="s">
        <v>334</v>
      </c>
      <c r="C71" s="16" t="s">
        <v>275</v>
      </c>
      <c r="D71" s="14" t="s">
        <v>42</v>
      </c>
      <c r="E71" s="223">
        <v>54000</v>
      </c>
      <c r="F71" s="12"/>
    </row>
    <row r="72" spans="1:6" ht="20.149999999999999" customHeight="1">
      <c r="A72" s="9">
        <v>10</v>
      </c>
      <c r="B72" s="10" t="s">
        <v>335</v>
      </c>
      <c r="C72" s="3" t="s">
        <v>336</v>
      </c>
      <c r="D72" s="9" t="s">
        <v>332</v>
      </c>
      <c r="E72" s="223">
        <v>54000</v>
      </c>
      <c r="F72" s="12"/>
    </row>
    <row r="73" spans="1:6" ht="20.149999999999999" customHeight="1">
      <c r="A73" s="9">
        <v>11</v>
      </c>
      <c r="B73" s="10" t="s">
        <v>1115</v>
      </c>
      <c r="C73" s="16" t="s">
        <v>63</v>
      </c>
      <c r="D73" s="9" t="s">
        <v>301</v>
      </c>
      <c r="E73" s="223">
        <v>54000</v>
      </c>
      <c r="F73" s="12"/>
    </row>
    <row r="74" spans="1:6" ht="20.149999999999999" customHeight="1">
      <c r="A74" s="9">
        <v>12</v>
      </c>
      <c r="B74" s="10" t="s">
        <v>281</v>
      </c>
      <c r="C74" s="16" t="s">
        <v>273</v>
      </c>
      <c r="D74" s="9" t="s">
        <v>283</v>
      </c>
      <c r="E74" s="223">
        <v>54000</v>
      </c>
      <c r="F74" s="12"/>
    </row>
    <row r="75" spans="1:6" ht="20.149999999999999" customHeight="1">
      <c r="A75" s="9">
        <v>13</v>
      </c>
      <c r="B75" s="13" t="s">
        <v>272</v>
      </c>
      <c r="C75" s="16" t="s">
        <v>273</v>
      </c>
      <c r="D75" s="9" t="s">
        <v>294</v>
      </c>
      <c r="E75" s="223">
        <v>54000</v>
      </c>
      <c r="F75" s="12"/>
    </row>
    <row r="76" spans="1:6" ht="20.149999999999999" customHeight="1">
      <c r="A76" s="9"/>
      <c r="B76" s="19" t="s">
        <v>34</v>
      </c>
      <c r="C76" s="20">
        <v>13</v>
      </c>
      <c r="D76" s="20"/>
      <c r="E76" s="226">
        <v>1134000</v>
      </c>
      <c r="F76" s="12"/>
    </row>
    <row r="77" spans="1:6" ht="20.149999999999999" customHeight="1">
      <c r="A77" s="9"/>
      <c r="B77" s="21"/>
      <c r="C77" s="20"/>
      <c r="D77" s="20"/>
      <c r="E77" s="227"/>
      <c r="F77" s="12"/>
    </row>
    <row r="78" spans="1:6" ht="20.149999999999999" customHeight="1">
      <c r="A78" s="9"/>
      <c r="B78" s="19" t="s">
        <v>51</v>
      </c>
      <c r="C78" s="20"/>
      <c r="D78" s="20"/>
      <c r="E78" s="227"/>
      <c r="F78" s="12"/>
    </row>
    <row r="79" spans="1:6" ht="20.149999999999999" customHeight="1">
      <c r="A79" s="9">
        <v>1</v>
      </c>
      <c r="B79" s="10" t="s">
        <v>338</v>
      </c>
      <c r="C79" s="3" t="s">
        <v>339</v>
      </c>
      <c r="D79" s="9" t="s">
        <v>297</v>
      </c>
      <c r="E79" s="223">
        <v>270000</v>
      </c>
      <c r="F79" s="12"/>
    </row>
    <row r="80" spans="1:6" ht="20.149999999999999" customHeight="1">
      <c r="A80" s="9">
        <v>2</v>
      </c>
      <c r="B80" s="13" t="s">
        <v>220</v>
      </c>
      <c r="C80" s="3" t="s">
        <v>221</v>
      </c>
      <c r="D80" s="14" t="s">
        <v>952</v>
      </c>
      <c r="E80" s="223">
        <v>126000</v>
      </c>
      <c r="F80" s="12"/>
    </row>
    <row r="81" spans="1:6" ht="20.149999999999999" customHeight="1">
      <c r="A81" s="9">
        <v>3</v>
      </c>
      <c r="B81" s="13" t="s">
        <v>1116</v>
      </c>
      <c r="C81" s="3" t="s">
        <v>1117</v>
      </c>
      <c r="D81" s="14" t="s">
        <v>952</v>
      </c>
      <c r="E81" s="223">
        <v>126000</v>
      </c>
      <c r="F81" s="12"/>
    </row>
    <row r="82" spans="1:6" ht="20.149999999999999" customHeight="1">
      <c r="A82" s="9">
        <v>4</v>
      </c>
      <c r="B82" s="10" t="s">
        <v>340</v>
      </c>
      <c r="C82" s="3" t="s">
        <v>968</v>
      </c>
      <c r="D82" s="14" t="s">
        <v>266</v>
      </c>
      <c r="E82" s="223">
        <v>90000</v>
      </c>
      <c r="F82" s="12"/>
    </row>
    <row r="83" spans="1:6" ht="20.149999999999999" customHeight="1">
      <c r="A83" s="9">
        <v>5</v>
      </c>
      <c r="B83" s="10" t="s">
        <v>343</v>
      </c>
      <c r="C83" s="3" t="s">
        <v>344</v>
      </c>
      <c r="D83" s="9" t="s">
        <v>301</v>
      </c>
      <c r="E83" s="223">
        <v>54000</v>
      </c>
      <c r="F83" s="12"/>
    </row>
    <row r="84" spans="1:6" ht="20.149999999999999" customHeight="1">
      <c r="A84" s="9"/>
      <c r="B84" s="19" t="s">
        <v>34</v>
      </c>
      <c r="C84" s="20">
        <v>5</v>
      </c>
      <c r="D84" s="20"/>
      <c r="E84" s="226">
        <v>666000</v>
      </c>
      <c r="F84" s="12"/>
    </row>
    <row r="85" spans="1:6" ht="20.149999999999999" customHeight="1">
      <c r="A85" s="9"/>
      <c r="B85" s="19"/>
      <c r="C85" s="20"/>
      <c r="D85" s="20"/>
      <c r="E85" s="223"/>
      <c r="F85" s="12"/>
    </row>
    <row r="86" spans="1:6" ht="20.149999999999999" customHeight="1">
      <c r="A86" s="9"/>
      <c r="B86" s="19" t="s">
        <v>56</v>
      </c>
      <c r="C86" s="24"/>
      <c r="D86" s="20"/>
      <c r="E86" s="223"/>
      <c r="F86" s="12"/>
    </row>
    <row r="87" spans="1:6" ht="20.149999999999999" customHeight="1">
      <c r="A87" s="9">
        <v>1</v>
      </c>
      <c r="B87" s="10" t="s">
        <v>349</v>
      </c>
      <c r="C87" s="3" t="s">
        <v>310</v>
      </c>
      <c r="D87" s="9" t="s">
        <v>249</v>
      </c>
      <c r="E87" s="223">
        <v>126000</v>
      </c>
      <c r="F87" s="12"/>
    </row>
    <row r="88" spans="1:6" ht="20.149999999999999" customHeight="1">
      <c r="A88" s="9">
        <v>2</v>
      </c>
      <c r="B88" s="10" t="s">
        <v>350</v>
      </c>
      <c r="C88" s="3" t="s">
        <v>310</v>
      </c>
      <c r="D88" s="9" t="s">
        <v>249</v>
      </c>
      <c r="E88" s="223">
        <v>126000</v>
      </c>
      <c r="F88" s="12"/>
    </row>
    <row r="89" spans="1:6" ht="20.149999999999999" customHeight="1">
      <c r="A89" s="9">
        <v>3</v>
      </c>
      <c r="B89" s="13" t="s">
        <v>386</v>
      </c>
      <c r="C89" s="3" t="s">
        <v>256</v>
      </c>
      <c r="D89" s="9" t="s">
        <v>254</v>
      </c>
      <c r="E89" s="223">
        <v>90000</v>
      </c>
      <c r="F89" s="12"/>
    </row>
    <row r="90" spans="1:6" ht="20.149999999999999" customHeight="1">
      <c r="A90" s="9">
        <v>4</v>
      </c>
      <c r="B90" s="10" t="s">
        <v>351</v>
      </c>
      <c r="C90" s="3" t="s">
        <v>259</v>
      </c>
      <c r="D90" s="9" t="s">
        <v>257</v>
      </c>
      <c r="E90" s="223">
        <v>90000</v>
      </c>
      <c r="F90" s="12"/>
    </row>
    <row r="91" spans="1:6" ht="21.65" customHeight="1">
      <c r="A91" s="9">
        <v>5</v>
      </c>
      <c r="B91" s="10" t="s">
        <v>352</v>
      </c>
      <c r="C91" s="3" t="s">
        <v>353</v>
      </c>
      <c r="D91" s="14" t="s">
        <v>266</v>
      </c>
      <c r="E91" s="223">
        <v>90000</v>
      </c>
      <c r="F91" s="12"/>
    </row>
    <row r="92" spans="1:6" ht="21.65" customHeight="1">
      <c r="A92" s="9">
        <v>6</v>
      </c>
      <c r="B92" s="10" t="s">
        <v>354</v>
      </c>
      <c r="C92" s="11" t="s">
        <v>47</v>
      </c>
      <c r="D92" s="14" t="s">
        <v>950</v>
      </c>
      <c r="E92" s="223">
        <v>90000</v>
      </c>
      <c r="F92" s="12"/>
    </row>
    <row r="93" spans="1:6" ht="21.65" customHeight="1">
      <c r="A93" s="9">
        <v>7</v>
      </c>
      <c r="B93" s="10" t="s">
        <v>355</v>
      </c>
      <c r="C93" s="11" t="s">
        <v>47</v>
      </c>
      <c r="D93" s="14" t="s">
        <v>950</v>
      </c>
      <c r="E93" s="223">
        <v>90000</v>
      </c>
      <c r="F93" s="12"/>
    </row>
    <row r="94" spans="1:6" ht="21.65" customHeight="1">
      <c r="A94" s="9">
        <v>8</v>
      </c>
      <c r="B94" s="10" t="s">
        <v>357</v>
      </c>
      <c r="C94" s="16" t="s">
        <v>275</v>
      </c>
      <c r="D94" s="14" t="s">
        <v>42</v>
      </c>
      <c r="E94" s="223">
        <v>54000</v>
      </c>
      <c r="F94" s="12"/>
    </row>
    <row r="95" spans="1:6" ht="21.65" customHeight="1">
      <c r="A95" s="9">
        <v>9</v>
      </c>
      <c r="B95" s="10" t="s">
        <v>359</v>
      </c>
      <c r="C95" s="3" t="s">
        <v>360</v>
      </c>
      <c r="D95" s="9" t="s">
        <v>38</v>
      </c>
      <c r="E95" s="223">
        <v>54000</v>
      </c>
      <c r="F95" s="12"/>
    </row>
    <row r="96" spans="1:6" ht="21.65" customHeight="1">
      <c r="A96" s="9">
        <v>10</v>
      </c>
      <c r="B96" s="10" t="s">
        <v>361</v>
      </c>
      <c r="C96" s="16" t="s">
        <v>362</v>
      </c>
      <c r="D96" s="14" t="s">
        <v>294</v>
      </c>
      <c r="E96" s="223">
        <v>54000</v>
      </c>
      <c r="F96" s="12"/>
    </row>
    <row r="97" spans="1:6" ht="20.149999999999999" customHeight="1">
      <c r="A97" s="9"/>
      <c r="B97" s="19" t="s">
        <v>34</v>
      </c>
      <c r="C97" s="20">
        <v>10</v>
      </c>
      <c r="D97" s="20"/>
      <c r="E97" s="226">
        <v>864000</v>
      </c>
      <c r="F97" s="12"/>
    </row>
    <row r="98" spans="1:6" ht="20.149999999999999" customHeight="1">
      <c r="A98" s="9"/>
      <c r="B98" s="21"/>
      <c r="C98" s="20"/>
      <c r="D98" s="20"/>
      <c r="E98" s="227"/>
      <c r="F98" s="12"/>
    </row>
    <row r="99" spans="1:6" ht="20.149999999999999" customHeight="1">
      <c r="A99" s="9"/>
      <c r="B99" s="19" t="s">
        <v>58</v>
      </c>
      <c r="C99" s="20"/>
      <c r="D99" s="20"/>
      <c r="E99" s="227"/>
      <c r="F99" s="12"/>
    </row>
    <row r="100" spans="1:6" ht="20.149999999999999" customHeight="1">
      <c r="A100" s="9">
        <v>1</v>
      </c>
      <c r="B100" s="17" t="s">
        <v>232</v>
      </c>
      <c r="C100" s="9" t="s">
        <v>233</v>
      </c>
      <c r="D100" s="14" t="s">
        <v>308</v>
      </c>
      <c r="E100" s="223">
        <v>180000</v>
      </c>
      <c r="F100" s="12"/>
    </row>
    <row r="101" spans="1:6" ht="20.149999999999999" customHeight="1">
      <c r="A101" s="9">
        <v>2</v>
      </c>
      <c r="B101" s="10" t="s">
        <v>250</v>
      </c>
      <c r="C101" s="3" t="s">
        <v>367</v>
      </c>
      <c r="D101" s="9" t="s">
        <v>257</v>
      </c>
      <c r="E101" s="223">
        <v>90000</v>
      </c>
      <c r="F101" s="12"/>
    </row>
    <row r="102" spans="1:6" ht="20.149999999999999" customHeight="1">
      <c r="A102" s="9">
        <v>3</v>
      </c>
      <c r="B102" s="10" t="s">
        <v>368</v>
      </c>
      <c r="C102" s="3" t="s">
        <v>369</v>
      </c>
      <c r="D102" s="14" t="s">
        <v>332</v>
      </c>
      <c r="E102" s="223">
        <v>54000</v>
      </c>
      <c r="F102" s="12"/>
    </row>
    <row r="103" spans="1:6" ht="20.149999999999999" customHeight="1">
      <c r="A103" s="9">
        <v>4</v>
      </c>
      <c r="B103" s="10" t="s">
        <v>1118</v>
      </c>
      <c r="C103" s="3" t="s">
        <v>1119</v>
      </c>
      <c r="D103" s="14" t="s">
        <v>945</v>
      </c>
      <c r="E103" s="223">
        <v>54000</v>
      </c>
      <c r="F103" s="12"/>
    </row>
    <row r="104" spans="1:6" ht="20.149999999999999" customHeight="1">
      <c r="A104" s="3"/>
      <c r="B104" s="19" t="s">
        <v>34</v>
      </c>
      <c r="C104" s="20">
        <v>3</v>
      </c>
      <c r="D104" s="25"/>
      <c r="E104" s="226">
        <v>378000</v>
      </c>
      <c r="F104" s="12"/>
    </row>
    <row r="105" spans="1:6" ht="20.149999999999999" customHeight="1">
      <c r="A105" s="3"/>
      <c r="B105" s="21"/>
      <c r="C105" s="20"/>
      <c r="D105" s="25"/>
      <c r="E105" s="227"/>
      <c r="F105" s="12"/>
    </row>
    <row r="106" spans="1:6" ht="20.149999999999999" customHeight="1">
      <c r="A106" s="3"/>
      <c r="B106" s="19" t="s">
        <v>372</v>
      </c>
      <c r="C106" s="3"/>
      <c r="D106" s="3"/>
      <c r="E106" s="228"/>
      <c r="F106" s="12"/>
    </row>
    <row r="107" spans="1:6" ht="20.149999999999999" customHeight="1">
      <c r="A107" s="3">
        <v>1</v>
      </c>
      <c r="B107" s="10" t="s">
        <v>373</v>
      </c>
      <c r="C107" s="11" t="s">
        <v>374</v>
      </c>
      <c r="D107" s="14" t="s">
        <v>297</v>
      </c>
      <c r="E107" s="223">
        <v>270000</v>
      </c>
      <c r="F107" s="12"/>
    </row>
    <row r="108" spans="1:6" ht="20.149999999999999" customHeight="1">
      <c r="A108" s="3">
        <v>2</v>
      </c>
      <c r="B108" s="10" t="s">
        <v>375</v>
      </c>
      <c r="C108" s="3" t="s">
        <v>376</v>
      </c>
      <c r="D108" s="15" t="s">
        <v>308</v>
      </c>
      <c r="E108" s="223">
        <v>180000</v>
      </c>
      <c r="F108" s="12"/>
    </row>
    <row r="109" spans="1:6" ht="20.149999999999999" customHeight="1">
      <c r="A109" s="3">
        <v>3</v>
      </c>
      <c r="B109" s="10" t="s">
        <v>377</v>
      </c>
      <c r="C109" s="3" t="s">
        <v>378</v>
      </c>
      <c r="D109" s="9" t="s">
        <v>263</v>
      </c>
      <c r="E109" s="223">
        <v>90000</v>
      </c>
      <c r="F109" s="12"/>
    </row>
    <row r="110" spans="1:6" ht="20.149999999999999" customHeight="1">
      <c r="A110" s="3">
        <v>4</v>
      </c>
      <c r="B110" s="10" t="s">
        <v>379</v>
      </c>
      <c r="C110" s="3" t="s">
        <v>378</v>
      </c>
      <c r="D110" s="9" t="s">
        <v>263</v>
      </c>
      <c r="E110" s="223">
        <v>90000</v>
      </c>
      <c r="F110" s="12"/>
    </row>
    <row r="111" spans="1:6" ht="20.149999999999999" customHeight="1">
      <c r="A111" s="3">
        <v>5</v>
      </c>
      <c r="B111" s="10" t="s">
        <v>380</v>
      </c>
      <c r="C111" s="3" t="s">
        <v>381</v>
      </c>
      <c r="D111" s="14" t="s">
        <v>384</v>
      </c>
      <c r="E111" s="223">
        <v>54000</v>
      </c>
      <c r="F111" s="12"/>
    </row>
    <row r="112" spans="1:6" ht="20.149999999999999" customHeight="1">
      <c r="A112" s="3">
        <v>6</v>
      </c>
      <c r="B112" s="17" t="s">
        <v>383</v>
      </c>
      <c r="C112" s="3" t="s">
        <v>381</v>
      </c>
      <c r="D112" s="9" t="s">
        <v>945</v>
      </c>
      <c r="E112" s="223">
        <v>54000</v>
      </c>
      <c r="F112" s="12"/>
    </row>
    <row r="113" spans="1:6" ht="20.149999999999999" customHeight="1">
      <c r="A113" s="3">
        <v>7</v>
      </c>
      <c r="B113" s="17" t="s">
        <v>385</v>
      </c>
      <c r="C113" s="3" t="s">
        <v>381</v>
      </c>
      <c r="D113" s="14" t="s">
        <v>294</v>
      </c>
      <c r="E113" s="223">
        <v>54000</v>
      </c>
      <c r="F113" s="12"/>
    </row>
    <row r="114" spans="1:6" ht="20.149999999999999" customHeight="1">
      <c r="A114" s="3"/>
      <c r="B114" s="19" t="s">
        <v>34</v>
      </c>
      <c r="C114" s="20">
        <v>7</v>
      </c>
      <c r="D114" s="3"/>
      <c r="E114" s="229">
        <v>792000</v>
      </c>
      <c r="F114" s="12"/>
    </row>
    <row r="115" spans="1:6" ht="20.149999999999999" customHeight="1">
      <c r="A115" s="3"/>
      <c r="B115" s="19"/>
      <c r="C115" s="20"/>
      <c r="D115" s="3"/>
      <c r="E115" s="229"/>
      <c r="F115" s="12"/>
    </row>
    <row r="116" spans="1:6" ht="43.5" customHeight="1">
      <c r="A116" s="9"/>
      <c r="B116" s="19" t="s">
        <v>1125</v>
      </c>
      <c r="C116" s="20"/>
      <c r="D116" s="20"/>
      <c r="E116" s="229"/>
      <c r="F116" s="12"/>
    </row>
    <row r="117" spans="1:6" ht="27" customHeight="1">
      <c r="A117" s="9">
        <v>1</v>
      </c>
      <c r="B117" s="10" t="s">
        <v>1033</v>
      </c>
      <c r="C117" s="16" t="s">
        <v>275</v>
      </c>
      <c r="D117" s="14" t="s">
        <v>271</v>
      </c>
      <c r="E117" s="223">
        <v>54000</v>
      </c>
      <c r="F117" s="12"/>
    </row>
    <row r="118" spans="1:6" ht="27" customHeight="1">
      <c r="A118" s="9">
        <v>2</v>
      </c>
      <c r="B118" s="10" t="s">
        <v>387</v>
      </c>
      <c r="C118" s="3" t="s">
        <v>388</v>
      </c>
      <c r="D118" s="14" t="s">
        <v>332</v>
      </c>
      <c r="E118" s="223">
        <v>54000</v>
      </c>
      <c r="F118" s="12"/>
    </row>
    <row r="119" spans="1:6" ht="27" customHeight="1">
      <c r="A119" s="3"/>
      <c r="B119" s="19" t="s">
        <v>34</v>
      </c>
      <c r="C119" s="20">
        <v>2</v>
      </c>
      <c r="D119" s="25"/>
      <c r="E119" s="229">
        <v>108000</v>
      </c>
      <c r="F119" s="12"/>
    </row>
    <row r="120" spans="1:6" ht="20.149999999999999" customHeight="1">
      <c r="A120" s="3"/>
      <c r="B120" s="21"/>
      <c r="C120" s="9"/>
      <c r="D120" s="3"/>
      <c r="E120" s="230"/>
      <c r="F120" s="12"/>
    </row>
    <row r="121" spans="1:6" ht="20.149999999999999" customHeight="1">
      <c r="A121" s="3"/>
      <c r="B121" s="19" t="s">
        <v>67</v>
      </c>
      <c r="C121" s="20"/>
      <c r="D121" s="20"/>
      <c r="E121" s="223"/>
      <c r="F121" s="12"/>
    </row>
    <row r="122" spans="1:6" ht="20.149999999999999" customHeight="1">
      <c r="A122" s="3">
        <v>1</v>
      </c>
      <c r="B122" s="10" t="s">
        <v>392</v>
      </c>
      <c r="C122" s="11" t="s">
        <v>393</v>
      </c>
      <c r="D122" s="14" t="s">
        <v>297</v>
      </c>
      <c r="E122" s="223">
        <v>270000</v>
      </c>
      <c r="F122" s="12"/>
    </row>
    <row r="123" spans="1:6" ht="20.149999999999999" customHeight="1">
      <c r="A123" s="3">
        <v>2</v>
      </c>
      <c r="B123" s="10" t="s">
        <v>130</v>
      </c>
      <c r="C123" s="11" t="s">
        <v>227</v>
      </c>
      <c r="D123" s="14" t="s">
        <v>249</v>
      </c>
      <c r="E123" s="223">
        <v>126000</v>
      </c>
      <c r="F123" s="12"/>
    </row>
    <row r="124" spans="1:6" ht="20.149999999999999" customHeight="1">
      <c r="A124" s="3">
        <v>3</v>
      </c>
      <c r="B124" s="13" t="s">
        <v>395</v>
      </c>
      <c r="C124" s="11" t="s">
        <v>227</v>
      </c>
      <c r="D124" s="14" t="s">
        <v>249</v>
      </c>
      <c r="E124" s="223">
        <v>126000</v>
      </c>
      <c r="F124" s="12"/>
    </row>
    <row r="125" spans="1:6" ht="20.149999999999999" customHeight="1">
      <c r="A125" s="3">
        <v>4</v>
      </c>
      <c r="B125" s="13" t="s">
        <v>226</v>
      </c>
      <c r="C125" s="11" t="s">
        <v>227</v>
      </c>
      <c r="D125" s="14" t="s">
        <v>228</v>
      </c>
      <c r="E125" s="223">
        <v>126000</v>
      </c>
      <c r="F125" s="12"/>
    </row>
    <row r="126" spans="1:6" ht="20.149999999999999" customHeight="1">
      <c r="A126" s="3">
        <v>5</v>
      </c>
      <c r="B126" s="10" t="s">
        <v>396</v>
      </c>
      <c r="C126" s="11" t="s">
        <v>397</v>
      </c>
      <c r="D126" s="14" t="s">
        <v>342</v>
      </c>
      <c r="E126" s="223">
        <v>90000</v>
      </c>
      <c r="F126" s="12"/>
    </row>
    <row r="127" spans="1:6" ht="20.149999999999999" customHeight="1">
      <c r="A127" s="3">
        <v>6</v>
      </c>
      <c r="B127" s="10" t="s">
        <v>398</v>
      </c>
      <c r="C127" s="11" t="s">
        <v>399</v>
      </c>
      <c r="D127" s="14" t="s">
        <v>266</v>
      </c>
      <c r="E127" s="223">
        <v>90000</v>
      </c>
      <c r="F127" s="12"/>
    </row>
    <row r="128" spans="1:6" ht="20.149999999999999" customHeight="1">
      <c r="A128" s="3">
        <v>7</v>
      </c>
      <c r="B128" s="10" t="s">
        <v>400</v>
      </c>
      <c r="C128" s="11" t="s">
        <v>970</v>
      </c>
      <c r="D128" s="14" t="s">
        <v>266</v>
      </c>
      <c r="E128" s="223">
        <v>90000</v>
      </c>
      <c r="F128" s="12"/>
    </row>
    <row r="129" spans="1:6" ht="20.149999999999999" customHeight="1">
      <c r="A129" s="3">
        <v>8</v>
      </c>
      <c r="B129" s="10" t="s">
        <v>401</v>
      </c>
      <c r="C129" s="11" t="s">
        <v>402</v>
      </c>
      <c r="D129" s="9" t="s">
        <v>283</v>
      </c>
      <c r="E129" s="223">
        <v>54000</v>
      </c>
      <c r="F129" s="12"/>
    </row>
    <row r="130" spans="1:6" ht="20.149999999999999" customHeight="1">
      <c r="A130" s="3">
        <v>9</v>
      </c>
      <c r="B130" s="17" t="s">
        <v>403</v>
      </c>
      <c r="C130" s="11" t="s">
        <v>404</v>
      </c>
      <c r="D130" s="14" t="s">
        <v>294</v>
      </c>
      <c r="E130" s="223">
        <v>54000</v>
      </c>
      <c r="F130" s="12"/>
    </row>
    <row r="131" spans="1:6" ht="20.149999999999999" customHeight="1">
      <c r="A131" s="3"/>
      <c r="B131" s="19" t="s">
        <v>34</v>
      </c>
      <c r="C131" s="25" t="s">
        <v>1120</v>
      </c>
      <c r="D131" s="14"/>
      <c r="E131" s="231">
        <v>1026000</v>
      </c>
      <c r="F131" s="12"/>
    </row>
    <row r="132" spans="1:6" ht="20.149999999999999" customHeight="1">
      <c r="A132" s="3"/>
      <c r="B132" s="21"/>
      <c r="C132" s="25"/>
      <c r="D132" s="14"/>
      <c r="E132" s="227"/>
      <c r="F132" s="12"/>
    </row>
    <row r="133" spans="1:6" ht="20.149999999999999" customHeight="1">
      <c r="A133" s="3"/>
      <c r="B133" s="19" t="s">
        <v>71</v>
      </c>
      <c r="C133" s="11"/>
      <c r="D133" s="14"/>
      <c r="E133" s="223"/>
      <c r="F133" s="12"/>
    </row>
    <row r="134" spans="1:6" ht="20.149999999999999" customHeight="1">
      <c r="A134" s="26">
        <v>1</v>
      </c>
      <c r="B134" s="10" t="s">
        <v>407</v>
      </c>
      <c r="C134" s="11" t="s">
        <v>408</v>
      </c>
      <c r="D134" s="14" t="s">
        <v>297</v>
      </c>
      <c r="E134" s="223">
        <v>270000</v>
      </c>
      <c r="F134" s="12"/>
    </row>
    <row r="135" spans="1:6" ht="20.149999999999999" customHeight="1">
      <c r="A135" s="26">
        <v>2</v>
      </c>
      <c r="B135" s="10" t="s">
        <v>229</v>
      </c>
      <c r="C135" s="11" t="s">
        <v>230</v>
      </c>
      <c r="D135" s="14" t="s">
        <v>231</v>
      </c>
      <c r="E135" s="223">
        <v>180000</v>
      </c>
      <c r="F135" s="12"/>
    </row>
    <row r="136" spans="1:6" ht="20.149999999999999" customHeight="1">
      <c r="A136" s="26">
        <v>3</v>
      </c>
      <c r="B136" s="13" t="s">
        <v>409</v>
      </c>
      <c r="C136" s="3" t="s">
        <v>410</v>
      </c>
      <c r="D136" s="15" t="s">
        <v>308</v>
      </c>
      <c r="E136" s="223">
        <v>180000</v>
      </c>
      <c r="F136" s="12"/>
    </row>
    <row r="137" spans="1:6" ht="20.149999999999999" customHeight="1">
      <c r="A137" s="26">
        <v>4</v>
      </c>
      <c r="B137" s="10" t="s">
        <v>411</v>
      </c>
      <c r="C137" s="11" t="s">
        <v>412</v>
      </c>
      <c r="D137" s="14" t="s">
        <v>257</v>
      </c>
      <c r="E137" s="223">
        <v>90000</v>
      </c>
      <c r="F137" s="12"/>
    </row>
    <row r="138" spans="1:6" ht="20.149999999999999" customHeight="1">
      <c r="A138" s="26">
        <v>5</v>
      </c>
      <c r="B138" s="10" t="s">
        <v>413</v>
      </c>
      <c r="C138" s="3" t="s">
        <v>414</v>
      </c>
      <c r="D138" s="14" t="s">
        <v>257</v>
      </c>
      <c r="E138" s="223">
        <v>90000</v>
      </c>
      <c r="F138" s="12"/>
    </row>
    <row r="139" spans="1:6" ht="20.149999999999999" customHeight="1">
      <c r="A139" s="26">
        <v>6</v>
      </c>
      <c r="B139" s="10" t="s">
        <v>366</v>
      </c>
      <c r="C139" s="3" t="s">
        <v>420</v>
      </c>
      <c r="D139" s="14" t="s">
        <v>266</v>
      </c>
      <c r="E139" s="223">
        <v>90000</v>
      </c>
      <c r="F139" s="12"/>
    </row>
    <row r="140" spans="1:6" ht="20.149999999999999" customHeight="1">
      <c r="A140" s="26">
        <v>7</v>
      </c>
      <c r="B140" s="10" t="s">
        <v>416</v>
      </c>
      <c r="C140" s="11" t="s">
        <v>417</v>
      </c>
      <c r="D140" s="14" t="s">
        <v>271</v>
      </c>
      <c r="E140" s="223">
        <v>54000</v>
      </c>
      <c r="F140" s="12"/>
    </row>
    <row r="141" spans="1:6" ht="20.149999999999999" customHeight="1">
      <c r="A141" s="26">
        <v>8</v>
      </c>
      <c r="B141" s="10" t="s">
        <v>418</v>
      </c>
      <c r="C141" s="11" t="s">
        <v>417</v>
      </c>
      <c r="D141" s="14" t="s">
        <v>271</v>
      </c>
      <c r="E141" s="223">
        <v>54000</v>
      </c>
      <c r="F141" s="12"/>
    </row>
    <row r="142" spans="1:6" ht="20.149999999999999" customHeight="1">
      <c r="A142" s="26">
        <v>9</v>
      </c>
      <c r="B142" s="10" t="s">
        <v>419</v>
      </c>
      <c r="C142" s="3" t="s">
        <v>420</v>
      </c>
      <c r="D142" s="14" t="s">
        <v>271</v>
      </c>
      <c r="E142" s="223">
        <v>54000</v>
      </c>
      <c r="F142" s="12"/>
    </row>
    <row r="143" spans="1:6" ht="20.149999999999999" customHeight="1">
      <c r="A143" s="26">
        <v>10</v>
      </c>
      <c r="B143" s="10" t="s">
        <v>421</v>
      </c>
      <c r="C143" s="11" t="s">
        <v>426</v>
      </c>
      <c r="D143" s="14" t="s">
        <v>332</v>
      </c>
      <c r="E143" s="223">
        <v>54000</v>
      </c>
      <c r="F143" s="12"/>
    </row>
    <row r="144" spans="1:6" ht="20.149999999999999" customHeight="1">
      <c r="A144" s="26">
        <v>11</v>
      </c>
      <c r="B144" s="10" t="s">
        <v>423</v>
      </c>
      <c r="C144" s="11" t="s">
        <v>971</v>
      </c>
      <c r="D144" s="14" t="s">
        <v>432</v>
      </c>
      <c r="E144" s="223">
        <v>54000</v>
      </c>
      <c r="F144" s="12"/>
    </row>
    <row r="145" spans="1:6" ht="20.149999999999999" customHeight="1">
      <c r="A145" s="26">
        <v>12</v>
      </c>
      <c r="B145" s="10" t="s">
        <v>425</v>
      </c>
      <c r="C145" s="11" t="s">
        <v>426</v>
      </c>
      <c r="D145" s="14" t="s">
        <v>271</v>
      </c>
      <c r="E145" s="223">
        <v>54000</v>
      </c>
      <c r="F145" s="12"/>
    </row>
    <row r="146" spans="1:6" ht="20.149999999999999" customHeight="1">
      <c r="A146" s="26">
        <v>13</v>
      </c>
      <c r="B146" s="17" t="s">
        <v>427</v>
      </c>
      <c r="C146" s="3" t="s">
        <v>437</v>
      </c>
      <c r="D146" s="14" t="s">
        <v>432</v>
      </c>
      <c r="E146" s="223">
        <v>54000</v>
      </c>
      <c r="F146" s="12"/>
    </row>
    <row r="147" spans="1:6" ht="20.149999999999999" customHeight="1">
      <c r="A147" s="26">
        <v>14</v>
      </c>
      <c r="B147" s="10" t="s">
        <v>429</v>
      </c>
      <c r="C147" s="3" t="s">
        <v>430</v>
      </c>
      <c r="D147" s="14" t="s">
        <v>301</v>
      </c>
      <c r="E147" s="223">
        <v>54000</v>
      </c>
      <c r="F147" s="12"/>
    </row>
    <row r="148" spans="1:6" ht="20.149999999999999" customHeight="1">
      <c r="A148" s="26">
        <v>15</v>
      </c>
      <c r="B148" s="10" t="s">
        <v>431</v>
      </c>
      <c r="C148" s="3" t="s">
        <v>430</v>
      </c>
      <c r="D148" s="14" t="s">
        <v>345</v>
      </c>
      <c r="E148" s="223">
        <v>54000</v>
      </c>
      <c r="F148" s="12"/>
    </row>
    <row r="149" spans="1:6" ht="20.149999999999999" customHeight="1">
      <c r="A149" s="26">
        <v>16</v>
      </c>
      <c r="B149" s="10" t="s">
        <v>433</v>
      </c>
      <c r="C149" s="3" t="s">
        <v>430</v>
      </c>
      <c r="D149" s="14" t="s">
        <v>345</v>
      </c>
      <c r="E149" s="223">
        <v>54000</v>
      </c>
      <c r="F149" s="12"/>
    </row>
    <row r="150" spans="1:6" ht="20.149999999999999" customHeight="1">
      <c r="A150" s="26">
        <v>17</v>
      </c>
      <c r="B150" s="10" t="s">
        <v>434</v>
      </c>
      <c r="C150" s="11" t="s">
        <v>435</v>
      </c>
      <c r="D150" s="14" t="s">
        <v>38</v>
      </c>
      <c r="E150" s="223">
        <v>54000</v>
      </c>
      <c r="F150" s="12"/>
    </row>
    <row r="151" spans="1:6" ht="20.149999999999999" customHeight="1">
      <c r="A151" s="26">
        <v>18</v>
      </c>
      <c r="B151" s="10" t="s">
        <v>953</v>
      </c>
      <c r="C151" s="11" t="s">
        <v>437</v>
      </c>
      <c r="D151" s="9" t="s">
        <v>25</v>
      </c>
      <c r="E151" s="223">
        <v>54000</v>
      </c>
      <c r="F151" s="12"/>
    </row>
    <row r="152" spans="1:6" ht="20.149999999999999" customHeight="1">
      <c r="A152" s="26">
        <v>19</v>
      </c>
      <c r="B152" s="10" t="s">
        <v>438</v>
      </c>
      <c r="C152" s="11" t="s">
        <v>439</v>
      </c>
      <c r="D152" s="14" t="s">
        <v>301</v>
      </c>
      <c r="E152" s="223">
        <v>54000</v>
      </c>
      <c r="F152" s="12"/>
    </row>
    <row r="153" spans="1:6" ht="20.149999999999999" customHeight="1">
      <c r="A153" s="26">
        <v>20</v>
      </c>
      <c r="B153" s="10" t="s">
        <v>440</v>
      </c>
      <c r="C153" s="11" t="s">
        <v>441</v>
      </c>
      <c r="D153" s="14" t="s">
        <v>283</v>
      </c>
      <c r="E153" s="223">
        <v>54000</v>
      </c>
      <c r="F153" s="12"/>
    </row>
    <row r="154" spans="1:6" ht="20.149999999999999" customHeight="1">
      <c r="A154" s="26">
        <v>21</v>
      </c>
      <c r="B154" s="10" t="s">
        <v>442</v>
      </c>
      <c r="C154" s="11" t="s">
        <v>443</v>
      </c>
      <c r="D154" s="14" t="s">
        <v>301</v>
      </c>
      <c r="E154" s="223">
        <v>54000</v>
      </c>
      <c r="F154" s="12"/>
    </row>
    <row r="155" spans="1:6" ht="20.149999999999999" customHeight="1">
      <c r="A155" s="26">
        <v>22</v>
      </c>
      <c r="B155" s="10" t="s">
        <v>444</v>
      </c>
      <c r="C155" s="11" t="s">
        <v>445</v>
      </c>
      <c r="D155" s="14" t="s">
        <v>283</v>
      </c>
      <c r="E155" s="223">
        <v>54000</v>
      </c>
      <c r="F155" s="12"/>
    </row>
    <row r="156" spans="1:6" ht="20.149999999999999" customHeight="1">
      <c r="A156" s="26">
        <v>23</v>
      </c>
      <c r="B156" s="17" t="s">
        <v>446</v>
      </c>
      <c r="C156" s="11" t="s">
        <v>451</v>
      </c>
      <c r="D156" s="14" t="s">
        <v>945</v>
      </c>
      <c r="E156" s="223">
        <v>54000</v>
      </c>
      <c r="F156" s="12"/>
    </row>
    <row r="157" spans="1:6" ht="20.149999999999999" customHeight="1">
      <c r="A157" s="26">
        <v>24</v>
      </c>
      <c r="B157" s="17" t="s">
        <v>448</v>
      </c>
      <c r="C157" s="11" t="s">
        <v>449</v>
      </c>
      <c r="D157" s="14" t="s">
        <v>31</v>
      </c>
      <c r="E157" s="223">
        <v>54000</v>
      </c>
      <c r="F157" s="12"/>
    </row>
    <row r="158" spans="1:6" ht="20.149999999999999" customHeight="1">
      <c r="A158" s="26">
        <v>25</v>
      </c>
      <c r="B158" s="17" t="s">
        <v>450</v>
      </c>
      <c r="C158" s="11" t="s">
        <v>451</v>
      </c>
      <c r="D158" s="14" t="s">
        <v>31</v>
      </c>
      <c r="E158" s="223">
        <v>54000</v>
      </c>
      <c r="F158" s="12"/>
    </row>
    <row r="159" spans="1:6" ht="20.149999999999999" customHeight="1">
      <c r="A159" s="26">
        <v>26</v>
      </c>
      <c r="B159" s="17" t="s">
        <v>452</v>
      </c>
      <c r="C159" s="11" t="s">
        <v>453</v>
      </c>
      <c r="D159" s="14" t="s">
        <v>294</v>
      </c>
      <c r="E159" s="223">
        <v>54000</v>
      </c>
      <c r="F159" s="12"/>
    </row>
    <row r="160" spans="1:6" ht="20.149999999999999" customHeight="1">
      <c r="A160" s="26">
        <v>27</v>
      </c>
      <c r="B160" s="17" t="s">
        <v>454</v>
      </c>
      <c r="C160" s="11" t="s">
        <v>455</v>
      </c>
      <c r="D160" s="14" t="s">
        <v>294</v>
      </c>
      <c r="E160" s="223">
        <v>54000</v>
      </c>
      <c r="F160" s="12"/>
    </row>
    <row r="161" spans="1:6" ht="20.149999999999999" customHeight="1">
      <c r="A161" s="26">
        <v>28</v>
      </c>
      <c r="B161" s="10" t="s">
        <v>457</v>
      </c>
      <c r="C161" s="11" t="s">
        <v>458</v>
      </c>
      <c r="D161" s="14" t="s">
        <v>465</v>
      </c>
      <c r="E161" s="223">
        <v>36000</v>
      </c>
      <c r="F161" s="12"/>
    </row>
    <row r="162" spans="1:6" ht="20.149999999999999" customHeight="1">
      <c r="A162" s="26">
        <v>29</v>
      </c>
      <c r="B162" s="10" t="s">
        <v>460</v>
      </c>
      <c r="C162" s="11" t="s">
        <v>458</v>
      </c>
      <c r="D162" s="14" t="s">
        <v>465</v>
      </c>
      <c r="E162" s="223">
        <v>36000</v>
      </c>
      <c r="F162" s="12"/>
    </row>
    <row r="163" spans="1:6" ht="20.149999999999999" customHeight="1">
      <c r="A163" s="26">
        <v>30</v>
      </c>
      <c r="B163" s="10" t="s">
        <v>461</v>
      </c>
      <c r="C163" s="11" t="s">
        <v>458</v>
      </c>
      <c r="D163" s="14" t="s">
        <v>465</v>
      </c>
      <c r="E163" s="223">
        <v>36000</v>
      </c>
      <c r="F163" s="12"/>
    </row>
    <row r="164" spans="1:6" ht="20.149999999999999" customHeight="1">
      <c r="A164" s="26">
        <v>32</v>
      </c>
      <c r="B164" s="10" t="s">
        <v>462</v>
      </c>
      <c r="C164" s="11" t="s">
        <v>458</v>
      </c>
      <c r="D164" s="14" t="s">
        <v>465</v>
      </c>
      <c r="E164" s="223">
        <v>36000</v>
      </c>
      <c r="F164" s="12"/>
    </row>
    <row r="165" spans="1:6" ht="20.149999999999999" customHeight="1">
      <c r="A165" s="26">
        <v>33</v>
      </c>
      <c r="B165" s="10" t="s">
        <v>463</v>
      </c>
      <c r="C165" s="11" t="s">
        <v>458</v>
      </c>
      <c r="D165" s="14" t="s">
        <v>465</v>
      </c>
      <c r="E165" s="223">
        <v>36000</v>
      </c>
      <c r="F165" s="12"/>
    </row>
    <row r="166" spans="1:6" ht="20.149999999999999" customHeight="1">
      <c r="A166" s="26">
        <v>34</v>
      </c>
      <c r="B166" s="10" t="s">
        <v>464</v>
      </c>
      <c r="C166" s="11" t="s">
        <v>458</v>
      </c>
      <c r="D166" s="14" t="s">
        <v>476</v>
      </c>
      <c r="E166" s="223">
        <v>36000</v>
      </c>
      <c r="F166" s="12"/>
    </row>
    <row r="167" spans="1:6" ht="20.149999999999999" customHeight="1">
      <c r="A167" s="26">
        <v>35</v>
      </c>
      <c r="B167" s="10" t="s">
        <v>466</v>
      </c>
      <c r="C167" s="11" t="s">
        <v>458</v>
      </c>
      <c r="D167" s="14" t="s">
        <v>476</v>
      </c>
      <c r="E167" s="223">
        <v>36000</v>
      </c>
      <c r="F167" s="12"/>
    </row>
    <row r="168" spans="1:6" ht="20.149999999999999" customHeight="1">
      <c r="A168" s="26">
        <v>36</v>
      </c>
      <c r="B168" s="13" t="s">
        <v>467</v>
      </c>
      <c r="C168" s="11" t="s">
        <v>458</v>
      </c>
      <c r="D168" s="14" t="s">
        <v>476</v>
      </c>
      <c r="E168" s="223">
        <v>36000</v>
      </c>
      <c r="F168" s="12"/>
    </row>
    <row r="169" spans="1:6" ht="20.149999999999999" customHeight="1">
      <c r="A169" s="26">
        <v>37</v>
      </c>
      <c r="B169" s="10" t="s">
        <v>468</v>
      </c>
      <c r="C169" s="11" t="s">
        <v>458</v>
      </c>
      <c r="D169" s="14" t="s">
        <v>476</v>
      </c>
      <c r="E169" s="223">
        <v>36000</v>
      </c>
      <c r="F169" s="12"/>
    </row>
    <row r="170" spans="1:6" ht="20.149999999999999" customHeight="1">
      <c r="A170" s="26">
        <v>38</v>
      </c>
      <c r="B170" s="17" t="s">
        <v>469</v>
      </c>
      <c r="C170" s="11" t="s">
        <v>458</v>
      </c>
      <c r="D170" s="14" t="s">
        <v>476</v>
      </c>
      <c r="E170" s="223">
        <v>36000</v>
      </c>
      <c r="F170" s="12"/>
    </row>
    <row r="171" spans="1:6" ht="20.149999999999999" customHeight="1">
      <c r="A171" s="26">
        <v>39</v>
      </c>
      <c r="B171" s="17" t="s">
        <v>470</v>
      </c>
      <c r="C171" s="11" t="s">
        <v>458</v>
      </c>
      <c r="D171" s="14" t="s">
        <v>476</v>
      </c>
      <c r="E171" s="223">
        <v>36000</v>
      </c>
      <c r="F171" s="12"/>
    </row>
    <row r="172" spans="1:6" ht="20.149999999999999" customHeight="1">
      <c r="A172" s="26">
        <v>40</v>
      </c>
      <c r="B172" s="10" t="s">
        <v>471</v>
      </c>
      <c r="C172" s="11" t="s">
        <v>478</v>
      </c>
      <c r="D172" s="14" t="s">
        <v>479</v>
      </c>
      <c r="E172" s="223">
        <v>36000</v>
      </c>
      <c r="F172" s="12"/>
    </row>
    <row r="173" spans="1:6" ht="20.149999999999999" customHeight="1">
      <c r="A173" s="26">
        <v>41</v>
      </c>
      <c r="B173" s="10" t="s">
        <v>474</v>
      </c>
      <c r="C173" s="11" t="s">
        <v>478</v>
      </c>
      <c r="D173" s="14" t="s">
        <v>479</v>
      </c>
      <c r="E173" s="223">
        <v>36000</v>
      </c>
      <c r="F173" s="12"/>
    </row>
    <row r="174" spans="1:6" ht="20.149999999999999" customHeight="1">
      <c r="A174" s="26">
        <v>42</v>
      </c>
      <c r="B174" s="17" t="s">
        <v>475</v>
      </c>
      <c r="C174" s="11" t="s">
        <v>478</v>
      </c>
      <c r="D174" s="14" t="s">
        <v>948</v>
      </c>
      <c r="E174" s="223">
        <v>36000</v>
      </c>
      <c r="F174" s="12"/>
    </row>
    <row r="175" spans="1:6" ht="20.149999999999999" customHeight="1">
      <c r="A175" s="26">
        <v>43</v>
      </c>
      <c r="B175" s="10" t="s">
        <v>477</v>
      </c>
      <c r="C175" s="11" t="s">
        <v>478</v>
      </c>
      <c r="D175" s="14" t="s">
        <v>954</v>
      </c>
      <c r="E175" s="223">
        <v>36000</v>
      </c>
      <c r="F175" s="12"/>
    </row>
    <row r="176" spans="1:6" ht="20.149999999999999" customHeight="1">
      <c r="A176" s="26">
        <v>44</v>
      </c>
      <c r="B176" s="10" t="s">
        <v>480</v>
      </c>
      <c r="C176" s="11" t="s">
        <v>481</v>
      </c>
      <c r="D176" s="14" t="s">
        <v>955</v>
      </c>
      <c r="E176" s="223">
        <v>36000</v>
      </c>
      <c r="F176" s="12"/>
    </row>
    <row r="177" spans="1:6" ht="20.149999999999999" customHeight="1">
      <c r="A177" s="26">
        <v>45</v>
      </c>
      <c r="B177" s="10" t="s">
        <v>483</v>
      </c>
      <c r="C177" s="11" t="s">
        <v>481</v>
      </c>
      <c r="D177" s="14" t="s">
        <v>955</v>
      </c>
      <c r="E177" s="223">
        <v>36000</v>
      </c>
      <c r="F177" s="12"/>
    </row>
    <row r="178" spans="1:6" ht="20.149999999999999" customHeight="1">
      <c r="A178" s="26">
        <v>46</v>
      </c>
      <c r="B178" s="10" t="s">
        <v>484</v>
      </c>
      <c r="C178" s="11" t="s">
        <v>481</v>
      </c>
      <c r="D178" s="14" t="s">
        <v>955</v>
      </c>
      <c r="E178" s="223">
        <v>36000</v>
      </c>
      <c r="F178" s="12"/>
    </row>
    <row r="179" spans="1:6" ht="20.149999999999999" customHeight="1">
      <c r="A179" s="26">
        <v>47</v>
      </c>
      <c r="B179" s="10" t="s">
        <v>485</v>
      </c>
      <c r="C179" s="11" t="s">
        <v>481</v>
      </c>
      <c r="D179" s="14" t="s">
        <v>955</v>
      </c>
      <c r="E179" s="223">
        <v>36000</v>
      </c>
      <c r="F179" s="12"/>
    </row>
    <row r="180" spans="1:6" ht="20.149999999999999" customHeight="1">
      <c r="A180" s="26">
        <v>48</v>
      </c>
      <c r="B180" s="10" t="s">
        <v>486</v>
      </c>
      <c r="C180" s="11" t="s">
        <v>481</v>
      </c>
      <c r="D180" s="14" t="s">
        <v>955</v>
      </c>
      <c r="E180" s="223">
        <v>36000</v>
      </c>
      <c r="F180" s="12"/>
    </row>
    <row r="181" spans="1:6" ht="20.149999999999999" customHeight="1">
      <c r="A181" s="26">
        <v>49</v>
      </c>
      <c r="B181" s="17" t="s">
        <v>487</v>
      </c>
      <c r="C181" s="11" t="s">
        <v>481</v>
      </c>
      <c r="D181" s="14" t="s">
        <v>955</v>
      </c>
      <c r="E181" s="223">
        <v>36000</v>
      </c>
      <c r="F181" s="12"/>
    </row>
    <row r="182" spans="1:6" ht="20.149999999999999" customHeight="1">
      <c r="A182" s="26">
        <v>50</v>
      </c>
      <c r="B182" s="17" t="s">
        <v>488</v>
      </c>
      <c r="C182" s="11" t="s">
        <v>481</v>
      </c>
      <c r="D182" s="14" t="s">
        <v>955</v>
      </c>
      <c r="E182" s="223">
        <v>36000</v>
      </c>
      <c r="F182" s="12"/>
    </row>
    <row r="183" spans="1:6" ht="20.149999999999999" customHeight="1">
      <c r="A183" s="26">
        <v>51</v>
      </c>
      <c r="B183" s="10" t="s">
        <v>489</v>
      </c>
      <c r="C183" s="11" t="s">
        <v>478</v>
      </c>
      <c r="D183" s="14" t="s">
        <v>955</v>
      </c>
      <c r="E183" s="223">
        <v>36000</v>
      </c>
      <c r="F183" s="12"/>
    </row>
    <row r="184" spans="1:6" ht="20.149999999999999" customHeight="1">
      <c r="A184" s="26">
        <v>52</v>
      </c>
      <c r="B184" s="10" t="s">
        <v>490</v>
      </c>
      <c r="C184" s="11" t="s">
        <v>478</v>
      </c>
      <c r="D184" s="14" t="s">
        <v>955</v>
      </c>
      <c r="E184" s="223">
        <v>36000</v>
      </c>
      <c r="F184" s="12"/>
    </row>
    <row r="185" spans="1:6" ht="20.149999999999999" customHeight="1">
      <c r="A185" s="26">
        <v>53</v>
      </c>
      <c r="B185" s="17" t="s">
        <v>491</v>
      </c>
      <c r="C185" s="11" t="s">
        <v>481</v>
      </c>
      <c r="D185" s="14" t="s">
        <v>972</v>
      </c>
      <c r="E185" s="223">
        <v>36000</v>
      </c>
      <c r="F185" s="12"/>
    </row>
    <row r="186" spans="1:6" ht="20.149999999999999" customHeight="1">
      <c r="A186" s="26">
        <v>54</v>
      </c>
      <c r="B186" s="17" t="s">
        <v>493</v>
      </c>
      <c r="C186" s="11" t="s">
        <v>481</v>
      </c>
      <c r="D186" s="14" t="s">
        <v>956</v>
      </c>
      <c r="E186" s="223">
        <v>36000</v>
      </c>
      <c r="F186" s="12"/>
    </row>
    <row r="187" spans="1:6" ht="20.149999999999999" customHeight="1">
      <c r="A187" s="26"/>
      <c r="B187" s="7" t="s">
        <v>34</v>
      </c>
      <c r="C187" s="27" t="s">
        <v>1124</v>
      </c>
      <c r="D187" s="28"/>
      <c r="E187" s="232">
        <v>2970000</v>
      </c>
      <c r="F187" s="12"/>
    </row>
    <row r="188" spans="1:6" ht="9" customHeight="1">
      <c r="A188" s="26"/>
      <c r="B188" s="7"/>
      <c r="C188" s="27"/>
      <c r="D188" s="28"/>
      <c r="E188" s="232"/>
      <c r="F188" s="12"/>
    </row>
    <row r="189" spans="1:6" ht="40.5" customHeight="1">
      <c r="A189" s="3"/>
      <c r="B189" s="233" t="s">
        <v>80</v>
      </c>
      <c r="C189" s="234">
        <f>C35+C40+C55+C60+C76+C84+C97+C104+C114+C131+C187</f>
        <v>145</v>
      </c>
      <c r="D189" s="235"/>
      <c r="E189" s="236">
        <f>E187+E131+E119+E114+E104+E97+E84+E76+E60+E55+E40+E35</f>
        <v>13068000</v>
      </c>
      <c r="F189" s="12"/>
    </row>
    <row r="190" spans="1:6" ht="20.149999999999999" customHeight="1">
      <c r="A190" s="2"/>
      <c r="B190" s="32"/>
      <c r="C190" s="2"/>
      <c r="D190" s="33"/>
      <c r="E190" s="33"/>
      <c r="F190" s="34"/>
    </row>
    <row r="191" spans="1:6" ht="65.25" customHeight="1">
      <c r="A191" s="2"/>
      <c r="B191" s="32"/>
      <c r="C191" s="33"/>
      <c r="D191" s="33"/>
      <c r="E191" s="33"/>
      <c r="F191" s="237"/>
    </row>
    <row r="192" spans="1:6" ht="20.149999999999999" customHeight="1">
      <c r="F192" s="237"/>
    </row>
    <row r="193" spans="6:6" ht="20.149999999999999" customHeight="1">
      <c r="F193" s="237"/>
    </row>
    <row r="194" spans="6:6" ht="20.149999999999999" customHeight="1">
      <c r="F194" s="237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54296875" style="1" customWidth="1"/>
    <col min="5" max="5" width="17.7265625" style="1" customWidth="1"/>
    <col min="6" max="6" width="20.453125" style="1" customWidth="1"/>
    <col min="7" max="7" width="19.54296875" style="1" customWidth="1"/>
    <col min="8" max="8" width="20.1796875" style="1" customWidth="1"/>
    <col min="9" max="9" width="21.7265625" style="1" customWidth="1"/>
    <col min="10" max="16384" width="9.1796875" style="1"/>
  </cols>
  <sheetData>
    <row r="1" spans="1:9" ht="27" customHeight="1">
      <c r="A1" s="764" t="s">
        <v>0</v>
      </c>
      <c r="B1" s="764"/>
      <c r="C1" s="764"/>
      <c r="D1" s="764"/>
    </row>
    <row r="2" spans="1:9" ht="33.75" customHeight="1">
      <c r="A2" s="62" t="s">
        <v>1126</v>
      </c>
      <c r="B2" s="63"/>
      <c r="C2" s="62"/>
      <c r="D2" s="62"/>
      <c r="E2" s="64"/>
      <c r="F2" s="64"/>
      <c r="G2" s="64"/>
    </row>
    <row r="3" spans="1:9" ht="9.75" customHeight="1">
      <c r="A3" s="2"/>
      <c r="B3" s="2"/>
      <c r="C3" s="2"/>
      <c r="D3" s="2"/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23" t="s">
        <v>509</v>
      </c>
      <c r="F4" s="23" t="s">
        <v>516</v>
      </c>
      <c r="G4" s="66" t="s">
        <v>1127</v>
      </c>
    </row>
    <row r="5" spans="1:9" ht="20.149999999999999" customHeight="1">
      <c r="A5" s="8" t="s">
        <v>21</v>
      </c>
      <c r="B5" s="7" t="s">
        <v>22</v>
      </c>
      <c r="C5" s="7"/>
      <c r="D5" s="7"/>
      <c r="E5" s="68" t="s">
        <v>20</v>
      </c>
      <c r="F5" s="211" t="s">
        <v>20</v>
      </c>
      <c r="G5" s="68" t="s">
        <v>20</v>
      </c>
    </row>
    <row r="6" spans="1:9" ht="20.149999999999999" customHeight="1">
      <c r="A6" s="9">
        <v>1</v>
      </c>
      <c r="B6" s="10" t="s">
        <v>236</v>
      </c>
      <c r="C6" s="11" t="s">
        <v>237</v>
      </c>
      <c r="D6" s="11" t="s">
        <v>238</v>
      </c>
      <c r="E6" s="71">
        <f>201165.84</f>
        <v>201165.84</v>
      </c>
      <c r="F6" s="212">
        <v>201165.83594666701</v>
      </c>
      <c r="G6" s="71">
        <v>0</v>
      </c>
      <c r="H6" s="12"/>
      <c r="I6" s="12"/>
    </row>
    <row r="7" spans="1:9" ht="20.149999999999999" customHeight="1">
      <c r="A7" s="9">
        <v>2</v>
      </c>
      <c r="B7" s="10" t="s">
        <v>1016</v>
      </c>
      <c r="C7" s="3" t="s">
        <v>1106</v>
      </c>
      <c r="D7" s="9" t="s">
        <v>231</v>
      </c>
      <c r="E7" s="71" t="e">
        <f>#REF!</f>
        <v>#REF!</v>
      </c>
      <c r="F7" s="212">
        <v>128510.394458667</v>
      </c>
      <c r="G7" s="71" t="e">
        <f>F7-E7</f>
        <v>#REF!</v>
      </c>
      <c r="H7" s="12"/>
      <c r="I7" s="12"/>
    </row>
    <row r="8" spans="1:9" ht="20.149999999999999" customHeight="1">
      <c r="A8" s="9">
        <v>3</v>
      </c>
      <c r="B8" s="13" t="s">
        <v>1107</v>
      </c>
      <c r="C8" s="3" t="s">
        <v>1108</v>
      </c>
      <c r="D8" s="9" t="s">
        <v>231</v>
      </c>
      <c r="E8" s="71">
        <f>116473.51</f>
        <v>116473.51</v>
      </c>
      <c r="F8" s="212">
        <v>119107.951418667</v>
      </c>
      <c r="G8" s="71">
        <f t="shared" ref="G8:G36" si="0">F8-E8</f>
        <v>2634.44141866668</v>
      </c>
      <c r="H8" s="12"/>
      <c r="I8" s="12"/>
    </row>
    <row r="9" spans="1:9" ht="20.149999999999999" customHeight="1">
      <c r="A9" s="9">
        <v>4</v>
      </c>
      <c r="B9" s="10" t="s">
        <v>239</v>
      </c>
      <c r="C9" s="11" t="s">
        <v>240</v>
      </c>
      <c r="D9" s="9" t="s">
        <v>234</v>
      </c>
      <c r="E9" s="71">
        <f>79993.51</f>
        <v>79993.509999999995</v>
      </c>
      <c r="F9" s="212">
        <v>82627.951418666693</v>
      </c>
      <c r="G9" s="71">
        <f t="shared" si="0"/>
        <v>2634.44141866668</v>
      </c>
      <c r="H9" s="12"/>
      <c r="I9" s="12"/>
    </row>
    <row r="10" spans="1:9" ht="20.149999999999999" customHeight="1">
      <c r="A10" s="9">
        <v>5</v>
      </c>
      <c r="B10" s="13" t="s">
        <v>241</v>
      </c>
      <c r="C10" s="3" t="s">
        <v>242</v>
      </c>
      <c r="D10" s="14" t="s">
        <v>308</v>
      </c>
      <c r="E10" s="71">
        <f>107095.69</f>
        <v>107095.69</v>
      </c>
      <c r="F10" s="212">
        <v>109730.053370667</v>
      </c>
      <c r="G10" s="71">
        <f t="shared" si="0"/>
        <v>2634.3633706666401</v>
      </c>
      <c r="H10" s="12"/>
      <c r="I10" s="12"/>
    </row>
    <row r="11" spans="1:9" ht="20.149999999999999" customHeight="1">
      <c r="A11" s="9">
        <v>6</v>
      </c>
      <c r="B11" s="13" t="s">
        <v>363</v>
      </c>
      <c r="C11" s="3" t="s">
        <v>1018</v>
      </c>
      <c r="D11" s="15" t="s">
        <v>308</v>
      </c>
      <c r="E11" s="71" t="e">
        <f>#REF!</f>
        <v>#REF!</v>
      </c>
      <c r="F11" s="212">
        <v>99032.677850666703</v>
      </c>
      <c r="G11" s="71" t="e">
        <f t="shared" si="0"/>
        <v>#REF!</v>
      </c>
      <c r="H11" s="12"/>
      <c r="I11" s="12"/>
    </row>
    <row r="12" spans="1:9" ht="20.149999999999999" customHeight="1">
      <c r="A12" s="9">
        <v>7</v>
      </c>
      <c r="B12" s="10" t="s">
        <v>243</v>
      </c>
      <c r="C12" s="16" t="s">
        <v>244</v>
      </c>
      <c r="D12" s="15" t="s">
        <v>308</v>
      </c>
      <c r="E12" s="71" t="e">
        <f>#REF!</f>
        <v>#REF!</v>
      </c>
      <c r="F12" s="212">
        <v>79832.677850666703</v>
      </c>
      <c r="G12" s="71" t="e">
        <f t="shared" si="0"/>
        <v>#REF!</v>
      </c>
      <c r="H12" s="12"/>
      <c r="I12" s="12"/>
    </row>
    <row r="13" spans="1:9" ht="20.149999999999999" customHeight="1">
      <c r="A13" s="9">
        <v>8</v>
      </c>
      <c r="B13" s="13" t="s">
        <v>245</v>
      </c>
      <c r="C13" s="3" t="s">
        <v>246</v>
      </c>
      <c r="D13" s="15" t="s">
        <v>308</v>
      </c>
      <c r="E13" s="71" t="e">
        <f>#REF!</f>
        <v>#REF!</v>
      </c>
      <c r="F13" s="212">
        <v>79832.677850666703</v>
      </c>
      <c r="G13" s="71" t="e">
        <f t="shared" si="0"/>
        <v>#REF!</v>
      </c>
      <c r="H13" s="12"/>
      <c r="I13" s="12"/>
    </row>
    <row r="14" spans="1:9" ht="20.149999999999999" customHeight="1">
      <c r="A14" s="9">
        <v>9</v>
      </c>
      <c r="B14" s="10" t="s">
        <v>247</v>
      </c>
      <c r="C14" s="11" t="s">
        <v>248</v>
      </c>
      <c r="D14" s="14" t="s">
        <v>249</v>
      </c>
      <c r="E14" s="71">
        <f>64436.1</f>
        <v>64436.1</v>
      </c>
      <c r="F14" s="212">
        <v>64436.103146666697</v>
      </c>
      <c r="G14" s="71">
        <f t="shared" si="0"/>
        <v>3.1466666623600802E-3</v>
      </c>
      <c r="H14" s="12"/>
      <c r="I14" s="12"/>
    </row>
    <row r="15" spans="1:9" ht="20.149999999999999" customHeight="1">
      <c r="A15" s="9">
        <v>10</v>
      </c>
      <c r="B15" s="17" t="s">
        <v>223</v>
      </c>
      <c r="C15" s="11" t="s">
        <v>224</v>
      </c>
      <c r="D15" s="9" t="s">
        <v>222</v>
      </c>
      <c r="E15" s="71">
        <f>60212.92</f>
        <v>60212.92</v>
      </c>
      <c r="F15" s="212">
        <v>62404.980266666702</v>
      </c>
      <c r="G15" s="71">
        <f t="shared" si="0"/>
        <v>2192.06026666666</v>
      </c>
      <c r="H15" s="12"/>
      <c r="I15" s="12"/>
    </row>
    <row r="16" spans="1:9" ht="20.149999999999999" customHeight="1">
      <c r="A16" s="9">
        <v>11</v>
      </c>
      <c r="B16" s="18" t="s">
        <v>1109</v>
      </c>
      <c r="C16" s="3" t="s">
        <v>1110</v>
      </c>
      <c r="D16" s="15" t="s">
        <v>257</v>
      </c>
      <c r="E16" s="71">
        <f>52638.9</f>
        <v>52638.9</v>
      </c>
      <c r="F16" s="212">
        <v>54186.609434666701</v>
      </c>
      <c r="G16" s="71">
        <f t="shared" si="0"/>
        <v>1547.7094346666699</v>
      </c>
      <c r="H16" s="12"/>
      <c r="I16" s="12"/>
    </row>
    <row r="17" spans="1:9" ht="19.5" customHeight="1">
      <c r="A17" s="9">
        <v>12</v>
      </c>
      <c r="B17" s="13" t="s">
        <v>1019</v>
      </c>
      <c r="C17" s="3" t="s">
        <v>253</v>
      </c>
      <c r="D17" s="9" t="s">
        <v>257</v>
      </c>
      <c r="E17" s="71">
        <f>43380</f>
        <v>43380</v>
      </c>
      <c r="F17" s="212">
        <v>44734.339388666704</v>
      </c>
      <c r="G17" s="71">
        <f t="shared" si="0"/>
        <v>1354.3393886666499</v>
      </c>
      <c r="H17" s="12"/>
      <c r="I17" s="12"/>
    </row>
    <row r="18" spans="1:9" ht="19.5" customHeight="1">
      <c r="A18" s="9">
        <v>13</v>
      </c>
      <c r="B18" s="13" t="s">
        <v>1111</v>
      </c>
      <c r="C18" s="3" t="s">
        <v>1112</v>
      </c>
      <c r="D18" s="9" t="s">
        <v>257</v>
      </c>
      <c r="E18" s="71">
        <f>85278.9</f>
        <v>85278.9</v>
      </c>
      <c r="F18" s="212">
        <v>86826.609434666694</v>
      </c>
      <c r="G18" s="71">
        <f t="shared" si="0"/>
        <v>1547.7094346666599</v>
      </c>
      <c r="H18" s="12"/>
      <c r="I18" s="12"/>
    </row>
    <row r="19" spans="1:9" ht="20.149999999999999" customHeight="1">
      <c r="A19" s="9">
        <v>14</v>
      </c>
      <c r="B19" s="10" t="s">
        <v>252</v>
      </c>
      <c r="C19" s="3" t="s">
        <v>253</v>
      </c>
      <c r="D19" s="14" t="s">
        <v>257</v>
      </c>
      <c r="E19" s="71" t="e">
        <f>#REF!</f>
        <v>#REF!</v>
      </c>
      <c r="F19" s="212">
        <v>44006.6165886667</v>
      </c>
      <c r="G19" s="71" t="e">
        <f t="shared" si="0"/>
        <v>#REF!</v>
      </c>
      <c r="H19" s="12"/>
      <c r="I19" s="12"/>
    </row>
    <row r="20" spans="1:9" ht="20.149999999999999" customHeight="1">
      <c r="A20" s="9">
        <v>15</v>
      </c>
      <c r="B20" s="10" t="s">
        <v>264</v>
      </c>
      <c r="C20" s="11" t="s">
        <v>265</v>
      </c>
      <c r="D20" s="14" t="s">
        <v>950</v>
      </c>
      <c r="E20" s="71">
        <f>46673.26</f>
        <v>46673.26</v>
      </c>
      <c r="F20" s="212">
        <v>46666.666666666701</v>
      </c>
      <c r="G20" s="71">
        <f t="shared" si="0"/>
        <v>-6.5933333333378004</v>
      </c>
      <c r="H20" s="12"/>
      <c r="I20" s="12"/>
    </row>
    <row r="21" spans="1:9" ht="20.149999999999999" customHeight="1">
      <c r="A21" s="9">
        <v>16</v>
      </c>
      <c r="B21" s="17" t="s">
        <v>267</v>
      </c>
      <c r="C21" s="3" t="s">
        <v>268</v>
      </c>
      <c r="D21" s="14" t="s">
        <v>951</v>
      </c>
      <c r="E21" s="71">
        <f>63364.81</f>
        <v>63364.81</v>
      </c>
      <c r="F21" s="212">
        <v>64913.263658666699</v>
      </c>
      <c r="G21" s="71">
        <f t="shared" si="0"/>
        <v>1548.45365866666</v>
      </c>
      <c r="H21" s="12"/>
      <c r="I21" s="12"/>
    </row>
    <row r="22" spans="1:9" ht="20.149999999999999" customHeight="1">
      <c r="A22" s="9">
        <v>17</v>
      </c>
      <c r="B22" s="10" t="s">
        <v>389</v>
      </c>
      <c r="C22" s="11" t="s">
        <v>390</v>
      </c>
      <c r="D22" s="14" t="s">
        <v>271</v>
      </c>
      <c r="E22" s="71">
        <f>31848.56</f>
        <v>31848.560000000001</v>
      </c>
      <c r="F22" s="212">
        <v>34871.967414666702</v>
      </c>
      <c r="G22" s="71">
        <f t="shared" si="0"/>
        <v>3023.4074146666599</v>
      </c>
      <c r="H22" s="12"/>
      <c r="I22" s="12"/>
    </row>
    <row r="23" spans="1:9" ht="18.75" customHeight="1">
      <c r="A23" s="9">
        <v>18</v>
      </c>
      <c r="B23" s="10" t="s">
        <v>270</v>
      </c>
      <c r="C23" s="11" t="s">
        <v>50</v>
      </c>
      <c r="D23" s="14" t="s">
        <v>332</v>
      </c>
      <c r="E23" s="71" t="e">
        <f>#REF!</f>
        <v>#REF!</v>
      </c>
      <c r="F23" s="212">
        <v>32008.5634586667</v>
      </c>
      <c r="G23" s="71" t="e">
        <f t="shared" si="0"/>
        <v>#REF!</v>
      </c>
      <c r="H23" s="12"/>
      <c r="I23" s="12"/>
    </row>
    <row r="24" spans="1:9" ht="18.75" customHeight="1">
      <c r="A24" s="9">
        <v>19</v>
      </c>
      <c r="B24" s="10" t="s">
        <v>387</v>
      </c>
      <c r="C24" s="3" t="s">
        <v>388</v>
      </c>
      <c r="D24" s="14" t="s">
        <v>332</v>
      </c>
      <c r="E24" s="71" t="e">
        <f>#REF!</f>
        <v>#REF!</v>
      </c>
      <c r="F24" s="212">
        <v>32098.951098666701</v>
      </c>
      <c r="G24" s="71" t="e">
        <f t="shared" si="0"/>
        <v>#REF!</v>
      </c>
      <c r="H24" s="12"/>
      <c r="I24" s="12"/>
    </row>
    <row r="25" spans="1:9" ht="18.75" customHeight="1">
      <c r="A25" s="9">
        <v>20</v>
      </c>
      <c r="B25" s="17" t="s">
        <v>427</v>
      </c>
      <c r="C25" s="3" t="s">
        <v>1128</v>
      </c>
      <c r="D25" s="14" t="s">
        <v>432</v>
      </c>
      <c r="E25" s="71">
        <f>27105.99</f>
        <v>27105.99</v>
      </c>
      <c r="F25" s="212">
        <v>27873.079686666701</v>
      </c>
      <c r="G25" s="71">
        <f t="shared" si="0"/>
        <v>767.08968666666306</v>
      </c>
      <c r="H25" s="12"/>
      <c r="I25" s="12"/>
    </row>
    <row r="26" spans="1:9" ht="18.75" customHeight="1">
      <c r="A26" s="9">
        <v>21</v>
      </c>
      <c r="B26" s="17" t="s">
        <v>1113</v>
      </c>
      <c r="C26" s="11" t="s">
        <v>293</v>
      </c>
      <c r="D26" s="14" t="s">
        <v>345</v>
      </c>
      <c r="E26" s="201">
        <f>26339.08</f>
        <v>26339.08</v>
      </c>
      <c r="F26" s="212">
        <v>27105.986562666702</v>
      </c>
      <c r="G26" s="71">
        <f t="shared" si="0"/>
        <v>766.90656266666701</v>
      </c>
      <c r="H26" s="12"/>
      <c r="I26" s="12"/>
    </row>
    <row r="27" spans="1:9" ht="18.75" customHeight="1">
      <c r="A27" s="9">
        <v>22</v>
      </c>
      <c r="B27" s="3" t="s">
        <v>278</v>
      </c>
      <c r="C27" s="3" t="s">
        <v>176</v>
      </c>
      <c r="D27" s="9" t="s">
        <v>283</v>
      </c>
      <c r="E27" s="71">
        <v>21640.95</v>
      </c>
      <c r="F27" s="212">
        <v>21640.952862666702</v>
      </c>
      <c r="G27" s="71">
        <f t="shared" si="0"/>
        <v>2.86266666807933E-3</v>
      </c>
      <c r="H27" s="12"/>
      <c r="I27" s="12"/>
    </row>
    <row r="28" spans="1:9" ht="18.75" customHeight="1">
      <c r="A28" s="9">
        <v>23</v>
      </c>
      <c r="B28" s="17" t="s">
        <v>280</v>
      </c>
      <c r="C28" s="11" t="s">
        <v>176</v>
      </c>
      <c r="D28" s="14" t="s">
        <v>283</v>
      </c>
      <c r="E28" s="71">
        <f>21640.95</f>
        <v>21640.95</v>
      </c>
      <c r="F28" s="212">
        <v>22338.4826046667</v>
      </c>
      <c r="G28" s="71">
        <f t="shared" si="0"/>
        <v>697.53260466665995</v>
      </c>
      <c r="H28" s="12"/>
      <c r="I28" s="12"/>
    </row>
    <row r="29" spans="1:9" ht="18.75" customHeight="1">
      <c r="A29" s="9">
        <v>24</v>
      </c>
      <c r="B29" s="10" t="s">
        <v>1020</v>
      </c>
      <c r="C29" s="11" t="s">
        <v>1021</v>
      </c>
      <c r="D29" s="14" t="s">
        <v>283</v>
      </c>
      <c r="E29" s="71">
        <v>21640.95</v>
      </c>
      <c r="F29" s="212">
        <v>22338.4826046667</v>
      </c>
      <c r="G29" s="71">
        <f t="shared" si="0"/>
        <v>697.53260466665995</v>
      </c>
      <c r="H29" s="12"/>
      <c r="I29" s="12"/>
    </row>
    <row r="30" spans="1:9" ht="18.75" customHeight="1">
      <c r="A30" s="9">
        <v>25</v>
      </c>
      <c r="B30" s="17" t="s">
        <v>282</v>
      </c>
      <c r="C30" s="11" t="s">
        <v>967</v>
      </c>
      <c r="D30" s="14" t="s">
        <v>1129</v>
      </c>
      <c r="E30" s="71">
        <f>17572.89</f>
        <v>17572.89</v>
      </c>
      <c r="F30" s="212">
        <v>18102.902732666698</v>
      </c>
      <c r="G30" s="71">
        <f t="shared" si="0"/>
        <v>530.01273266666601</v>
      </c>
      <c r="H30" s="12"/>
      <c r="I30" s="12"/>
    </row>
    <row r="31" spans="1:9" ht="18.75" customHeight="1">
      <c r="A31" s="9">
        <v>26</v>
      </c>
      <c r="B31" s="10" t="s">
        <v>370</v>
      </c>
      <c r="C31" s="16" t="s">
        <v>1130</v>
      </c>
      <c r="D31" s="14" t="s">
        <v>945</v>
      </c>
      <c r="E31" s="201">
        <f>17572.89</f>
        <v>17572.89</v>
      </c>
      <c r="F31" s="212">
        <v>18102.902732666698</v>
      </c>
      <c r="G31" s="71">
        <f t="shared" si="0"/>
        <v>530.01273266666601</v>
      </c>
      <c r="H31" s="12"/>
      <c r="I31" s="12"/>
    </row>
    <row r="32" spans="1:9" ht="18.75" customHeight="1">
      <c r="A32" s="9">
        <v>27</v>
      </c>
      <c r="B32" s="17" t="s">
        <v>284</v>
      </c>
      <c r="C32" s="3" t="s">
        <v>1022</v>
      </c>
      <c r="D32" s="9" t="s">
        <v>945</v>
      </c>
      <c r="E32" s="71">
        <f>17572.89</f>
        <v>17572.89</v>
      </c>
      <c r="F32" s="212">
        <v>18102.902732666698</v>
      </c>
      <c r="G32" s="71">
        <f t="shared" si="0"/>
        <v>530.01273266666601</v>
      </c>
      <c r="H32" s="12"/>
      <c r="I32" s="12"/>
    </row>
    <row r="33" spans="1:9" ht="18.75" customHeight="1">
      <c r="A33" s="9">
        <v>28</v>
      </c>
      <c r="B33" s="17" t="s">
        <v>287</v>
      </c>
      <c r="C33" s="16" t="s">
        <v>288</v>
      </c>
      <c r="D33" s="14" t="s">
        <v>283</v>
      </c>
      <c r="E33" s="201">
        <v>21640.95</v>
      </c>
      <c r="F33" s="212">
        <v>22338.4826046667</v>
      </c>
      <c r="G33" s="71">
        <f t="shared" si="0"/>
        <v>697.53260466665995</v>
      </c>
      <c r="H33" s="12"/>
      <c r="I33" s="12"/>
    </row>
    <row r="34" spans="1:9" ht="18.75" customHeight="1">
      <c r="A34" s="9">
        <v>29</v>
      </c>
      <c r="B34" s="17" t="s">
        <v>289</v>
      </c>
      <c r="C34" s="3" t="s">
        <v>1131</v>
      </c>
      <c r="D34" s="9" t="s">
        <v>294</v>
      </c>
      <c r="E34" s="71">
        <f>16512.68</f>
        <v>16512.68</v>
      </c>
      <c r="F34" s="212">
        <v>17042.713866666702</v>
      </c>
      <c r="G34" s="71">
        <f t="shared" si="0"/>
        <v>530.03386666666802</v>
      </c>
      <c r="H34" s="12"/>
      <c r="I34" s="12"/>
    </row>
    <row r="35" spans="1:9" ht="18.75" customHeight="1">
      <c r="A35" s="9">
        <v>30</v>
      </c>
      <c r="B35" s="17" t="s">
        <v>933</v>
      </c>
      <c r="C35" s="11" t="s">
        <v>293</v>
      </c>
      <c r="D35" s="14" t="s">
        <v>294</v>
      </c>
      <c r="E35" s="71">
        <f t="shared" ref="E35:E36" si="1">16512.68</f>
        <v>16512.68</v>
      </c>
      <c r="F35" s="212">
        <v>17042.8658666667</v>
      </c>
      <c r="G35" s="71">
        <f t="shared" si="0"/>
        <v>530.18586666666999</v>
      </c>
      <c r="H35" s="12"/>
      <c r="I35" s="12"/>
    </row>
    <row r="36" spans="1:9" ht="18.75" customHeight="1">
      <c r="A36" s="9">
        <v>31</v>
      </c>
      <c r="B36" s="17" t="s">
        <v>1114</v>
      </c>
      <c r="C36" s="11" t="s">
        <v>293</v>
      </c>
      <c r="D36" s="14" t="s">
        <v>294</v>
      </c>
      <c r="E36" s="71">
        <f t="shared" si="1"/>
        <v>16512.68</v>
      </c>
      <c r="F36" s="212">
        <v>17043.017866666702</v>
      </c>
      <c r="G36" s="71">
        <f t="shared" si="0"/>
        <v>530.33786666667197</v>
      </c>
      <c r="H36" s="12"/>
      <c r="I36" s="12"/>
    </row>
    <row r="37" spans="1:9" ht="26.25" customHeight="1">
      <c r="A37" s="9"/>
      <c r="B37" s="19" t="s">
        <v>34</v>
      </c>
      <c r="C37" s="20">
        <v>31</v>
      </c>
      <c r="D37" s="14"/>
      <c r="E37" s="202" t="e">
        <f t="shared" ref="E37" si="2">SUM(E6:E36)</f>
        <v>#REF!</v>
      </c>
      <c r="F37" s="202">
        <f t="shared" ref="F37" si="3">SUM(F6:F36)</f>
        <v>1716067.6634466699</v>
      </c>
      <c r="G37" s="202" t="e">
        <f t="shared" ref="G37" si="4">SUM(G6:G36)</f>
        <v>#REF!</v>
      </c>
      <c r="H37" s="12"/>
      <c r="I37" s="12"/>
    </row>
    <row r="38" spans="1:9" ht="18.75" customHeight="1">
      <c r="A38" s="9"/>
      <c r="B38" s="21"/>
      <c r="C38" s="3"/>
      <c r="D38" s="14"/>
      <c r="E38" s="202"/>
      <c r="F38" s="213"/>
      <c r="G38" s="202"/>
      <c r="H38" s="12"/>
      <c r="I38" s="12"/>
    </row>
    <row r="39" spans="1:9" ht="18.75" customHeight="1">
      <c r="A39" s="9"/>
      <c r="B39" s="19" t="s">
        <v>35</v>
      </c>
      <c r="C39" s="3"/>
      <c r="D39" s="14"/>
      <c r="E39" s="71"/>
      <c r="F39" s="212"/>
      <c r="G39" s="71"/>
      <c r="H39" s="12"/>
      <c r="I39" s="12"/>
    </row>
    <row r="40" spans="1:9" ht="18.75" customHeight="1">
      <c r="A40" s="9">
        <v>1</v>
      </c>
      <c r="B40" s="17" t="s">
        <v>295</v>
      </c>
      <c r="C40" s="3" t="s">
        <v>296</v>
      </c>
      <c r="D40" s="9" t="s">
        <v>297</v>
      </c>
      <c r="E40" s="71">
        <f>156349.82</f>
        <v>156349.82</v>
      </c>
      <c r="F40" s="212">
        <v>161106.806858667</v>
      </c>
      <c r="G40" s="71">
        <f>F40-E40</f>
        <v>4756.9868586666698</v>
      </c>
      <c r="H40" s="12"/>
      <c r="I40" s="12"/>
    </row>
    <row r="41" spans="1:9" ht="18.75" customHeight="1">
      <c r="A41" s="9">
        <v>2</v>
      </c>
      <c r="B41" s="17" t="s">
        <v>298</v>
      </c>
      <c r="C41" s="3" t="s">
        <v>537</v>
      </c>
      <c r="D41" s="9" t="s">
        <v>31</v>
      </c>
      <c r="E41" s="71">
        <f>16512.68</f>
        <v>16512.68</v>
      </c>
      <c r="F41" s="212">
        <v>16512.682190666699</v>
      </c>
      <c r="G41" s="71">
        <f>F41-E41</f>
        <v>2.1906666697759599E-3</v>
      </c>
      <c r="H41" s="12"/>
      <c r="I41" s="12"/>
    </row>
    <row r="42" spans="1:9" ht="19.5" customHeight="1">
      <c r="A42" s="9"/>
      <c r="B42" s="13"/>
      <c r="C42" s="20">
        <v>2</v>
      </c>
      <c r="D42" s="9"/>
      <c r="E42" s="202">
        <f>SUM(E40:E41)</f>
        <v>172862.5</v>
      </c>
      <c r="F42" s="213">
        <f>SUM(F40:F41)</f>
        <v>177619.489049333</v>
      </c>
      <c r="G42" s="213">
        <f>SUM(G40:G41)</f>
        <v>4756.9890493333396</v>
      </c>
      <c r="H42" s="12"/>
      <c r="I42" s="12"/>
    </row>
    <row r="43" spans="1:9" ht="20.149999999999999" customHeight="1">
      <c r="A43" s="9"/>
      <c r="B43" s="13"/>
      <c r="C43" s="3"/>
      <c r="D43" s="9"/>
      <c r="E43" s="202"/>
      <c r="F43" s="212"/>
      <c r="G43" s="71"/>
      <c r="H43" s="12"/>
      <c r="I43" s="12"/>
    </row>
    <row r="44" spans="1:9" ht="20.149999999999999" customHeight="1">
      <c r="A44" s="9"/>
      <c r="B44" s="22" t="s">
        <v>39</v>
      </c>
      <c r="C44" s="4"/>
      <c r="D44" s="23"/>
      <c r="E44" s="71"/>
      <c r="F44" s="212"/>
      <c r="G44" s="71"/>
      <c r="H44" s="12"/>
      <c r="I44" s="12"/>
    </row>
    <row r="45" spans="1:9" ht="20.149999999999999" customHeight="1">
      <c r="A45" s="9">
        <v>1</v>
      </c>
      <c r="B45" s="10" t="s">
        <v>302</v>
      </c>
      <c r="C45" s="3" t="s">
        <v>303</v>
      </c>
      <c r="D45" s="9" t="s">
        <v>297</v>
      </c>
      <c r="E45" s="71">
        <f>180306.81</f>
        <v>180306.81</v>
      </c>
      <c r="F45" s="212">
        <v>180306.806858667</v>
      </c>
      <c r="G45" s="71">
        <f>F45-E45</f>
        <v>-3.14133329084143E-3</v>
      </c>
      <c r="H45" s="12"/>
      <c r="I45" s="12"/>
    </row>
    <row r="46" spans="1:9" ht="20.149999999999999" customHeight="1">
      <c r="A46" s="9">
        <v>2</v>
      </c>
      <c r="B46" s="10" t="s">
        <v>304</v>
      </c>
      <c r="C46" s="3" t="s">
        <v>305</v>
      </c>
      <c r="D46" s="9" t="s">
        <v>249</v>
      </c>
      <c r="E46" s="71">
        <f>79956.94</f>
        <v>79956.94</v>
      </c>
      <c r="F46" s="212">
        <v>79956.9391466667</v>
      </c>
      <c r="G46" s="71">
        <f t="shared" ref="G46:G56" si="5">F46-E46</f>
        <v>-8.5333334573078901E-4</v>
      </c>
      <c r="H46" s="12"/>
      <c r="I46" s="12"/>
    </row>
    <row r="47" spans="1:9" ht="20.149999999999999" customHeight="1">
      <c r="A47" s="9">
        <v>3</v>
      </c>
      <c r="B47" s="10" t="s">
        <v>306</v>
      </c>
      <c r="C47" s="3" t="s">
        <v>310</v>
      </c>
      <c r="D47" s="9" t="s">
        <v>249</v>
      </c>
      <c r="E47" s="71">
        <f>79956.94</f>
        <v>79956.94</v>
      </c>
      <c r="F47" s="212">
        <v>79956.9391466667</v>
      </c>
      <c r="G47" s="71">
        <f t="shared" si="5"/>
        <v>-8.5333334573078901E-4</v>
      </c>
      <c r="H47" s="12"/>
      <c r="I47" s="12"/>
    </row>
    <row r="48" spans="1:9" ht="20.149999999999999" customHeight="1">
      <c r="A48" s="9">
        <v>4</v>
      </c>
      <c r="B48" s="10" t="s">
        <v>309</v>
      </c>
      <c r="C48" s="3" t="s">
        <v>310</v>
      </c>
      <c r="D48" s="9" t="s">
        <v>249</v>
      </c>
      <c r="E48" s="71">
        <f>77764.98</f>
        <v>77764.98</v>
      </c>
      <c r="F48" s="212">
        <v>79956.9391466667</v>
      </c>
      <c r="G48" s="71">
        <f t="shared" si="5"/>
        <v>2191.9591466666602</v>
      </c>
      <c r="H48" s="12"/>
      <c r="I48" s="12"/>
    </row>
    <row r="49" spans="1:9" ht="20.149999999999999" customHeight="1">
      <c r="A49" s="9">
        <v>5</v>
      </c>
      <c r="B49" s="10" t="s">
        <v>311</v>
      </c>
      <c r="C49" s="3" t="s">
        <v>310</v>
      </c>
      <c r="D49" s="9" t="s">
        <v>327</v>
      </c>
      <c r="E49" s="71" t="e">
        <f>#REF!</f>
        <v>#REF!</v>
      </c>
      <c r="F49" s="212">
        <v>70061.5197866667</v>
      </c>
      <c r="G49" s="71" t="e">
        <f t="shared" si="5"/>
        <v>#REF!</v>
      </c>
      <c r="H49" s="12"/>
      <c r="I49" s="12"/>
    </row>
    <row r="50" spans="1:9" ht="20.149999999999999" customHeight="1">
      <c r="A50" s="9">
        <v>6</v>
      </c>
      <c r="B50" s="10" t="s">
        <v>312</v>
      </c>
      <c r="C50" s="3" t="s">
        <v>259</v>
      </c>
      <c r="D50" s="9" t="s">
        <v>257</v>
      </c>
      <c r="E50" s="71">
        <f>56478.9</f>
        <v>56478.9</v>
      </c>
      <c r="F50" s="212">
        <v>57889.864794666697</v>
      </c>
      <c r="G50" s="71">
        <f t="shared" si="5"/>
        <v>1410.9647946666701</v>
      </c>
      <c r="H50" s="12"/>
      <c r="I50" s="12"/>
    </row>
    <row r="51" spans="1:9" ht="20.149999999999999" customHeight="1">
      <c r="A51" s="9">
        <v>7</v>
      </c>
      <c r="B51" s="13" t="s">
        <v>313</v>
      </c>
      <c r="C51" s="3" t="s">
        <v>256</v>
      </c>
      <c r="D51" s="15" t="s">
        <v>257</v>
      </c>
      <c r="E51" s="71">
        <f>56478.9</f>
        <v>56478.9</v>
      </c>
      <c r="F51" s="212">
        <v>58026.609434666701</v>
      </c>
      <c r="G51" s="71">
        <f t="shared" si="5"/>
        <v>1547.7094346666699</v>
      </c>
      <c r="H51" s="12"/>
      <c r="I51" s="12"/>
    </row>
    <row r="52" spans="1:9" ht="20.149999999999999" customHeight="1">
      <c r="A52" s="9">
        <v>8</v>
      </c>
      <c r="B52" s="10" t="s">
        <v>1025</v>
      </c>
      <c r="C52" s="3" t="s">
        <v>256</v>
      </c>
      <c r="D52" s="9" t="s">
        <v>342</v>
      </c>
      <c r="E52" s="71" t="e">
        <f>#REF!</f>
        <v>#REF!</v>
      </c>
      <c r="F52" s="212">
        <v>55518.902906666699</v>
      </c>
      <c r="G52" s="71" t="e">
        <f t="shared" si="5"/>
        <v>#REF!</v>
      </c>
      <c r="H52" s="12"/>
      <c r="I52" s="12"/>
    </row>
    <row r="53" spans="1:9" ht="20.149999999999999" customHeight="1">
      <c r="A53" s="9">
        <v>9</v>
      </c>
      <c r="B53" s="10" t="s">
        <v>258</v>
      </c>
      <c r="C53" s="3" t="s">
        <v>353</v>
      </c>
      <c r="D53" s="9" t="s">
        <v>266</v>
      </c>
      <c r="E53" s="71">
        <f>48052.11</f>
        <v>48052.11</v>
      </c>
      <c r="F53" s="212">
        <v>49548.776186666699</v>
      </c>
      <c r="G53" s="71">
        <f t="shared" si="5"/>
        <v>1496.66618666666</v>
      </c>
      <c r="H53" s="12"/>
      <c r="I53" s="12"/>
    </row>
    <row r="54" spans="1:9" ht="20.149999999999999" customHeight="1">
      <c r="A54" s="9">
        <v>10</v>
      </c>
      <c r="B54" s="10" t="s">
        <v>315</v>
      </c>
      <c r="C54" s="3" t="s">
        <v>63</v>
      </c>
      <c r="D54" s="9" t="s">
        <v>25</v>
      </c>
      <c r="E54" s="71">
        <f>28360.95</f>
        <v>28360.95</v>
      </c>
      <c r="F54" s="212">
        <v>28360.952862666702</v>
      </c>
      <c r="G54" s="71">
        <f t="shared" si="5"/>
        <v>2.8626666608033702E-3</v>
      </c>
      <c r="H54" s="12"/>
      <c r="I54" s="12"/>
    </row>
    <row r="55" spans="1:9" ht="20.149999999999999" customHeight="1">
      <c r="A55" s="9">
        <v>11</v>
      </c>
      <c r="B55" s="10" t="s">
        <v>316</v>
      </c>
      <c r="C55" s="3" t="s">
        <v>63</v>
      </c>
      <c r="D55" s="9" t="s">
        <v>25</v>
      </c>
      <c r="E55" s="71">
        <f>28360.95</f>
        <v>28360.95</v>
      </c>
      <c r="F55" s="212">
        <v>28360.952862666702</v>
      </c>
      <c r="G55" s="71">
        <f t="shared" si="5"/>
        <v>2.8626666608033702E-3</v>
      </c>
      <c r="H55" s="12"/>
      <c r="I55" s="12"/>
    </row>
    <row r="56" spans="1:9" ht="20.149999999999999" customHeight="1">
      <c r="A56" s="9">
        <v>12</v>
      </c>
      <c r="B56" s="10" t="s">
        <v>317</v>
      </c>
      <c r="C56" s="3" t="s">
        <v>63</v>
      </c>
      <c r="D56" s="9" t="s">
        <v>25</v>
      </c>
      <c r="E56" s="71">
        <f>28360.95</f>
        <v>28360.95</v>
      </c>
      <c r="F56" s="212">
        <v>28360.952862666702</v>
      </c>
      <c r="G56" s="71">
        <f t="shared" si="5"/>
        <v>2.8626666608033702E-3</v>
      </c>
      <c r="H56" s="12"/>
      <c r="I56" s="12"/>
    </row>
    <row r="57" spans="1:9" ht="25.5" customHeight="1">
      <c r="A57" s="9"/>
      <c r="B57" s="19" t="s">
        <v>34</v>
      </c>
      <c r="C57" s="20">
        <v>12</v>
      </c>
      <c r="D57" s="20"/>
      <c r="E57" s="79" t="e">
        <f t="shared" ref="E57:G57" si="6">SUM(E45:E56)</f>
        <v>#REF!</v>
      </c>
      <c r="F57" s="79">
        <f t="shared" si="6"/>
        <v>796306.15599600004</v>
      </c>
      <c r="G57" s="79" t="e">
        <f t="shared" si="6"/>
        <v>#REF!</v>
      </c>
      <c r="H57" s="12"/>
      <c r="I57" s="12"/>
    </row>
    <row r="58" spans="1:9" ht="20.149999999999999" customHeight="1">
      <c r="A58" s="9"/>
      <c r="B58" s="21"/>
      <c r="C58" s="20"/>
      <c r="D58" s="20"/>
      <c r="E58" s="133"/>
      <c r="F58" s="214"/>
      <c r="G58" s="133"/>
      <c r="H58" s="12"/>
      <c r="I58" s="12"/>
    </row>
    <row r="59" spans="1:9" ht="20.149999999999999" customHeight="1">
      <c r="A59" s="9"/>
      <c r="B59" s="19" t="s">
        <v>318</v>
      </c>
      <c r="C59" s="20"/>
      <c r="D59" s="20"/>
      <c r="E59" s="133"/>
      <c r="F59" s="214"/>
      <c r="G59" s="133"/>
      <c r="H59" s="12"/>
      <c r="I59" s="12"/>
    </row>
    <row r="60" spans="1:9" ht="20.149999999999999" customHeight="1">
      <c r="A60" s="9">
        <v>1</v>
      </c>
      <c r="B60" s="10" t="s">
        <v>319</v>
      </c>
      <c r="C60" s="11" t="s">
        <v>320</v>
      </c>
      <c r="D60" s="14" t="s">
        <v>297</v>
      </c>
      <c r="E60" s="71">
        <f>180306.81</f>
        <v>180306.81</v>
      </c>
      <c r="F60" s="212">
        <f>'[11]August 2022  (2)'!$AA$56</f>
        <v>180306.806858667</v>
      </c>
      <c r="G60" s="71">
        <f>F60-E60</f>
        <v>-3.14133329084143E-3</v>
      </c>
      <c r="H60" s="12"/>
      <c r="I60" s="12"/>
    </row>
    <row r="61" spans="1:9" ht="20.149999999999999" customHeight="1">
      <c r="A61" s="9"/>
      <c r="B61" s="19" t="s">
        <v>34</v>
      </c>
      <c r="C61" s="20">
        <v>1</v>
      </c>
      <c r="D61" s="20"/>
      <c r="E61" s="79">
        <f>SUM(E60:E60)</f>
        <v>180306.81</v>
      </c>
      <c r="F61" s="79">
        <f>SUM(F60:F60)</f>
        <v>180306.806858667</v>
      </c>
      <c r="G61" s="71">
        <f>F61-E61</f>
        <v>-3.14133329084143E-3</v>
      </c>
      <c r="H61" s="12"/>
      <c r="I61" s="12"/>
    </row>
    <row r="62" spans="1:9" ht="20.149999999999999" customHeight="1">
      <c r="A62" s="9"/>
      <c r="B62" s="19"/>
      <c r="C62" s="20"/>
      <c r="D62" s="20"/>
      <c r="E62" s="133"/>
      <c r="F62" s="214"/>
      <c r="G62" s="133"/>
      <c r="H62" s="12"/>
      <c r="I62" s="12"/>
    </row>
    <row r="63" spans="1:9" ht="20.149999999999999" customHeight="1">
      <c r="A63" s="9"/>
      <c r="B63" s="19" t="s">
        <v>45</v>
      </c>
      <c r="C63" s="20"/>
      <c r="D63" s="20"/>
      <c r="E63" s="133"/>
      <c r="F63" s="214"/>
      <c r="G63" s="133"/>
      <c r="H63" s="12"/>
      <c r="I63" s="12"/>
    </row>
    <row r="64" spans="1:9" ht="20.149999999999999" customHeight="1">
      <c r="A64" s="9">
        <v>1</v>
      </c>
      <c r="B64" s="10" t="s">
        <v>323</v>
      </c>
      <c r="C64" s="16" t="s">
        <v>324</v>
      </c>
      <c r="D64" s="9" t="s">
        <v>297</v>
      </c>
      <c r="E64" s="71">
        <f>180306.81</f>
        <v>180306.81</v>
      </c>
      <c r="F64" s="212">
        <v>180306.806858667</v>
      </c>
      <c r="G64" s="71">
        <f>F64-E64</f>
        <v>-3.14133329084143E-3</v>
      </c>
      <c r="H64" s="12"/>
      <c r="I64" s="12"/>
    </row>
    <row r="65" spans="1:9" ht="20.149999999999999" customHeight="1">
      <c r="A65" s="9">
        <v>2</v>
      </c>
      <c r="B65" s="17" t="s">
        <v>325</v>
      </c>
      <c r="C65" s="16" t="s">
        <v>326</v>
      </c>
      <c r="D65" s="14" t="s">
        <v>952</v>
      </c>
      <c r="E65" s="71">
        <v>75572.92</v>
      </c>
      <c r="F65" s="212">
        <v>75572.915690666705</v>
      </c>
      <c r="G65" s="71">
        <f t="shared" ref="G65:G76" si="7">F65-E65</f>
        <v>-4.3093333370052304E-3</v>
      </c>
      <c r="H65" s="12"/>
      <c r="I65" s="12"/>
    </row>
    <row r="66" spans="1:9" ht="20.149999999999999" customHeight="1">
      <c r="A66" s="9">
        <v>3</v>
      </c>
      <c r="B66" s="10" t="s">
        <v>328</v>
      </c>
      <c r="C66" s="3" t="s">
        <v>47</v>
      </c>
      <c r="D66" s="9" t="s">
        <v>266</v>
      </c>
      <c r="E66" s="71">
        <f>48170.87</f>
        <v>48170.87</v>
      </c>
      <c r="F66" s="212">
        <v>49548.776186666699</v>
      </c>
      <c r="G66" s="71">
        <f t="shared" si="7"/>
        <v>1377.90618666666</v>
      </c>
      <c r="H66" s="12"/>
      <c r="I66" s="12"/>
    </row>
    <row r="67" spans="1:9" ht="20.149999999999999" customHeight="1">
      <c r="A67" s="9">
        <v>4</v>
      </c>
      <c r="B67" s="17" t="s">
        <v>329</v>
      </c>
      <c r="C67" s="16" t="s">
        <v>47</v>
      </c>
      <c r="D67" s="14" t="s">
        <v>950</v>
      </c>
      <c r="E67" s="71">
        <f>46673.26</f>
        <v>46673.26</v>
      </c>
      <c r="F67" s="212">
        <v>48170.870282666699</v>
      </c>
      <c r="G67" s="71">
        <f t="shared" si="7"/>
        <v>1497.6102826666599</v>
      </c>
      <c r="H67" s="12"/>
      <c r="I67" s="12"/>
    </row>
    <row r="68" spans="1:9" ht="20.149999999999999" customHeight="1">
      <c r="A68" s="9">
        <v>5</v>
      </c>
      <c r="B68" s="13" t="s">
        <v>330</v>
      </c>
      <c r="C68" s="16" t="s">
        <v>256</v>
      </c>
      <c r="D68" s="14" t="s">
        <v>257</v>
      </c>
      <c r="E68" s="71">
        <v>56478.9</v>
      </c>
      <c r="F68" s="212">
        <v>58026.609434666701</v>
      </c>
      <c r="G68" s="71">
        <f t="shared" si="7"/>
        <v>1547.7094346666699</v>
      </c>
      <c r="H68" s="12"/>
      <c r="I68" s="12"/>
    </row>
    <row r="69" spans="1:9" ht="20.149999999999999" customHeight="1">
      <c r="A69" s="9">
        <v>6</v>
      </c>
      <c r="B69" s="10" t="s">
        <v>331</v>
      </c>
      <c r="C69" s="3" t="s">
        <v>63</v>
      </c>
      <c r="D69" s="9" t="s">
        <v>1132</v>
      </c>
      <c r="E69" s="71">
        <v>36127.269999999997</v>
      </c>
      <c r="F69" s="212">
        <v>37661.421354666702</v>
      </c>
      <c r="G69" s="71">
        <f t="shared" si="7"/>
        <v>1534.1513546666699</v>
      </c>
      <c r="H69" s="12"/>
      <c r="I69" s="12"/>
    </row>
    <row r="70" spans="1:9" ht="20.149999999999999" customHeight="1">
      <c r="A70" s="9">
        <v>7</v>
      </c>
      <c r="B70" s="10" t="s">
        <v>1033</v>
      </c>
      <c r="C70" s="16" t="s">
        <v>275</v>
      </c>
      <c r="D70" s="14" t="s">
        <v>271</v>
      </c>
      <c r="E70" s="71">
        <v>41248.559999999998</v>
      </c>
      <c r="F70" s="212">
        <v>43278.494774666702</v>
      </c>
      <c r="G70" s="71">
        <f t="shared" si="7"/>
        <v>2029.9347746666699</v>
      </c>
      <c r="H70" s="12"/>
      <c r="I70" s="12"/>
    </row>
    <row r="71" spans="1:9" ht="20.149999999999999" customHeight="1">
      <c r="A71" s="9">
        <v>8</v>
      </c>
      <c r="B71" s="10" t="s">
        <v>333</v>
      </c>
      <c r="C71" s="16" t="s">
        <v>275</v>
      </c>
      <c r="D71" s="14" t="s">
        <v>42</v>
      </c>
      <c r="E71" s="71">
        <f>40149.18</f>
        <v>40149.18</v>
      </c>
      <c r="F71" s="212">
        <v>40149.175266666702</v>
      </c>
      <c r="G71" s="71">
        <f t="shared" si="7"/>
        <v>-4.7333333277492801E-3</v>
      </c>
      <c r="H71" s="12"/>
      <c r="I71" s="12"/>
    </row>
    <row r="72" spans="1:9" ht="20.149999999999999" customHeight="1">
      <c r="A72" s="9">
        <v>9</v>
      </c>
      <c r="B72" s="10" t="s">
        <v>334</v>
      </c>
      <c r="C72" s="16" t="s">
        <v>275</v>
      </c>
      <c r="D72" s="14" t="s">
        <v>42</v>
      </c>
      <c r="E72" s="71">
        <f>40149.18</f>
        <v>40149.18</v>
      </c>
      <c r="F72" s="212">
        <v>40149.175266666702</v>
      </c>
      <c r="G72" s="71">
        <f t="shared" si="7"/>
        <v>-4.7333333277492801E-3</v>
      </c>
      <c r="H72" s="12"/>
      <c r="I72" s="12"/>
    </row>
    <row r="73" spans="1:9" ht="20.149999999999999" customHeight="1">
      <c r="A73" s="9">
        <v>10</v>
      </c>
      <c r="B73" s="10" t="s">
        <v>335</v>
      </c>
      <c r="C73" s="3" t="s">
        <v>336</v>
      </c>
      <c r="D73" s="9" t="s">
        <v>332</v>
      </c>
      <c r="E73" s="71" t="e">
        <f>#REF!</f>
        <v>#REF!</v>
      </c>
      <c r="F73" s="212">
        <f>'[11]August 2022  (2)'!$Z$69</f>
        <v>41338.951098666701</v>
      </c>
      <c r="G73" s="71" t="e">
        <f t="shared" si="7"/>
        <v>#REF!</v>
      </c>
      <c r="H73" s="12"/>
      <c r="I73" s="12"/>
    </row>
    <row r="74" spans="1:9" ht="20.149999999999999" customHeight="1">
      <c r="A74" s="9">
        <v>11</v>
      </c>
      <c r="B74" s="10" t="s">
        <v>1115</v>
      </c>
      <c r="C74" s="16" t="s">
        <v>63</v>
      </c>
      <c r="D74" s="9" t="s">
        <v>301</v>
      </c>
      <c r="E74" s="71">
        <f>32291.82</f>
        <v>32291.82</v>
      </c>
      <c r="F74" s="212">
        <v>33059.078406666697</v>
      </c>
      <c r="G74" s="71">
        <f t="shared" si="7"/>
        <v>767.25840666666795</v>
      </c>
      <c r="H74" s="12"/>
      <c r="I74" s="12"/>
    </row>
    <row r="75" spans="1:9" ht="20.149999999999999" customHeight="1">
      <c r="A75" s="9">
        <v>12</v>
      </c>
      <c r="B75" s="10" t="s">
        <v>281</v>
      </c>
      <c r="C75" s="16" t="s">
        <v>273</v>
      </c>
      <c r="D75" s="9" t="s">
        <v>283</v>
      </c>
      <c r="E75" s="71">
        <f>24685.95</f>
        <v>24685.95</v>
      </c>
      <c r="F75" s="212">
        <v>29058.4826046667</v>
      </c>
      <c r="G75" s="71">
        <f t="shared" si="7"/>
        <v>4372.5326046666596</v>
      </c>
      <c r="H75" s="12"/>
      <c r="I75" s="12"/>
    </row>
    <row r="76" spans="1:9" ht="20.149999999999999" customHeight="1">
      <c r="A76" s="9">
        <v>13</v>
      </c>
      <c r="B76" s="13" t="s">
        <v>272</v>
      </c>
      <c r="C76" s="16" t="s">
        <v>273</v>
      </c>
      <c r="D76" s="9" t="s">
        <v>294</v>
      </c>
      <c r="E76" s="71">
        <f>24685.95</f>
        <v>24685.95</v>
      </c>
      <c r="F76" s="212">
        <v>25271.771466666702</v>
      </c>
      <c r="G76" s="71">
        <f t="shared" si="7"/>
        <v>585.82146666666802</v>
      </c>
      <c r="H76" s="12"/>
      <c r="I76" s="12"/>
    </row>
    <row r="77" spans="1:9" ht="20.149999999999999" customHeight="1">
      <c r="A77" s="9"/>
      <c r="B77" s="19" t="s">
        <v>34</v>
      </c>
      <c r="C77" s="20">
        <v>13</v>
      </c>
      <c r="D77" s="20"/>
      <c r="E77" s="79" t="e">
        <f t="shared" ref="E77:G77" si="8">SUM(E64:E76)</f>
        <v>#REF!</v>
      </c>
      <c r="F77" s="79">
        <f t="shared" si="8"/>
        <v>701592.52869266702</v>
      </c>
      <c r="G77" s="79" t="e">
        <f t="shared" si="8"/>
        <v>#REF!</v>
      </c>
      <c r="H77" s="12"/>
      <c r="I77" s="12"/>
    </row>
    <row r="78" spans="1:9" ht="20.149999999999999" customHeight="1">
      <c r="A78" s="9"/>
      <c r="B78" s="21"/>
      <c r="C78" s="20"/>
      <c r="D78" s="20"/>
      <c r="E78" s="133"/>
      <c r="F78" s="214"/>
      <c r="G78" s="133"/>
      <c r="H78" s="12"/>
      <c r="I78" s="12"/>
    </row>
    <row r="79" spans="1:9" ht="20.149999999999999" customHeight="1">
      <c r="A79" s="9"/>
      <c r="B79" s="19" t="s">
        <v>51</v>
      </c>
      <c r="C79" s="20"/>
      <c r="D79" s="20"/>
      <c r="E79" s="133"/>
      <c r="F79" s="214"/>
      <c r="G79" s="133"/>
      <c r="H79" s="12"/>
      <c r="I79" s="12"/>
    </row>
    <row r="80" spans="1:9" ht="20.149999999999999" customHeight="1">
      <c r="A80" s="9">
        <v>1</v>
      </c>
      <c r="B80" s="10" t="s">
        <v>338</v>
      </c>
      <c r="C80" s="3" t="s">
        <v>339</v>
      </c>
      <c r="D80" s="9" t="s">
        <v>297</v>
      </c>
      <c r="E80" s="71">
        <f>180306.81</f>
        <v>180306.81</v>
      </c>
      <c r="F80" s="212">
        <v>180306.806858667</v>
      </c>
      <c r="G80" s="71">
        <f>F80-E80</f>
        <v>-3.14133329084143E-3</v>
      </c>
      <c r="H80" s="12"/>
      <c r="I80" s="12"/>
    </row>
    <row r="81" spans="1:9" ht="20.149999999999999" customHeight="1">
      <c r="A81" s="9">
        <v>2</v>
      </c>
      <c r="B81" s="13" t="s">
        <v>220</v>
      </c>
      <c r="C81" s="3" t="s">
        <v>221</v>
      </c>
      <c r="D81" s="14" t="s">
        <v>952</v>
      </c>
      <c r="E81" s="71">
        <f>75572.92</f>
        <v>75572.92</v>
      </c>
      <c r="F81" s="212">
        <v>75572.915690666705</v>
      </c>
      <c r="G81" s="71">
        <f t="shared" ref="G81:G84" si="9">F81-E81</f>
        <v>-4.3093333370052304E-3</v>
      </c>
      <c r="H81" s="12"/>
      <c r="I81" s="12"/>
    </row>
    <row r="82" spans="1:9" ht="20.149999999999999" customHeight="1">
      <c r="A82" s="9">
        <v>3</v>
      </c>
      <c r="B82" s="13" t="s">
        <v>1116</v>
      </c>
      <c r="C82" s="3" t="s">
        <v>1117</v>
      </c>
      <c r="D82" s="14" t="s">
        <v>952</v>
      </c>
      <c r="E82" s="71">
        <f>75572.92</f>
        <v>75572.92</v>
      </c>
      <c r="F82" s="212">
        <v>75572.915690666705</v>
      </c>
      <c r="G82" s="71">
        <f t="shared" si="9"/>
        <v>-4.3093333370052304E-3</v>
      </c>
      <c r="H82" s="12"/>
      <c r="I82" s="12"/>
    </row>
    <row r="83" spans="1:9" ht="20.149999999999999" customHeight="1">
      <c r="A83" s="9">
        <v>4</v>
      </c>
      <c r="B83" s="10" t="s">
        <v>340</v>
      </c>
      <c r="C83" s="3" t="s">
        <v>968</v>
      </c>
      <c r="D83" s="14" t="s">
        <v>266</v>
      </c>
      <c r="E83" s="71">
        <v>48170.87</v>
      </c>
      <c r="F83" s="212">
        <v>49548.776186666699</v>
      </c>
      <c r="G83" s="71">
        <f t="shared" si="9"/>
        <v>1377.90618666666</v>
      </c>
      <c r="H83" s="12"/>
      <c r="I83" s="12"/>
    </row>
    <row r="84" spans="1:9" ht="20.149999999999999" customHeight="1">
      <c r="A84" s="9">
        <v>5</v>
      </c>
      <c r="B84" s="10" t="s">
        <v>343</v>
      </c>
      <c r="C84" s="3" t="s">
        <v>344</v>
      </c>
      <c r="D84" s="9" t="s">
        <v>301</v>
      </c>
      <c r="E84" s="71">
        <f>32291.82</f>
        <v>32291.82</v>
      </c>
      <c r="F84" s="212">
        <v>33059.078406666697</v>
      </c>
      <c r="G84" s="71">
        <f t="shared" si="9"/>
        <v>767.25840666666795</v>
      </c>
      <c r="H84" s="12"/>
      <c r="I84" s="12"/>
    </row>
    <row r="85" spans="1:9" ht="20.149999999999999" customHeight="1">
      <c r="A85" s="9"/>
      <c r="B85" s="19" t="s">
        <v>34</v>
      </c>
      <c r="C85" s="20">
        <v>5</v>
      </c>
      <c r="D85" s="20"/>
      <c r="E85" s="79">
        <f t="shared" ref="E85:G85" si="10">SUM(E80:E84)</f>
        <v>411915.34</v>
      </c>
      <c r="F85" s="79">
        <f t="shared" si="10"/>
        <v>414060.49283333297</v>
      </c>
      <c r="G85" s="79">
        <f t="shared" si="10"/>
        <v>2145.1528333333599</v>
      </c>
      <c r="H85" s="12"/>
      <c r="I85" s="12"/>
    </row>
    <row r="86" spans="1:9" ht="20.149999999999999" customHeight="1">
      <c r="A86" s="9"/>
      <c r="B86" s="19"/>
      <c r="C86" s="20"/>
      <c r="D86" s="20"/>
      <c r="E86" s="133"/>
      <c r="F86" s="212"/>
      <c r="G86" s="71"/>
      <c r="H86" s="12"/>
      <c r="I86" s="12"/>
    </row>
    <row r="87" spans="1:9" ht="20.149999999999999" customHeight="1">
      <c r="A87" s="9"/>
      <c r="B87" s="19" t="s">
        <v>56</v>
      </c>
      <c r="C87" s="24"/>
      <c r="D87" s="20"/>
      <c r="E87" s="133"/>
      <c r="F87" s="212"/>
      <c r="G87" s="71"/>
      <c r="H87" s="12"/>
      <c r="I87" s="12"/>
    </row>
    <row r="88" spans="1:9" ht="23.25" customHeight="1">
      <c r="A88" s="9">
        <v>1</v>
      </c>
      <c r="B88" s="10" t="s">
        <v>1133</v>
      </c>
      <c r="C88" s="3" t="s">
        <v>1134</v>
      </c>
      <c r="D88" s="9" t="s">
        <v>231</v>
      </c>
      <c r="E88" s="71">
        <f>97273.51</f>
        <v>97273.51</v>
      </c>
      <c r="F88" s="212">
        <v>99907.951418666693</v>
      </c>
      <c r="G88" s="71">
        <f>F88-E88</f>
        <v>2634.44141866668</v>
      </c>
      <c r="H88" s="12"/>
      <c r="I88" s="12"/>
    </row>
    <row r="89" spans="1:9" ht="20.149999999999999" customHeight="1">
      <c r="A89" s="9">
        <v>2</v>
      </c>
      <c r="B89" s="10" t="s">
        <v>349</v>
      </c>
      <c r="C89" s="3" t="s">
        <v>310</v>
      </c>
      <c r="D89" s="9" t="s">
        <v>249</v>
      </c>
      <c r="E89" s="71">
        <f>79956.94</f>
        <v>79956.94</v>
      </c>
      <c r="F89" s="212">
        <v>79956.9391466667</v>
      </c>
      <c r="G89" s="71">
        <f t="shared" ref="G89:G98" si="11">F89-E89</f>
        <v>-8.5333334573078901E-4</v>
      </c>
      <c r="H89" s="12"/>
      <c r="I89" s="12"/>
    </row>
    <row r="90" spans="1:9" ht="20.149999999999999" customHeight="1">
      <c r="A90" s="9">
        <v>3</v>
      </c>
      <c r="B90" s="10" t="s">
        <v>350</v>
      </c>
      <c r="C90" s="3" t="s">
        <v>310</v>
      </c>
      <c r="D90" s="9" t="s">
        <v>249</v>
      </c>
      <c r="E90" s="71">
        <f>79796.1</f>
        <v>79796.100000000006</v>
      </c>
      <c r="F90" s="212">
        <v>79796.103146666603</v>
      </c>
      <c r="G90" s="71">
        <f t="shared" si="11"/>
        <v>3.1466666405322E-3</v>
      </c>
      <c r="H90" s="12"/>
      <c r="I90" s="12"/>
    </row>
    <row r="91" spans="1:9" ht="20.149999999999999" customHeight="1">
      <c r="A91" s="9">
        <v>4</v>
      </c>
      <c r="B91" s="13" t="s">
        <v>386</v>
      </c>
      <c r="C91" s="3" t="s">
        <v>256</v>
      </c>
      <c r="D91" s="9" t="s">
        <v>254</v>
      </c>
      <c r="E91" s="71">
        <f>57894.08</f>
        <v>57894.080000000002</v>
      </c>
      <c r="F91" s="212">
        <v>59441.782042666702</v>
      </c>
      <c r="G91" s="71">
        <f t="shared" si="11"/>
        <v>1547.70204266666</v>
      </c>
      <c r="H91" s="12"/>
      <c r="I91" s="12"/>
    </row>
    <row r="92" spans="1:9" ht="20.149999999999999" customHeight="1">
      <c r="A92" s="9">
        <v>5</v>
      </c>
      <c r="B92" s="10" t="s">
        <v>351</v>
      </c>
      <c r="C92" s="3" t="s">
        <v>259</v>
      </c>
      <c r="D92" s="9" t="s">
        <v>257</v>
      </c>
      <c r="E92" s="71">
        <f>56478.9</f>
        <v>56478.9</v>
      </c>
      <c r="F92" s="212">
        <v>58026.609434666701</v>
      </c>
      <c r="G92" s="71">
        <f t="shared" si="11"/>
        <v>1547.7094346666699</v>
      </c>
      <c r="H92" s="12"/>
      <c r="I92" s="12"/>
    </row>
    <row r="93" spans="1:9" ht="21.65" customHeight="1">
      <c r="A93" s="9">
        <v>6</v>
      </c>
      <c r="B93" s="10" t="s">
        <v>352</v>
      </c>
      <c r="C93" s="3" t="s">
        <v>353</v>
      </c>
      <c r="D93" s="14" t="s">
        <v>266</v>
      </c>
      <c r="E93" s="71">
        <f>48170.87</f>
        <v>48170.87</v>
      </c>
      <c r="F93" s="212">
        <v>49548.776186666699</v>
      </c>
      <c r="G93" s="71">
        <f t="shared" si="11"/>
        <v>1377.90618666666</v>
      </c>
      <c r="H93" s="12"/>
      <c r="I93" s="12"/>
    </row>
    <row r="94" spans="1:9" ht="21.65" customHeight="1">
      <c r="A94" s="9">
        <v>7</v>
      </c>
      <c r="B94" s="10" t="s">
        <v>354</v>
      </c>
      <c r="C94" s="11" t="s">
        <v>47</v>
      </c>
      <c r="D94" s="14" t="s">
        <v>950</v>
      </c>
      <c r="E94" s="71">
        <f>46673.26</f>
        <v>46673.26</v>
      </c>
      <c r="F94" s="212">
        <v>48170.870282666699</v>
      </c>
      <c r="G94" s="71">
        <f t="shared" si="11"/>
        <v>1497.6102826666599</v>
      </c>
      <c r="H94" s="12"/>
      <c r="I94" s="12"/>
    </row>
    <row r="95" spans="1:9" ht="21.65" customHeight="1">
      <c r="A95" s="9">
        <v>8</v>
      </c>
      <c r="B95" s="10" t="s">
        <v>355</v>
      </c>
      <c r="C95" s="11" t="s">
        <v>47</v>
      </c>
      <c r="D95" s="14" t="s">
        <v>950</v>
      </c>
      <c r="E95" s="71">
        <f>46673.26</f>
        <v>46673.26</v>
      </c>
      <c r="F95" s="212">
        <v>48170.870282666699</v>
      </c>
      <c r="G95" s="71">
        <f t="shared" si="11"/>
        <v>1497.6102826666599</v>
      </c>
      <c r="H95" s="12"/>
      <c r="I95" s="12"/>
    </row>
    <row r="96" spans="1:9" ht="21.65" customHeight="1">
      <c r="A96" s="9">
        <v>9</v>
      </c>
      <c r="B96" s="10" t="s">
        <v>357</v>
      </c>
      <c r="C96" s="16" t="s">
        <v>275</v>
      </c>
      <c r="D96" s="14" t="s">
        <v>42</v>
      </c>
      <c r="E96" s="71">
        <f>40149.18</f>
        <v>40149.18</v>
      </c>
      <c r="F96" s="212">
        <v>40149.175266666702</v>
      </c>
      <c r="G96" s="71">
        <f t="shared" si="11"/>
        <v>-4.7333333277492801E-3</v>
      </c>
      <c r="H96" s="12"/>
      <c r="I96" s="12"/>
    </row>
    <row r="97" spans="1:9" ht="21.65" customHeight="1">
      <c r="A97" s="9">
        <v>10</v>
      </c>
      <c r="B97" s="10" t="s">
        <v>359</v>
      </c>
      <c r="C97" s="3" t="s">
        <v>360</v>
      </c>
      <c r="D97" s="9" t="s">
        <v>38</v>
      </c>
      <c r="E97" s="71">
        <v>0</v>
      </c>
      <c r="F97" s="212">
        <v>0</v>
      </c>
      <c r="G97" s="71">
        <f t="shared" si="11"/>
        <v>0</v>
      </c>
      <c r="H97" s="12"/>
      <c r="I97" s="12"/>
    </row>
    <row r="98" spans="1:9" ht="21.65" customHeight="1">
      <c r="A98" s="9">
        <v>11</v>
      </c>
      <c r="B98" s="10" t="s">
        <v>361</v>
      </c>
      <c r="C98" s="16" t="s">
        <v>362</v>
      </c>
      <c r="D98" s="14" t="s">
        <v>294</v>
      </c>
      <c r="E98" s="71">
        <f>24685.95</f>
        <v>24685.95</v>
      </c>
      <c r="F98" s="212">
        <v>24749.797062666701</v>
      </c>
      <c r="G98" s="71">
        <f t="shared" si="11"/>
        <v>63.8470626666603</v>
      </c>
      <c r="H98" s="12"/>
      <c r="I98" s="12"/>
    </row>
    <row r="99" spans="1:9" ht="20.149999999999999" customHeight="1">
      <c r="A99" s="9"/>
      <c r="B99" s="19" t="s">
        <v>34</v>
      </c>
      <c r="C99" s="20">
        <v>11</v>
      </c>
      <c r="D99" s="20"/>
      <c r="E99" s="79">
        <f>SUM(E88:E98)</f>
        <v>577752.05000000005</v>
      </c>
      <c r="F99" s="79">
        <f t="shared" ref="F99:G99" si="12">SUM(F88:F98)</f>
        <v>587918.87427066697</v>
      </c>
      <c r="G99" s="79">
        <f t="shared" si="12"/>
        <v>10166.824270666601</v>
      </c>
      <c r="H99" s="12"/>
      <c r="I99" s="12"/>
    </row>
    <row r="100" spans="1:9" ht="20.149999999999999" customHeight="1">
      <c r="A100" s="9"/>
      <c r="B100" s="21"/>
      <c r="C100" s="20"/>
      <c r="D100" s="20"/>
      <c r="E100" s="133"/>
      <c r="F100" s="214"/>
      <c r="G100" s="133"/>
      <c r="H100" s="12"/>
      <c r="I100" s="12"/>
    </row>
    <row r="101" spans="1:9" ht="20.149999999999999" customHeight="1">
      <c r="A101" s="9"/>
      <c r="B101" s="19" t="s">
        <v>58</v>
      </c>
      <c r="C101" s="20"/>
      <c r="D101" s="20"/>
      <c r="E101" s="133"/>
      <c r="F101" s="214"/>
      <c r="G101" s="133"/>
      <c r="H101" s="12"/>
      <c r="I101" s="12"/>
    </row>
    <row r="102" spans="1:9" ht="20.149999999999999" customHeight="1">
      <c r="A102" s="9">
        <v>1</v>
      </c>
      <c r="B102" s="17" t="s">
        <v>232</v>
      </c>
      <c r="C102" s="9" t="s">
        <v>233</v>
      </c>
      <c r="D102" s="14" t="s">
        <v>308</v>
      </c>
      <c r="E102" s="71">
        <f>79993.51</f>
        <v>79993.509999999995</v>
      </c>
      <c r="F102" s="212">
        <v>79993.513850666699</v>
      </c>
      <c r="G102" s="71">
        <f>F102-E102</f>
        <v>3.8506666605826502E-3</v>
      </c>
      <c r="H102" s="12"/>
      <c r="I102" s="12"/>
    </row>
    <row r="103" spans="1:9" ht="20.149999999999999" customHeight="1">
      <c r="A103" s="9">
        <v>2</v>
      </c>
      <c r="B103" s="10" t="s">
        <v>250</v>
      </c>
      <c r="C103" s="3" t="s">
        <v>367</v>
      </c>
      <c r="D103" s="9" t="s">
        <v>257</v>
      </c>
      <c r="E103" s="71">
        <f>43380.1</f>
        <v>43380.1</v>
      </c>
      <c r="F103" s="212">
        <v>44734.339388666704</v>
      </c>
      <c r="G103" s="71">
        <f t="shared" ref="G103:G105" si="13">F103-E103</f>
        <v>1354.23938866668</v>
      </c>
      <c r="H103" s="12"/>
      <c r="I103" s="12"/>
    </row>
    <row r="104" spans="1:9" ht="20.149999999999999" customHeight="1">
      <c r="A104" s="9">
        <v>3</v>
      </c>
      <c r="B104" s="17" t="s">
        <v>1135</v>
      </c>
      <c r="C104" s="3" t="s">
        <v>1136</v>
      </c>
      <c r="D104" s="14" t="s">
        <v>950</v>
      </c>
      <c r="E104" s="71">
        <f>38272.44</f>
        <v>38272.44</v>
      </c>
      <c r="F104" s="212">
        <v>39582.844830666698</v>
      </c>
      <c r="G104" s="71">
        <f t="shared" si="13"/>
        <v>1310.40483066666</v>
      </c>
      <c r="H104" s="12"/>
      <c r="I104" s="12"/>
    </row>
    <row r="105" spans="1:9" ht="20.149999999999999" customHeight="1">
      <c r="A105" s="9">
        <v>4</v>
      </c>
      <c r="B105" s="10" t="s">
        <v>368</v>
      </c>
      <c r="C105" s="3" t="s">
        <v>369</v>
      </c>
      <c r="D105" s="14" t="s">
        <v>332</v>
      </c>
      <c r="E105" s="71" t="e">
        <f>#REF!</f>
        <v>#REF!</v>
      </c>
      <c r="F105" s="212">
        <v>32098.951098666701</v>
      </c>
      <c r="G105" s="71" t="e">
        <f t="shared" si="13"/>
        <v>#REF!</v>
      </c>
      <c r="H105" s="12"/>
      <c r="I105" s="12"/>
    </row>
    <row r="106" spans="1:9" ht="20.149999999999999" customHeight="1">
      <c r="A106" s="3"/>
      <c r="B106" s="19" t="s">
        <v>34</v>
      </c>
      <c r="C106" s="20">
        <v>4</v>
      </c>
      <c r="D106" s="25"/>
      <c r="E106" s="79" t="e">
        <f t="shared" ref="E106:G106" si="14">SUM(E102:E105)</f>
        <v>#REF!</v>
      </c>
      <c r="F106" s="79">
        <f t="shared" si="14"/>
        <v>196409.64916866701</v>
      </c>
      <c r="G106" s="79" t="e">
        <f t="shared" si="14"/>
        <v>#REF!</v>
      </c>
      <c r="H106" s="12"/>
      <c r="I106" s="12"/>
    </row>
    <row r="107" spans="1:9" ht="20.149999999999999" customHeight="1">
      <c r="A107" s="3"/>
      <c r="B107" s="21"/>
      <c r="C107" s="20"/>
      <c r="D107" s="25"/>
      <c r="E107" s="133"/>
      <c r="F107" s="214"/>
      <c r="G107" s="133"/>
      <c r="H107" s="12"/>
      <c r="I107" s="12"/>
    </row>
    <row r="108" spans="1:9" ht="20.149999999999999" customHeight="1">
      <c r="A108" s="3"/>
      <c r="B108" s="19" t="s">
        <v>372</v>
      </c>
      <c r="C108" s="3"/>
      <c r="D108" s="3"/>
      <c r="E108" s="3"/>
      <c r="F108" s="215"/>
      <c r="G108" s="3"/>
      <c r="H108" s="12"/>
      <c r="I108" s="12"/>
    </row>
    <row r="109" spans="1:9" ht="20.149999999999999" customHeight="1">
      <c r="A109" s="3">
        <v>1</v>
      </c>
      <c r="B109" s="10" t="s">
        <v>373</v>
      </c>
      <c r="C109" s="11" t="s">
        <v>374</v>
      </c>
      <c r="D109" s="14" t="s">
        <v>297</v>
      </c>
      <c r="E109" s="71">
        <f>180306.81</f>
        <v>180306.81</v>
      </c>
      <c r="F109" s="212">
        <v>180145.97085866699</v>
      </c>
      <c r="G109" s="71">
        <f>F109-E109</f>
        <v>-160.839141333301</v>
      </c>
      <c r="H109" s="12"/>
      <c r="I109" s="12"/>
    </row>
    <row r="110" spans="1:9" ht="20.149999999999999" customHeight="1">
      <c r="A110" s="3">
        <v>2</v>
      </c>
      <c r="B110" s="10" t="s">
        <v>375</v>
      </c>
      <c r="C110" s="3" t="s">
        <v>376</v>
      </c>
      <c r="D110" s="15" t="s">
        <v>308</v>
      </c>
      <c r="E110" s="71" t="e">
        <f>#REF!</f>
        <v>#REF!</v>
      </c>
      <c r="F110" s="212">
        <v>97147.085210666701</v>
      </c>
      <c r="G110" s="71" t="e">
        <f t="shared" ref="G110:G115" si="15">F110-E110</f>
        <v>#REF!</v>
      </c>
      <c r="H110" s="12"/>
      <c r="I110" s="12"/>
    </row>
    <row r="111" spans="1:9" ht="20.149999999999999" customHeight="1">
      <c r="A111" s="3">
        <v>3</v>
      </c>
      <c r="B111" s="10" t="s">
        <v>377</v>
      </c>
      <c r="C111" s="3" t="s">
        <v>378</v>
      </c>
      <c r="D111" s="9" t="s">
        <v>263</v>
      </c>
      <c r="E111" s="71">
        <f>58814.67</f>
        <v>58814.67</v>
      </c>
      <c r="F111" s="212">
        <v>58941.101743466701</v>
      </c>
      <c r="G111" s="71">
        <f t="shared" si="15"/>
        <v>126.431743466659</v>
      </c>
      <c r="H111" s="12"/>
      <c r="I111" s="12"/>
    </row>
    <row r="112" spans="1:9" ht="20.149999999999999" customHeight="1">
      <c r="A112" s="3">
        <v>4</v>
      </c>
      <c r="B112" s="10" t="s">
        <v>379</v>
      </c>
      <c r="C112" s="3" t="s">
        <v>378</v>
      </c>
      <c r="D112" s="9" t="s">
        <v>263</v>
      </c>
      <c r="E112" s="71">
        <f>57194.24</f>
        <v>57194.239999999998</v>
      </c>
      <c r="F112" s="212">
        <v>58941.101743466701</v>
      </c>
      <c r="G112" s="71">
        <f t="shared" si="15"/>
        <v>1746.8617434666601</v>
      </c>
      <c r="H112" s="12"/>
      <c r="I112" s="12"/>
    </row>
    <row r="113" spans="1:9" ht="20.149999999999999" customHeight="1">
      <c r="A113" s="3">
        <v>5</v>
      </c>
      <c r="B113" s="10" t="s">
        <v>380</v>
      </c>
      <c r="C113" s="3" t="s">
        <v>381</v>
      </c>
      <c r="D113" s="14" t="s">
        <v>384</v>
      </c>
      <c r="E113" s="71">
        <f>30699.58</f>
        <v>30699.58</v>
      </c>
      <c r="F113" s="212">
        <v>31285.603203306699</v>
      </c>
      <c r="G113" s="71">
        <f t="shared" si="15"/>
        <v>586.02320330665998</v>
      </c>
      <c r="H113" s="12"/>
      <c r="I113" s="12"/>
    </row>
    <row r="114" spans="1:9" ht="20.149999999999999" customHeight="1">
      <c r="A114" s="3">
        <v>6</v>
      </c>
      <c r="B114" s="17" t="s">
        <v>383</v>
      </c>
      <c r="C114" s="3" t="s">
        <v>381</v>
      </c>
      <c r="D114" s="9" t="s">
        <v>945</v>
      </c>
      <c r="E114" s="71">
        <f>30049.31</f>
        <v>30049.31</v>
      </c>
      <c r="F114" s="212">
        <v>30635.120688666699</v>
      </c>
      <c r="G114" s="71">
        <f t="shared" si="15"/>
        <v>585.81068866666499</v>
      </c>
      <c r="H114" s="12"/>
      <c r="I114" s="12"/>
    </row>
    <row r="115" spans="1:9" ht="20.149999999999999" customHeight="1">
      <c r="A115" s="3">
        <v>7</v>
      </c>
      <c r="B115" s="17" t="s">
        <v>385</v>
      </c>
      <c r="C115" s="3" t="s">
        <v>381</v>
      </c>
      <c r="D115" s="14" t="s">
        <v>294</v>
      </c>
      <c r="E115" s="71">
        <f>28813.07</f>
        <v>28813.07</v>
      </c>
      <c r="F115" s="212">
        <v>29055.584161426701</v>
      </c>
      <c r="G115" s="71">
        <f t="shared" si="15"/>
        <v>242.51416142665801</v>
      </c>
      <c r="H115" s="12"/>
      <c r="I115" s="12"/>
    </row>
    <row r="116" spans="1:9" ht="20.149999999999999" customHeight="1">
      <c r="A116" s="3"/>
      <c r="B116" s="19" t="s">
        <v>34</v>
      </c>
      <c r="C116" s="20">
        <v>7</v>
      </c>
      <c r="D116" s="3"/>
      <c r="E116" s="204" t="e">
        <f t="shared" ref="E116:G116" si="16">SUM(E109:E115)</f>
        <v>#REF!</v>
      </c>
      <c r="F116" s="204">
        <f t="shared" si="16"/>
        <v>486151.56760966702</v>
      </c>
      <c r="G116" s="204" t="e">
        <f t="shared" si="16"/>
        <v>#REF!</v>
      </c>
      <c r="H116" s="12"/>
      <c r="I116" s="12"/>
    </row>
    <row r="117" spans="1:9" ht="20.149999999999999" customHeight="1">
      <c r="A117" s="3"/>
      <c r="B117" s="21"/>
      <c r="C117" s="9"/>
      <c r="D117" s="3"/>
      <c r="E117" s="205"/>
      <c r="F117" s="216"/>
      <c r="G117" s="205"/>
      <c r="H117" s="12"/>
      <c r="I117" s="12"/>
    </row>
    <row r="118" spans="1:9" ht="20.149999999999999" customHeight="1">
      <c r="A118" s="3"/>
      <c r="B118" s="19" t="s">
        <v>67</v>
      </c>
      <c r="C118" s="20"/>
      <c r="D118" s="20"/>
      <c r="E118" s="133"/>
      <c r="F118" s="212"/>
      <c r="G118" s="71"/>
      <c r="H118" s="12"/>
      <c r="I118" s="12"/>
    </row>
    <row r="119" spans="1:9" ht="20.149999999999999" customHeight="1">
      <c r="A119" s="3">
        <v>1</v>
      </c>
      <c r="B119" s="10" t="s">
        <v>392</v>
      </c>
      <c r="C119" s="11" t="s">
        <v>393</v>
      </c>
      <c r="D119" s="14" t="s">
        <v>297</v>
      </c>
      <c r="E119" s="71">
        <f>179914.45</f>
        <v>179914.45</v>
      </c>
      <c r="F119" s="212">
        <v>179914.45469866699</v>
      </c>
      <c r="G119" s="71">
        <f>F119-E119</f>
        <v>4.6986666857264901E-3</v>
      </c>
      <c r="H119" s="12"/>
      <c r="I119" s="12"/>
    </row>
    <row r="120" spans="1:9" ht="20.149999999999999" customHeight="1">
      <c r="A120" s="3" t="s">
        <v>1137</v>
      </c>
      <c r="B120" s="10" t="s">
        <v>1138</v>
      </c>
      <c r="C120" s="11" t="s">
        <v>1139</v>
      </c>
      <c r="D120" s="14" t="s">
        <v>231</v>
      </c>
      <c r="E120" s="71">
        <f>101827.95</f>
        <v>101827.95</v>
      </c>
      <c r="F120" s="212">
        <v>101827.951418667</v>
      </c>
      <c r="G120" s="71">
        <f t="shared" ref="G120:G129" si="17">F120-E120</f>
        <v>1.41866668127477E-3</v>
      </c>
      <c r="H120" s="12"/>
      <c r="I120" s="12"/>
    </row>
    <row r="121" spans="1:9" ht="20.149999999999999" customHeight="1">
      <c r="A121" s="3">
        <v>3</v>
      </c>
      <c r="B121" s="10" t="s">
        <v>130</v>
      </c>
      <c r="C121" s="11" t="s">
        <v>227</v>
      </c>
      <c r="D121" s="14" t="s">
        <v>249</v>
      </c>
      <c r="E121" s="71">
        <f>83636.1</f>
        <v>83636.100000000006</v>
      </c>
      <c r="F121" s="212">
        <v>83636.103146666603</v>
      </c>
      <c r="G121" s="71">
        <f t="shared" si="17"/>
        <v>3.1466666405322E-3</v>
      </c>
      <c r="H121" s="12"/>
      <c r="I121" s="12"/>
    </row>
    <row r="122" spans="1:9" ht="20.149999999999999" customHeight="1">
      <c r="A122" s="3">
        <v>4</v>
      </c>
      <c r="B122" s="13" t="s">
        <v>395</v>
      </c>
      <c r="C122" s="11" t="s">
        <v>227</v>
      </c>
      <c r="D122" s="14" t="s">
        <v>249</v>
      </c>
      <c r="E122" s="71">
        <f>64436.1</f>
        <v>64436.1</v>
      </c>
      <c r="F122" s="212">
        <v>64436.103146666697</v>
      </c>
      <c r="G122" s="71">
        <f t="shared" si="17"/>
        <v>3.1466666623600802E-3</v>
      </c>
      <c r="H122" s="12"/>
      <c r="I122" s="12"/>
    </row>
    <row r="123" spans="1:9" ht="20.149999999999999" customHeight="1">
      <c r="A123" s="3">
        <v>5</v>
      </c>
      <c r="B123" s="13" t="s">
        <v>226</v>
      </c>
      <c r="C123" s="11" t="s">
        <v>227</v>
      </c>
      <c r="D123" s="14" t="s">
        <v>228</v>
      </c>
      <c r="E123" s="71">
        <f>60212.92</f>
        <v>60212.92</v>
      </c>
      <c r="F123" s="212">
        <v>60212.915690666698</v>
      </c>
      <c r="G123" s="71">
        <f t="shared" si="17"/>
        <v>-4.3093333297292702E-3</v>
      </c>
      <c r="H123" s="12"/>
      <c r="I123" s="12"/>
    </row>
    <row r="124" spans="1:9" ht="20.149999999999999" customHeight="1">
      <c r="A124" s="3">
        <v>6</v>
      </c>
      <c r="B124" s="10" t="s">
        <v>396</v>
      </c>
      <c r="C124" s="11" t="s">
        <v>397</v>
      </c>
      <c r="D124" s="14" t="s">
        <v>342</v>
      </c>
      <c r="E124" s="71" t="e">
        <f>#REF!</f>
        <v>#REF!</v>
      </c>
      <c r="F124" s="212">
        <v>42652.373376666699</v>
      </c>
      <c r="G124" s="71" t="e">
        <f t="shared" si="17"/>
        <v>#REF!</v>
      </c>
      <c r="H124" s="12"/>
      <c r="I124" s="12"/>
    </row>
    <row r="125" spans="1:9" ht="20.149999999999999" customHeight="1">
      <c r="A125" s="3">
        <v>7</v>
      </c>
      <c r="B125" s="10" t="s">
        <v>398</v>
      </c>
      <c r="C125" s="11" t="s">
        <v>399</v>
      </c>
      <c r="D125" s="14" t="s">
        <v>266</v>
      </c>
      <c r="E125" s="71">
        <f>44518.93</f>
        <v>44518.93</v>
      </c>
      <c r="F125" s="212">
        <v>45724.599176666699</v>
      </c>
      <c r="G125" s="71">
        <f t="shared" si="17"/>
        <v>1205.66917666666</v>
      </c>
      <c r="H125" s="12"/>
      <c r="I125" s="12"/>
    </row>
    <row r="126" spans="1:9" ht="20.149999999999999" customHeight="1">
      <c r="A126" s="3">
        <v>8</v>
      </c>
      <c r="B126" s="10" t="s">
        <v>400</v>
      </c>
      <c r="C126" s="11" t="s">
        <v>970</v>
      </c>
      <c r="D126" s="14" t="s">
        <v>266</v>
      </c>
      <c r="E126" s="71">
        <f>39478.93</f>
        <v>39478.93</v>
      </c>
      <c r="F126" s="212">
        <v>40684.599176666699</v>
      </c>
      <c r="G126" s="71">
        <f t="shared" si="17"/>
        <v>1205.66917666666</v>
      </c>
      <c r="H126" s="12"/>
      <c r="I126" s="12"/>
    </row>
    <row r="127" spans="1:9" ht="20.149999999999999" customHeight="1">
      <c r="A127" s="3">
        <v>9</v>
      </c>
      <c r="B127" s="17" t="s">
        <v>1140</v>
      </c>
      <c r="C127" s="11" t="s">
        <v>1141</v>
      </c>
      <c r="D127" s="14" t="s">
        <v>269</v>
      </c>
      <c r="E127" s="71">
        <f>38272.44</f>
        <v>38272.44</v>
      </c>
      <c r="F127" s="212">
        <v>39582.844830666698</v>
      </c>
      <c r="G127" s="71">
        <f t="shared" si="17"/>
        <v>1310.40483066666</v>
      </c>
      <c r="H127" s="12"/>
      <c r="I127" s="12"/>
    </row>
    <row r="128" spans="1:9" ht="20.149999999999999" customHeight="1">
      <c r="A128" s="3">
        <v>10</v>
      </c>
      <c r="B128" s="10" t="s">
        <v>401</v>
      </c>
      <c r="C128" s="11" t="s">
        <v>402</v>
      </c>
      <c r="D128" s="9" t="s">
        <v>283</v>
      </c>
      <c r="E128" s="71">
        <f>21640.95</f>
        <v>21640.95</v>
      </c>
      <c r="F128" s="212">
        <v>22338.4826046667</v>
      </c>
      <c r="G128" s="71">
        <f t="shared" si="17"/>
        <v>697.53260466665995</v>
      </c>
      <c r="H128" s="12"/>
      <c r="I128" s="12"/>
    </row>
    <row r="129" spans="1:9" ht="20.149999999999999" customHeight="1">
      <c r="A129" s="3">
        <v>11</v>
      </c>
      <c r="B129" s="17" t="s">
        <v>403</v>
      </c>
      <c r="C129" s="11" t="s">
        <v>404</v>
      </c>
      <c r="D129" s="14" t="s">
        <v>294</v>
      </c>
      <c r="E129" s="71">
        <f>25245.23</f>
        <v>25245.23</v>
      </c>
      <c r="F129" s="212">
        <v>17042.713866666702</v>
      </c>
      <c r="G129" s="71">
        <f t="shared" si="17"/>
        <v>-8202.5161333333399</v>
      </c>
      <c r="H129" s="12"/>
      <c r="I129" s="12"/>
    </row>
    <row r="130" spans="1:9" ht="20.149999999999999" customHeight="1">
      <c r="A130" s="3"/>
      <c r="B130" s="19" t="s">
        <v>34</v>
      </c>
      <c r="C130" s="25" t="s">
        <v>1142</v>
      </c>
      <c r="D130" s="14"/>
      <c r="E130" s="79" t="e">
        <f t="shared" ref="E130:G130" si="18">SUM(E119:E129)</f>
        <v>#REF!</v>
      </c>
      <c r="F130" s="79">
        <f t="shared" si="18"/>
        <v>698053.14113333297</v>
      </c>
      <c r="G130" s="79" t="e">
        <f t="shared" si="18"/>
        <v>#REF!</v>
      </c>
      <c r="H130" s="12"/>
      <c r="I130" s="12"/>
    </row>
    <row r="131" spans="1:9" ht="20.149999999999999" customHeight="1">
      <c r="A131" s="3"/>
      <c r="B131" s="21"/>
      <c r="C131" s="25"/>
      <c r="D131" s="14"/>
      <c r="E131" s="133"/>
      <c r="F131" s="214"/>
      <c r="G131" s="133"/>
      <c r="H131" s="12"/>
      <c r="I131" s="12"/>
    </row>
    <row r="132" spans="1:9" ht="20.149999999999999" customHeight="1">
      <c r="A132" s="3"/>
      <c r="B132" s="19" t="s">
        <v>71</v>
      </c>
      <c r="C132" s="11"/>
      <c r="D132" s="14"/>
      <c r="E132" s="71"/>
      <c r="F132" s="212"/>
      <c r="G132" s="71"/>
      <c r="H132" s="12"/>
      <c r="I132" s="12"/>
    </row>
    <row r="133" spans="1:9" ht="20.149999999999999" customHeight="1">
      <c r="A133" s="26">
        <v>1</v>
      </c>
      <c r="B133" s="10" t="s">
        <v>407</v>
      </c>
      <c r="C133" s="11" t="s">
        <v>408</v>
      </c>
      <c r="D133" s="14" t="s">
        <v>297</v>
      </c>
      <c r="E133" s="71">
        <f>161106.81</f>
        <v>161106.81</v>
      </c>
      <c r="F133" s="212">
        <v>161106.806858667</v>
      </c>
      <c r="G133" s="71">
        <f>F133-E133</f>
        <v>-3.14133331994526E-3</v>
      </c>
      <c r="H133" s="12"/>
      <c r="I133" s="12"/>
    </row>
    <row r="134" spans="1:9" ht="20.149999999999999" customHeight="1">
      <c r="A134" s="26">
        <v>2</v>
      </c>
      <c r="B134" s="10" t="s">
        <v>229</v>
      </c>
      <c r="C134" s="11" t="s">
        <v>230</v>
      </c>
      <c r="D134" s="14" t="s">
        <v>231</v>
      </c>
      <c r="E134" s="71">
        <v>82627.95</v>
      </c>
      <c r="F134" s="212">
        <v>82467.115418666697</v>
      </c>
      <c r="G134" s="71">
        <f t="shared" ref="G134:G187" si="19">F134-E134</f>
        <v>-160.834581333329</v>
      </c>
      <c r="H134" s="12"/>
      <c r="I134" s="12"/>
    </row>
    <row r="135" spans="1:9" ht="20.149999999999999" customHeight="1">
      <c r="A135" s="26">
        <v>3</v>
      </c>
      <c r="B135" s="13" t="s">
        <v>409</v>
      </c>
      <c r="C135" s="3" t="s">
        <v>410</v>
      </c>
      <c r="D135" s="15" t="s">
        <v>308</v>
      </c>
      <c r="E135" s="71" t="e">
        <f>#REF!</f>
        <v>#REF!</v>
      </c>
      <c r="F135" s="212">
        <v>89465.197050666698</v>
      </c>
      <c r="G135" s="71" t="e">
        <f t="shared" si="19"/>
        <v>#REF!</v>
      </c>
      <c r="H135" s="12"/>
      <c r="I135" s="12"/>
    </row>
    <row r="136" spans="1:9" ht="20.149999999999999" customHeight="1">
      <c r="A136" s="26">
        <v>4</v>
      </c>
      <c r="B136" s="10" t="s">
        <v>411</v>
      </c>
      <c r="C136" s="11" t="s">
        <v>412</v>
      </c>
      <c r="D136" s="14" t="s">
        <v>257</v>
      </c>
      <c r="E136" s="71">
        <f>43380.1</f>
        <v>43380.1</v>
      </c>
      <c r="F136" s="212">
        <v>44734.339388666704</v>
      </c>
      <c r="G136" s="71">
        <f t="shared" si="19"/>
        <v>1354.23938866668</v>
      </c>
      <c r="H136" s="12"/>
      <c r="I136" s="12"/>
    </row>
    <row r="137" spans="1:9" ht="20.149999999999999" customHeight="1">
      <c r="A137" s="26">
        <v>5</v>
      </c>
      <c r="B137" s="10" t="s">
        <v>413</v>
      </c>
      <c r="C137" s="3" t="s">
        <v>414</v>
      </c>
      <c r="D137" s="14" t="s">
        <v>257</v>
      </c>
      <c r="E137" s="71">
        <f>43380.1</f>
        <v>43380.1</v>
      </c>
      <c r="F137" s="212">
        <v>44846.6165886667</v>
      </c>
      <c r="G137" s="71">
        <f t="shared" si="19"/>
        <v>1466.51658866668</v>
      </c>
      <c r="H137" s="12"/>
      <c r="I137" s="12"/>
    </row>
    <row r="138" spans="1:9" ht="20.149999999999999" customHeight="1">
      <c r="A138" s="26">
        <v>6</v>
      </c>
      <c r="B138" s="10" t="s">
        <v>366</v>
      </c>
      <c r="C138" s="3" t="s">
        <v>420</v>
      </c>
      <c r="D138" s="14" t="s">
        <v>266</v>
      </c>
      <c r="E138" s="71">
        <f>39582.84</f>
        <v>39582.839999999997</v>
      </c>
      <c r="F138" s="212">
        <v>40698.124856666698</v>
      </c>
      <c r="G138" s="71">
        <f t="shared" si="19"/>
        <v>1115.2848566666601</v>
      </c>
      <c r="H138" s="12"/>
      <c r="I138" s="12"/>
    </row>
    <row r="139" spans="1:9" ht="20.149999999999999" customHeight="1">
      <c r="A139" s="26">
        <v>7</v>
      </c>
      <c r="B139" s="10" t="s">
        <v>416</v>
      </c>
      <c r="C139" s="11" t="s">
        <v>417</v>
      </c>
      <c r="D139" s="14" t="s">
        <v>271</v>
      </c>
      <c r="E139" s="71">
        <f>32848.56</f>
        <v>32848.559999999998</v>
      </c>
      <c r="F139" s="212">
        <v>34968.882414666703</v>
      </c>
      <c r="G139" s="71">
        <f t="shared" si="19"/>
        <v>2120.3224146666698</v>
      </c>
      <c r="H139" s="12"/>
      <c r="I139" s="12"/>
    </row>
    <row r="140" spans="1:9" ht="20.149999999999999" customHeight="1">
      <c r="A140" s="26">
        <v>8</v>
      </c>
      <c r="B140" s="10" t="s">
        <v>418</v>
      </c>
      <c r="C140" s="11" t="s">
        <v>417</v>
      </c>
      <c r="D140" s="14" t="s">
        <v>271</v>
      </c>
      <c r="E140" s="71">
        <f>32938.95</f>
        <v>32938.949999999997</v>
      </c>
      <c r="F140" s="212">
        <v>34968.882414666703</v>
      </c>
      <c r="G140" s="71">
        <f t="shared" si="19"/>
        <v>2029.93241466667</v>
      </c>
      <c r="H140" s="12"/>
      <c r="I140" s="12"/>
    </row>
    <row r="141" spans="1:9" ht="20.149999999999999" customHeight="1">
      <c r="A141" s="26">
        <v>9</v>
      </c>
      <c r="B141" s="10" t="s">
        <v>419</v>
      </c>
      <c r="C141" s="3" t="s">
        <v>420</v>
      </c>
      <c r="D141" s="14" t="s">
        <v>271</v>
      </c>
      <c r="E141" s="71">
        <f>32938.95</f>
        <v>32938.949999999997</v>
      </c>
      <c r="F141" s="212">
        <v>34968.882414666703</v>
      </c>
      <c r="G141" s="71">
        <f t="shared" si="19"/>
        <v>2029.93241466667</v>
      </c>
      <c r="H141" s="12"/>
      <c r="I141" s="12"/>
    </row>
    <row r="142" spans="1:9" ht="20.149999999999999" customHeight="1">
      <c r="A142" s="26">
        <v>10</v>
      </c>
      <c r="B142" s="10" t="s">
        <v>421</v>
      </c>
      <c r="C142" s="11" t="s">
        <v>426</v>
      </c>
      <c r="D142" s="14" t="s">
        <v>332</v>
      </c>
      <c r="E142" s="71" t="e">
        <f>#REF!</f>
        <v>#REF!</v>
      </c>
      <c r="F142" s="212">
        <v>32022.168238666702</v>
      </c>
      <c r="G142" s="71" t="e">
        <f t="shared" si="19"/>
        <v>#REF!</v>
      </c>
      <c r="H142" s="12"/>
      <c r="I142" s="12"/>
    </row>
    <row r="143" spans="1:9" ht="20.149999999999999" customHeight="1">
      <c r="A143" s="26">
        <v>11</v>
      </c>
      <c r="B143" s="10" t="s">
        <v>423</v>
      </c>
      <c r="C143" s="11" t="s">
        <v>971</v>
      </c>
      <c r="D143" s="14" t="s">
        <v>432</v>
      </c>
      <c r="E143" s="71">
        <f>27029.2</f>
        <v>27029.200000000001</v>
      </c>
      <c r="F143" s="212">
        <v>27794.206626666699</v>
      </c>
      <c r="G143" s="71">
        <f t="shared" si="19"/>
        <v>765.00662666666199</v>
      </c>
      <c r="H143" s="12"/>
      <c r="I143" s="12"/>
    </row>
    <row r="144" spans="1:9" ht="20.149999999999999" customHeight="1">
      <c r="A144" s="26">
        <v>12</v>
      </c>
      <c r="B144" s="10" t="s">
        <v>425</v>
      </c>
      <c r="C144" s="11" t="s">
        <v>426</v>
      </c>
      <c r="D144" s="14" t="s">
        <v>271</v>
      </c>
      <c r="E144" s="71" t="e">
        <f>#REF!</f>
        <v>#REF!</v>
      </c>
      <c r="F144" s="212">
        <v>34128.882414666703</v>
      </c>
      <c r="G144" s="71" t="e">
        <f t="shared" si="19"/>
        <v>#REF!</v>
      </c>
      <c r="H144" s="12"/>
      <c r="I144" s="12"/>
    </row>
    <row r="145" spans="1:9" ht="20.149999999999999" customHeight="1">
      <c r="A145" s="26">
        <v>13</v>
      </c>
      <c r="B145" s="10" t="s">
        <v>429</v>
      </c>
      <c r="C145" s="3" t="s">
        <v>430</v>
      </c>
      <c r="D145" s="14" t="s">
        <v>301</v>
      </c>
      <c r="E145" s="71">
        <f>26339.08</f>
        <v>26339.08</v>
      </c>
      <c r="F145" s="212">
        <v>27031.2933426667</v>
      </c>
      <c r="G145" s="71">
        <f t="shared" si="19"/>
        <v>692.21334266665895</v>
      </c>
      <c r="H145" s="12"/>
      <c r="I145" s="12"/>
    </row>
    <row r="146" spans="1:9" ht="20.149999999999999" customHeight="1">
      <c r="A146" s="26">
        <v>14</v>
      </c>
      <c r="B146" s="10" t="s">
        <v>431</v>
      </c>
      <c r="C146" s="3" t="s">
        <v>430</v>
      </c>
      <c r="D146" s="14" t="s">
        <v>345</v>
      </c>
      <c r="E146" s="71">
        <f>26264.39</f>
        <v>26264.39</v>
      </c>
      <c r="F146" s="212">
        <v>27105.986562666702</v>
      </c>
      <c r="G146" s="71">
        <f t="shared" si="19"/>
        <v>841.59656266665797</v>
      </c>
      <c r="H146" s="12"/>
      <c r="I146" s="12"/>
    </row>
    <row r="147" spans="1:9" ht="20.149999999999999" customHeight="1">
      <c r="A147" s="26">
        <v>15</v>
      </c>
      <c r="B147" s="10" t="s">
        <v>433</v>
      </c>
      <c r="C147" s="3" t="s">
        <v>430</v>
      </c>
      <c r="D147" s="14" t="s">
        <v>345</v>
      </c>
      <c r="E147" s="71">
        <f>26339.08</f>
        <v>26339.08</v>
      </c>
      <c r="F147" s="212">
        <v>27105.986562666702</v>
      </c>
      <c r="G147" s="71">
        <f t="shared" si="19"/>
        <v>766.90656266665599</v>
      </c>
      <c r="H147" s="12"/>
      <c r="I147" s="12"/>
    </row>
    <row r="148" spans="1:9" ht="20.149999999999999" customHeight="1">
      <c r="A148" s="26">
        <v>16</v>
      </c>
      <c r="B148" s="10" t="s">
        <v>434</v>
      </c>
      <c r="C148" s="11" t="s">
        <v>435</v>
      </c>
      <c r="D148" s="14" t="s">
        <v>38</v>
      </c>
      <c r="E148" s="71">
        <f>25571.82</f>
        <v>25571.82</v>
      </c>
      <c r="F148" s="212">
        <v>25571.815728666701</v>
      </c>
      <c r="G148" s="71">
        <f t="shared" si="19"/>
        <v>-4.2713333314168302E-3</v>
      </c>
      <c r="H148" s="12"/>
      <c r="I148" s="12"/>
    </row>
    <row r="149" spans="1:9" ht="20.149999999999999" customHeight="1">
      <c r="A149" s="26">
        <v>17</v>
      </c>
      <c r="B149" s="10" t="s">
        <v>953</v>
      </c>
      <c r="C149" s="11" t="s">
        <v>437</v>
      </c>
      <c r="D149" s="9" t="s">
        <v>25</v>
      </c>
      <c r="E149" s="71">
        <f>21640.95</f>
        <v>21640.95</v>
      </c>
      <c r="F149" s="212">
        <v>21640.952862666702</v>
      </c>
      <c r="G149" s="71">
        <f t="shared" si="19"/>
        <v>2.86266666807933E-3</v>
      </c>
      <c r="H149" s="12"/>
      <c r="I149" s="12"/>
    </row>
    <row r="150" spans="1:9" ht="20.149999999999999" customHeight="1">
      <c r="A150" s="26">
        <v>18</v>
      </c>
      <c r="B150" s="10" t="s">
        <v>438</v>
      </c>
      <c r="C150" s="11" t="s">
        <v>439</v>
      </c>
      <c r="D150" s="14" t="s">
        <v>301</v>
      </c>
      <c r="E150" s="71" t="e">
        <f>#REF!</f>
        <v>#REF!</v>
      </c>
      <c r="F150" s="212">
        <v>27105.986562666702</v>
      </c>
      <c r="G150" s="71" t="e">
        <f t="shared" si="19"/>
        <v>#REF!</v>
      </c>
      <c r="H150" s="12"/>
      <c r="I150" s="12"/>
    </row>
    <row r="151" spans="1:9" ht="20.149999999999999" customHeight="1">
      <c r="A151" s="26">
        <v>19</v>
      </c>
      <c r="B151" s="10" t="s">
        <v>440</v>
      </c>
      <c r="C151" s="11" t="s">
        <v>441</v>
      </c>
      <c r="D151" s="14" t="s">
        <v>283</v>
      </c>
      <c r="E151" s="71">
        <v>21640.95</v>
      </c>
      <c r="F151" s="212">
        <v>22281.815364666701</v>
      </c>
      <c r="G151" s="71">
        <f t="shared" si="19"/>
        <v>640.86536466666098</v>
      </c>
      <c r="H151" s="12"/>
      <c r="I151" s="12"/>
    </row>
    <row r="152" spans="1:9" ht="20.149999999999999" customHeight="1">
      <c r="A152" s="26">
        <v>20</v>
      </c>
      <c r="B152" s="10" t="s">
        <v>442</v>
      </c>
      <c r="C152" s="11" t="s">
        <v>443</v>
      </c>
      <c r="D152" s="14" t="s">
        <v>301</v>
      </c>
      <c r="E152" s="71">
        <v>25571.708040666701</v>
      </c>
      <c r="F152" s="212">
        <v>27105.986562666702</v>
      </c>
      <c r="G152" s="71">
        <f t="shared" si="19"/>
        <v>1534.2785220000001</v>
      </c>
      <c r="H152" s="12"/>
      <c r="I152" s="12"/>
    </row>
    <row r="153" spans="1:9" ht="20.149999999999999" customHeight="1">
      <c r="A153" s="26">
        <v>21</v>
      </c>
      <c r="B153" s="10" t="s">
        <v>444</v>
      </c>
      <c r="C153" s="11" t="s">
        <v>445</v>
      </c>
      <c r="D153" s="14" t="s">
        <v>283</v>
      </c>
      <c r="E153" s="71">
        <f>18102.9+3538.05</f>
        <v>21640.95</v>
      </c>
      <c r="F153" s="212">
        <v>22338.4826046667</v>
      </c>
      <c r="G153" s="71">
        <f t="shared" si="19"/>
        <v>697.53260466665995</v>
      </c>
      <c r="H153" s="12"/>
      <c r="I153" s="12"/>
    </row>
    <row r="154" spans="1:9" ht="20.149999999999999" customHeight="1">
      <c r="A154" s="26">
        <v>22</v>
      </c>
      <c r="B154" s="17" t="s">
        <v>446</v>
      </c>
      <c r="C154" s="11" t="s">
        <v>451</v>
      </c>
      <c r="D154" s="14" t="s">
        <v>1129</v>
      </c>
      <c r="E154" s="71">
        <f>17572.89</f>
        <v>17572.89</v>
      </c>
      <c r="F154" s="212">
        <v>18102.902732666698</v>
      </c>
      <c r="G154" s="71">
        <f t="shared" si="19"/>
        <v>530.01273266666601</v>
      </c>
      <c r="H154" s="12"/>
      <c r="I154" s="12"/>
    </row>
    <row r="155" spans="1:9" ht="20.149999999999999" customHeight="1">
      <c r="A155" s="26">
        <v>23</v>
      </c>
      <c r="B155" s="17" t="s">
        <v>1143</v>
      </c>
      <c r="C155" s="11" t="s">
        <v>449</v>
      </c>
      <c r="D155" s="14" t="s">
        <v>294</v>
      </c>
      <c r="E155" s="71">
        <f>16512.68</f>
        <v>16512.68</v>
      </c>
      <c r="F155" s="212">
        <v>17042.713866666702</v>
      </c>
      <c r="G155" s="71">
        <f t="shared" si="19"/>
        <v>530.03386666666097</v>
      </c>
      <c r="H155" s="12"/>
      <c r="I155" s="12"/>
    </row>
    <row r="156" spans="1:9" ht="20.149999999999999" customHeight="1">
      <c r="A156" s="26">
        <v>24</v>
      </c>
      <c r="B156" s="17" t="s">
        <v>448</v>
      </c>
      <c r="C156" s="11" t="s">
        <v>449</v>
      </c>
      <c r="D156" s="14" t="s">
        <v>31</v>
      </c>
      <c r="E156" s="71">
        <f>16512.68</f>
        <v>16512.68</v>
      </c>
      <c r="F156" s="212">
        <v>16512.682190666699</v>
      </c>
      <c r="G156" s="71">
        <f t="shared" si="19"/>
        <v>2.1906666697759599E-3</v>
      </c>
      <c r="H156" s="12"/>
      <c r="I156" s="12"/>
    </row>
    <row r="157" spans="1:9" ht="20.149999999999999" customHeight="1">
      <c r="A157" s="26">
        <v>25</v>
      </c>
      <c r="B157" s="17" t="s">
        <v>450</v>
      </c>
      <c r="C157" s="11" t="s">
        <v>451</v>
      </c>
      <c r="D157" s="14" t="s">
        <v>31</v>
      </c>
      <c r="E157" s="71">
        <f t="shared" ref="E157:E159" si="20">16512.68</f>
        <v>16512.68</v>
      </c>
      <c r="F157" s="212">
        <v>16514.228790666701</v>
      </c>
      <c r="G157" s="71">
        <f t="shared" si="19"/>
        <v>1.5487906666676301</v>
      </c>
      <c r="H157" s="12"/>
      <c r="I157" s="12"/>
    </row>
    <row r="158" spans="1:9" ht="20.149999999999999" customHeight="1">
      <c r="A158" s="26">
        <v>26</v>
      </c>
      <c r="B158" s="17" t="s">
        <v>452</v>
      </c>
      <c r="C158" s="11" t="s">
        <v>453</v>
      </c>
      <c r="D158" s="14" t="s">
        <v>294</v>
      </c>
      <c r="E158" s="71">
        <f t="shared" si="20"/>
        <v>16512.68</v>
      </c>
      <c r="F158" s="212">
        <v>17043.017866666702</v>
      </c>
      <c r="G158" s="71">
        <f t="shared" si="19"/>
        <v>530.33786666666094</v>
      </c>
      <c r="H158" s="12"/>
      <c r="I158" s="12"/>
    </row>
    <row r="159" spans="1:9" ht="20.149999999999999" customHeight="1">
      <c r="A159" s="26">
        <v>27</v>
      </c>
      <c r="B159" s="17" t="s">
        <v>454</v>
      </c>
      <c r="C159" s="11" t="s">
        <v>455</v>
      </c>
      <c r="D159" s="14" t="s">
        <v>294</v>
      </c>
      <c r="E159" s="71">
        <f t="shared" si="20"/>
        <v>16512.68</v>
      </c>
      <c r="F159" s="212">
        <v>17008.323359999999</v>
      </c>
      <c r="G159" s="71">
        <f t="shared" si="19"/>
        <v>495.64335999999503</v>
      </c>
      <c r="H159" s="12"/>
      <c r="I159" s="12"/>
    </row>
    <row r="160" spans="1:9" ht="20.149999999999999" customHeight="1">
      <c r="A160" s="26">
        <v>28</v>
      </c>
      <c r="B160" s="10" t="s">
        <v>457</v>
      </c>
      <c r="C160" s="11" t="s">
        <v>458</v>
      </c>
      <c r="D160" s="14" t="s">
        <v>465</v>
      </c>
      <c r="E160" s="71">
        <f>9117.05</f>
        <v>9117.0499999999993</v>
      </c>
      <c r="F160" s="212">
        <v>10776.457626666701</v>
      </c>
      <c r="G160" s="71">
        <f t="shared" si="19"/>
        <v>1659.40762666667</v>
      </c>
      <c r="H160" s="12"/>
      <c r="I160" s="12"/>
    </row>
    <row r="161" spans="1:9" ht="20.149999999999999" customHeight="1">
      <c r="A161" s="26">
        <v>29</v>
      </c>
      <c r="B161" s="10" t="s">
        <v>460</v>
      </c>
      <c r="C161" s="11" t="s">
        <v>458</v>
      </c>
      <c r="D161" s="14" t="s">
        <v>465</v>
      </c>
      <c r="E161" s="71">
        <f>9504.2</f>
        <v>9504.2000000000007</v>
      </c>
      <c r="F161" s="212">
        <v>11232.457626666701</v>
      </c>
      <c r="G161" s="71">
        <f t="shared" si="19"/>
        <v>1728.2576266666599</v>
      </c>
      <c r="H161" s="12"/>
      <c r="I161" s="12"/>
    </row>
    <row r="162" spans="1:9" ht="20.149999999999999" customHeight="1">
      <c r="A162" s="26">
        <v>30</v>
      </c>
      <c r="B162" s="10" t="s">
        <v>461</v>
      </c>
      <c r="C162" s="11" t="s">
        <v>458</v>
      </c>
      <c r="D162" s="14" t="s">
        <v>465</v>
      </c>
      <c r="E162" s="71">
        <f>9144.2</f>
        <v>9144.2000000000007</v>
      </c>
      <c r="F162" s="212">
        <v>10776.457626666701</v>
      </c>
      <c r="G162" s="71">
        <f t="shared" si="19"/>
        <v>1632.2576266666599</v>
      </c>
      <c r="H162" s="12"/>
      <c r="I162" s="12"/>
    </row>
    <row r="163" spans="1:9" ht="20.149999999999999" customHeight="1">
      <c r="A163" s="26">
        <v>31</v>
      </c>
      <c r="B163" s="10" t="s">
        <v>662</v>
      </c>
      <c r="C163" s="11" t="s">
        <v>458</v>
      </c>
      <c r="D163" s="14" t="s">
        <v>465</v>
      </c>
      <c r="E163" s="71">
        <f>9144.2</f>
        <v>9144.2000000000007</v>
      </c>
      <c r="F163" s="212">
        <v>10776.457626666701</v>
      </c>
      <c r="G163" s="71">
        <f t="shared" si="19"/>
        <v>1632.2576266666599</v>
      </c>
      <c r="H163" s="12"/>
      <c r="I163" s="12"/>
    </row>
    <row r="164" spans="1:9" ht="20.149999999999999" customHeight="1">
      <c r="A164" s="26">
        <v>32</v>
      </c>
      <c r="B164" s="10" t="s">
        <v>462</v>
      </c>
      <c r="C164" s="11" t="s">
        <v>458</v>
      </c>
      <c r="D164" s="14" t="s">
        <v>465</v>
      </c>
      <c r="E164" s="71">
        <f>9117.05</f>
        <v>9117.0499999999993</v>
      </c>
      <c r="F164" s="212">
        <v>10743.7372</v>
      </c>
      <c r="G164" s="71">
        <f t="shared" si="19"/>
        <v>1626.6872000000001</v>
      </c>
      <c r="H164" s="12"/>
      <c r="I164" s="12"/>
    </row>
    <row r="165" spans="1:9" ht="20.149999999999999" customHeight="1">
      <c r="A165" s="26">
        <v>33</v>
      </c>
      <c r="B165" s="10" t="s">
        <v>463</v>
      </c>
      <c r="C165" s="11" t="s">
        <v>458</v>
      </c>
      <c r="D165" s="14" t="s">
        <v>465</v>
      </c>
      <c r="E165" s="71">
        <f>9144.2</f>
        <v>9144.2000000000007</v>
      </c>
      <c r="F165" s="212">
        <v>10776.457626666701</v>
      </c>
      <c r="G165" s="71">
        <f t="shared" si="19"/>
        <v>1632.2576266666599</v>
      </c>
      <c r="H165" s="12"/>
      <c r="I165" s="12"/>
    </row>
    <row r="166" spans="1:9" ht="20.149999999999999" customHeight="1">
      <c r="A166" s="26">
        <v>34</v>
      </c>
      <c r="B166" s="10" t="s">
        <v>464</v>
      </c>
      <c r="C166" s="11" t="s">
        <v>458</v>
      </c>
      <c r="D166" s="14" t="s">
        <v>476</v>
      </c>
      <c r="E166" s="71">
        <v>9152.6</v>
      </c>
      <c r="F166" s="212">
        <v>9504.2041399999998</v>
      </c>
      <c r="G166" s="71">
        <f t="shared" si="19"/>
        <v>351.60413999999901</v>
      </c>
      <c r="H166" s="12"/>
      <c r="I166" s="12"/>
    </row>
    <row r="167" spans="1:9" ht="20.149999999999999" customHeight="1">
      <c r="A167" s="26">
        <v>35</v>
      </c>
      <c r="B167" s="10" t="s">
        <v>466</v>
      </c>
      <c r="C167" s="11" t="s">
        <v>458</v>
      </c>
      <c r="D167" s="14" t="s">
        <v>476</v>
      </c>
      <c r="E167" s="71">
        <v>8792.6</v>
      </c>
      <c r="F167" s="212">
        <v>9144.2041399999998</v>
      </c>
      <c r="G167" s="71">
        <f t="shared" si="19"/>
        <v>351.60413999999901</v>
      </c>
      <c r="H167" s="12"/>
      <c r="I167" s="12"/>
    </row>
    <row r="168" spans="1:9" ht="20.149999999999999" customHeight="1">
      <c r="A168" s="26">
        <v>36</v>
      </c>
      <c r="B168" s="10" t="s">
        <v>1121</v>
      </c>
      <c r="C168" s="11" t="s">
        <v>458</v>
      </c>
      <c r="D168" s="14" t="s">
        <v>476</v>
      </c>
      <c r="E168" s="71">
        <v>8792.6</v>
      </c>
      <c r="F168" s="212">
        <v>9144.2041399999998</v>
      </c>
      <c r="G168" s="71">
        <f t="shared" si="19"/>
        <v>351.60413999999901</v>
      </c>
      <c r="H168" s="12"/>
      <c r="I168" s="12"/>
    </row>
    <row r="169" spans="1:9" ht="20.149999999999999" customHeight="1">
      <c r="A169" s="26">
        <v>37</v>
      </c>
      <c r="B169" s="13" t="s">
        <v>467</v>
      </c>
      <c r="C169" s="11" t="s">
        <v>458</v>
      </c>
      <c r="D169" s="14" t="s">
        <v>476</v>
      </c>
      <c r="E169" s="71">
        <v>9152.6</v>
      </c>
      <c r="F169" s="212">
        <v>9504.2041399999998</v>
      </c>
      <c r="G169" s="71">
        <f t="shared" si="19"/>
        <v>351.60413999999901</v>
      </c>
      <c r="H169" s="12"/>
      <c r="I169" s="12"/>
    </row>
    <row r="170" spans="1:9" ht="20.149999999999999" customHeight="1">
      <c r="A170" s="26">
        <v>38</v>
      </c>
      <c r="B170" s="10" t="s">
        <v>468</v>
      </c>
      <c r="C170" s="11" t="s">
        <v>458</v>
      </c>
      <c r="D170" s="14" t="s">
        <v>476</v>
      </c>
      <c r="E170" s="71">
        <v>8792.6</v>
      </c>
      <c r="F170" s="212">
        <v>9144.2041399999998</v>
      </c>
      <c r="G170" s="71">
        <f t="shared" si="19"/>
        <v>351.60413999999901</v>
      </c>
      <c r="H170" s="12"/>
      <c r="I170" s="12"/>
    </row>
    <row r="171" spans="1:9" ht="20.149999999999999" customHeight="1">
      <c r="A171" s="26">
        <v>39</v>
      </c>
      <c r="B171" s="17" t="s">
        <v>469</v>
      </c>
      <c r="C171" s="11" t="s">
        <v>458</v>
      </c>
      <c r="D171" s="14" t="s">
        <v>476</v>
      </c>
      <c r="E171" s="71">
        <v>8792.6</v>
      </c>
      <c r="F171" s="212">
        <v>9144.2041399999998</v>
      </c>
      <c r="G171" s="71">
        <f t="shared" si="19"/>
        <v>351.60413999999901</v>
      </c>
      <c r="H171" s="12"/>
      <c r="I171" s="12"/>
    </row>
    <row r="172" spans="1:9" ht="20.149999999999999" customHeight="1">
      <c r="A172" s="26">
        <v>40</v>
      </c>
      <c r="B172" s="17" t="s">
        <v>470</v>
      </c>
      <c r="C172" s="11" t="s">
        <v>458</v>
      </c>
      <c r="D172" s="14" t="s">
        <v>476</v>
      </c>
      <c r="E172" s="71">
        <v>9152.6</v>
      </c>
      <c r="F172" s="212">
        <v>9504.2041399999998</v>
      </c>
      <c r="G172" s="71">
        <f t="shared" si="19"/>
        <v>351.60413999999901</v>
      </c>
      <c r="H172" s="12"/>
      <c r="I172" s="12"/>
    </row>
    <row r="173" spans="1:9" ht="20.149999999999999" customHeight="1">
      <c r="A173" s="26">
        <v>41</v>
      </c>
      <c r="B173" s="10" t="s">
        <v>471</v>
      </c>
      <c r="C173" s="11" t="s">
        <v>478</v>
      </c>
      <c r="D173" s="14" t="s">
        <v>479</v>
      </c>
      <c r="E173" s="71">
        <f>4227.52</f>
        <v>4227.5200000000004</v>
      </c>
      <c r="F173" s="212">
        <v>4365.3307546666701</v>
      </c>
      <c r="G173" s="71">
        <f t="shared" si="19"/>
        <v>137.810754666668</v>
      </c>
      <c r="H173" s="12"/>
      <c r="I173" s="12"/>
    </row>
    <row r="174" spans="1:9" ht="20.149999999999999" customHeight="1">
      <c r="A174" s="26">
        <v>42</v>
      </c>
      <c r="B174" s="10" t="s">
        <v>474</v>
      </c>
      <c r="C174" s="11" t="s">
        <v>478</v>
      </c>
      <c r="D174" s="14" t="s">
        <v>479</v>
      </c>
      <c r="E174" s="71">
        <f>4227.52</f>
        <v>4227.5200000000004</v>
      </c>
      <c r="F174" s="212">
        <v>4365.3307546666701</v>
      </c>
      <c r="G174" s="71">
        <f t="shared" si="19"/>
        <v>137.810754666668</v>
      </c>
      <c r="H174" s="12"/>
      <c r="I174" s="12"/>
    </row>
    <row r="175" spans="1:9" ht="20.149999999999999" customHeight="1">
      <c r="A175" s="26">
        <v>43</v>
      </c>
      <c r="B175" s="17" t="s">
        <v>475</v>
      </c>
      <c r="C175" s="11" t="s">
        <v>478</v>
      </c>
      <c r="D175" s="14" t="s">
        <v>948</v>
      </c>
      <c r="E175" s="71">
        <f>4365.33</f>
        <v>4365.33</v>
      </c>
      <c r="F175" s="212">
        <v>4504.4109200000003</v>
      </c>
      <c r="G175" s="71">
        <f t="shared" si="19"/>
        <v>139.080919999999</v>
      </c>
      <c r="H175" s="12"/>
      <c r="I175" s="12"/>
    </row>
    <row r="176" spans="1:9" ht="20.149999999999999" customHeight="1">
      <c r="A176" s="26">
        <v>44</v>
      </c>
      <c r="B176" s="10" t="s">
        <v>477</v>
      </c>
      <c r="C176" s="11" t="s">
        <v>478</v>
      </c>
      <c r="D176" s="14" t="s">
        <v>954</v>
      </c>
      <c r="E176" s="71">
        <f>4089.72</f>
        <v>4089.72</v>
      </c>
      <c r="F176" s="212">
        <v>4227.5237226666704</v>
      </c>
      <c r="G176" s="71">
        <f t="shared" si="19"/>
        <v>137.80372266666799</v>
      </c>
      <c r="H176" s="12"/>
      <c r="I176" s="12"/>
    </row>
    <row r="177" spans="1:9" ht="20.149999999999999" customHeight="1">
      <c r="A177" s="26">
        <v>45</v>
      </c>
      <c r="B177" s="10" t="s">
        <v>480</v>
      </c>
      <c r="C177" s="11" t="s">
        <v>481</v>
      </c>
      <c r="D177" s="14" t="s">
        <v>955</v>
      </c>
      <c r="E177" s="71">
        <f>3951.8</f>
        <v>3951.8</v>
      </c>
      <c r="F177" s="212">
        <v>4089.7166906666698</v>
      </c>
      <c r="G177" s="71">
        <f t="shared" si="19"/>
        <v>137.91669066666799</v>
      </c>
      <c r="H177" s="12"/>
      <c r="I177" s="12"/>
    </row>
    <row r="178" spans="1:9" ht="20.149999999999999" customHeight="1">
      <c r="A178" s="26">
        <v>46</v>
      </c>
      <c r="B178" s="10" t="s">
        <v>483</v>
      </c>
      <c r="C178" s="11" t="s">
        <v>481</v>
      </c>
      <c r="D178" s="14" t="s">
        <v>955</v>
      </c>
      <c r="E178" s="71">
        <f>3687.8</f>
        <v>3687.8</v>
      </c>
      <c r="F178" s="212">
        <v>3825.7166906666698</v>
      </c>
      <c r="G178" s="71">
        <f t="shared" si="19"/>
        <v>137.91669066666799</v>
      </c>
      <c r="H178" s="12"/>
      <c r="I178" s="12"/>
    </row>
    <row r="179" spans="1:9" ht="20.149999999999999" customHeight="1">
      <c r="A179" s="26">
        <v>47</v>
      </c>
      <c r="B179" s="10" t="s">
        <v>484</v>
      </c>
      <c r="C179" s="11" t="s">
        <v>481</v>
      </c>
      <c r="D179" s="14" t="s">
        <v>955</v>
      </c>
      <c r="E179" s="71">
        <f>3951.8</f>
        <v>3951.8</v>
      </c>
      <c r="F179" s="212">
        <v>4089.7166906666698</v>
      </c>
      <c r="G179" s="71">
        <f t="shared" si="19"/>
        <v>137.91669066666799</v>
      </c>
      <c r="H179" s="12"/>
      <c r="I179" s="12"/>
    </row>
    <row r="180" spans="1:9" ht="20.149999999999999" customHeight="1">
      <c r="A180" s="26">
        <v>48</v>
      </c>
      <c r="B180" s="10" t="s">
        <v>485</v>
      </c>
      <c r="C180" s="11" t="s">
        <v>481</v>
      </c>
      <c r="D180" s="14" t="s">
        <v>955</v>
      </c>
      <c r="E180" s="71">
        <f>3687.8</f>
        <v>3687.8</v>
      </c>
      <c r="F180" s="212">
        <v>3825.7166906666698</v>
      </c>
      <c r="G180" s="71">
        <f t="shared" si="19"/>
        <v>137.91669066666799</v>
      </c>
      <c r="H180" s="12"/>
      <c r="I180" s="12"/>
    </row>
    <row r="181" spans="1:9" ht="20.149999999999999" customHeight="1">
      <c r="A181" s="26">
        <v>49</v>
      </c>
      <c r="B181" s="10" t="s">
        <v>486</v>
      </c>
      <c r="C181" s="11" t="s">
        <v>481</v>
      </c>
      <c r="D181" s="14" t="s">
        <v>955</v>
      </c>
      <c r="E181" s="71">
        <f>3951.8</f>
        <v>3951.8</v>
      </c>
      <c r="F181" s="212">
        <v>4089.7166906666698</v>
      </c>
      <c r="G181" s="71">
        <f t="shared" si="19"/>
        <v>137.91669066666799</v>
      </c>
      <c r="H181" s="12"/>
      <c r="I181" s="12"/>
    </row>
    <row r="182" spans="1:9" ht="20.149999999999999" customHeight="1">
      <c r="A182" s="26">
        <v>50</v>
      </c>
      <c r="B182" s="17" t="s">
        <v>487</v>
      </c>
      <c r="C182" s="11" t="s">
        <v>481</v>
      </c>
      <c r="D182" s="14" t="s">
        <v>955</v>
      </c>
      <c r="E182" s="71">
        <f>3687.8</f>
        <v>3687.8</v>
      </c>
      <c r="F182" s="212">
        <v>3825.7166906666698</v>
      </c>
      <c r="G182" s="71">
        <f t="shared" si="19"/>
        <v>137.91669066666799</v>
      </c>
      <c r="H182" s="12"/>
      <c r="I182" s="12"/>
    </row>
    <row r="183" spans="1:9" ht="20.149999999999999" customHeight="1">
      <c r="A183" s="26">
        <v>51</v>
      </c>
      <c r="B183" s="17" t="s">
        <v>488</v>
      </c>
      <c r="C183" s="11" t="s">
        <v>481</v>
      </c>
      <c r="D183" s="14" t="s">
        <v>955</v>
      </c>
      <c r="E183" s="71">
        <f>3951.8</f>
        <v>3951.8</v>
      </c>
      <c r="F183" s="212">
        <v>4089.7166906666698</v>
      </c>
      <c r="G183" s="71">
        <f t="shared" si="19"/>
        <v>137.91669066666799</v>
      </c>
      <c r="H183" s="12"/>
      <c r="I183" s="12"/>
    </row>
    <row r="184" spans="1:9" ht="20.149999999999999" customHeight="1">
      <c r="A184" s="26">
        <v>52</v>
      </c>
      <c r="B184" s="10" t="s">
        <v>489</v>
      </c>
      <c r="C184" s="11" t="s">
        <v>478</v>
      </c>
      <c r="D184" s="14" t="s">
        <v>955</v>
      </c>
      <c r="E184" s="71">
        <f>3951.8</f>
        <v>3951.8</v>
      </c>
      <c r="F184" s="212">
        <v>4089.7166906666698</v>
      </c>
      <c r="G184" s="71">
        <f t="shared" si="19"/>
        <v>137.91669066666799</v>
      </c>
      <c r="H184" s="12"/>
      <c r="I184" s="12"/>
    </row>
    <row r="185" spans="1:9" ht="20.149999999999999" customHeight="1">
      <c r="A185" s="26">
        <v>53</v>
      </c>
      <c r="B185" s="10" t="s">
        <v>490</v>
      </c>
      <c r="C185" s="11" t="s">
        <v>478</v>
      </c>
      <c r="D185" s="14" t="s">
        <v>955</v>
      </c>
      <c r="E185" s="71">
        <f>3951.8</f>
        <v>3951.8</v>
      </c>
      <c r="F185" s="212">
        <v>4089.7166906666698</v>
      </c>
      <c r="G185" s="71">
        <f t="shared" si="19"/>
        <v>137.91669066666799</v>
      </c>
      <c r="H185" s="12"/>
      <c r="I185" s="12"/>
    </row>
    <row r="186" spans="1:9" ht="20.149999999999999" customHeight="1">
      <c r="A186" s="26">
        <v>54</v>
      </c>
      <c r="B186" s="17" t="s">
        <v>491</v>
      </c>
      <c r="C186" s="11" t="s">
        <v>481</v>
      </c>
      <c r="D186" s="14" t="s">
        <v>972</v>
      </c>
      <c r="E186" s="71">
        <f>3183.66</f>
        <v>3183.66</v>
      </c>
      <c r="F186" s="212">
        <v>3064.8720786666699</v>
      </c>
      <c r="G186" s="71">
        <f t="shared" si="19"/>
        <v>-118.787921333334</v>
      </c>
      <c r="H186" s="12"/>
      <c r="I186" s="12"/>
    </row>
    <row r="187" spans="1:9" ht="20.149999999999999" customHeight="1">
      <c r="A187" s="26">
        <v>55</v>
      </c>
      <c r="B187" s="17" t="s">
        <v>493</v>
      </c>
      <c r="C187" s="11" t="s">
        <v>481</v>
      </c>
      <c r="D187" s="14" t="s">
        <v>956</v>
      </c>
      <c r="E187" s="71">
        <f>2972.91</f>
        <v>2972.91</v>
      </c>
      <c r="F187" s="212">
        <v>3091.5368486666698</v>
      </c>
      <c r="G187" s="71">
        <f t="shared" si="19"/>
        <v>118.626848666667</v>
      </c>
      <c r="H187" s="12"/>
      <c r="I187" s="12"/>
    </row>
    <row r="188" spans="1:9" ht="20.149999999999999" customHeight="1">
      <c r="A188" s="26"/>
      <c r="B188" s="7" t="s">
        <v>34</v>
      </c>
      <c r="C188" s="27" t="s">
        <v>1122</v>
      </c>
      <c r="D188" s="28"/>
      <c r="E188" s="79" t="e">
        <f>SUM(E133:E187)</f>
        <v>#REF!</v>
      </c>
      <c r="F188" s="79">
        <f t="shared" ref="F188:G188" si="21">SUM(F133:F187)</f>
        <v>1181488.1892560001</v>
      </c>
      <c r="G188" s="79" t="e">
        <f t="shared" si="21"/>
        <v>#REF!</v>
      </c>
      <c r="H188" s="12"/>
      <c r="I188" s="12"/>
    </row>
    <row r="189" spans="1:9" ht="20.149999999999999" customHeight="1">
      <c r="A189" s="3"/>
      <c r="B189" s="29" t="s">
        <v>80</v>
      </c>
      <c r="C189" s="30">
        <f>C37+C42+C57+C61+C77+C85+C99+C106+C116+C130+C188+2</f>
        <v>154</v>
      </c>
      <c r="D189" s="31"/>
      <c r="E189" s="208" t="e">
        <f>E37+E42+E57+E61+E77+E85+E99+E106+E116+E130+E188</f>
        <v>#REF!</v>
      </c>
      <c r="F189" s="208">
        <f t="shared" ref="F189:G189" si="22">F37+F42+F57+F61+F77+F85+F99+F106+F116+F130+F188</f>
        <v>7135974.5583149996</v>
      </c>
      <c r="G189" s="208" t="e">
        <f t="shared" si="22"/>
        <v>#REF!</v>
      </c>
      <c r="H189" s="12"/>
      <c r="I189" s="12"/>
    </row>
    <row r="190" spans="1:9" ht="20.149999999999999" customHeight="1">
      <c r="A190" s="2"/>
      <c r="B190" s="32"/>
      <c r="C190" s="2"/>
      <c r="D190" s="33"/>
      <c r="E190" s="210"/>
      <c r="F190" s="210"/>
      <c r="G190" s="210"/>
      <c r="I190" s="34"/>
    </row>
    <row r="191" spans="1:9" ht="65.25" customHeight="1">
      <c r="A191" s="2"/>
      <c r="B191" s="32"/>
      <c r="C191" s="33"/>
      <c r="D191" s="33"/>
      <c r="E191" s="210"/>
      <c r="F191" s="210"/>
      <c r="G191" s="210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40.453125" style="1" customWidth="1"/>
    <col min="4" max="4" width="11.54296875" style="1" customWidth="1"/>
    <col min="5" max="5" width="17.81640625" style="1" customWidth="1"/>
    <col min="6" max="7" width="14.81640625" style="1" customWidth="1"/>
    <col min="8" max="8" width="17.7265625" style="1" customWidth="1"/>
    <col min="9" max="9" width="21.7265625" style="1" customWidth="1"/>
    <col min="10" max="16384" width="9.1796875" style="1"/>
  </cols>
  <sheetData>
    <row r="1" spans="1:9" ht="27" customHeight="1">
      <c r="A1" s="764" t="s">
        <v>0</v>
      </c>
      <c r="B1" s="764"/>
      <c r="C1" s="764"/>
      <c r="D1" s="764"/>
      <c r="E1" s="764"/>
    </row>
    <row r="2" spans="1:9" ht="33.75" customHeight="1">
      <c r="A2" s="62" t="s">
        <v>1126</v>
      </c>
      <c r="B2" s="63"/>
      <c r="C2" s="62"/>
      <c r="D2" s="62"/>
      <c r="E2" s="197"/>
      <c r="F2" s="64"/>
      <c r="G2" s="64"/>
      <c r="H2" s="64"/>
    </row>
    <row r="3" spans="1:9" ht="9.75" customHeight="1">
      <c r="A3" s="2"/>
      <c r="B3" s="2"/>
      <c r="C3" s="2"/>
      <c r="D3" s="2"/>
      <c r="E3" s="198" t="e">
        <f>'[1]FEB 08'!E11/'[1]FEB 08'!M11</f>
        <v>#REF!</v>
      </c>
    </row>
    <row r="4" spans="1:9" ht="45" customHeight="1">
      <c r="A4" s="3"/>
      <c r="B4" s="4" t="s">
        <v>2</v>
      </c>
      <c r="C4" s="5" t="s">
        <v>3</v>
      </c>
      <c r="D4" s="6" t="s">
        <v>4</v>
      </c>
      <c r="E4" s="199" t="s">
        <v>5</v>
      </c>
      <c r="F4" s="199" t="s">
        <v>1144</v>
      </c>
      <c r="G4" s="199" t="s">
        <v>1145</v>
      </c>
      <c r="H4" s="23" t="s">
        <v>511</v>
      </c>
    </row>
    <row r="5" spans="1:9" ht="20.149999999999999" customHeight="1">
      <c r="A5" s="8" t="s">
        <v>21</v>
      </c>
      <c r="B5" s="7" t="s">
        <v>22</v>
      </c>
      <c r="C5" s="7"/>
      <c r="D5" s="7"/>
      <c r="E5" s="68" t="s">
        <v>20</v>
      </c>
      <c r="F5" s="68" t="s">
        <v>20</v>
      </c>
      <c r="G5" s="68" t="s">
        <v>20</v>
      </c>
      <c r="H5" s="68" t="s">
        <v>20</v>
      </c>
    </row>
    <row r="6" spans="1:9" ht="20.149999999999999" customHeight="1">
      <c r="A6" s="9">
        <v>1</v>
      </c>
      <c r="B6" s="10" t="s">
        <v>236</v>
      </c>
      <c r="C6" s="11" t="s">
        <v>237</v>
      </c>
      <c r="D6" s="11" t="s">
        <v>238</v>
      </c>
      <c r="E6" s="71">
        <v>160488.75</v>
      </c>
      <c r="F6" s="71"/>
      <c r="G6" s="71"/>
      <c r="H6" s="71"/>
      <c r="I6" s="12"/>
    </row>
    <row r="7" spans="1:9" ht="20.149999999999999" customHeight="1">
      <c r="A7" s="9">
        <v>2</v>
      </c>
      <c r="B7" s="10" t="s">
        <v>1016</v>
      </c>
      <c r="C7" s="3" t="s">
        <v>1106</v>
      </c>
      <c r="D7" s="9" t="s">
        <v>231</v>
      </c>
      <c r="E7" s="71">
        <f>42653.17</f>
        <v>42653.17</v>
      </c>
      <c r="F7" s="71">
        <f>0.025*E7</f>
        <v>1066.32925</v>
      </c>
      <c r="G7" s="71">
        <f>'[12]April 2022'!$H$26</f>
        <v>1028.9422500000001</v>
      </c>
      <c r="H7" s="71">
        <f>F7-G7</f>
        <v>37.386999999999901</v>
      </c>
      <c r="I7" s="12"/>
    </row>
    <row r="8" spans="1:9" ht="20.149999999999999" customHeight="1">
      <c r="A8" s="9">
        <v>3</v>
      </c>
      <c r="B8" s="13" t="s">
        <v>1107</v>
      </c>
      <c r="C8" s="3" t="s">
        <v>1108</v>
      </c>
      <c r="D8" s="9" t="s">
        <v>231</v>
      </c>
      <c r="E8" s="71">
        <f>42653.17</f>
        <v>42653.17</v>
      </c>
      <c r="F8" s="71"/>
      <c r="G8" s="71"/>
      <c r="H8" s="71">
        <f t="shared" ref="H8:H71" si="0">F8-G8</f>
        <v>0</v>
      </c>
      <c r="I8" s="12"/>
    </row>
    <row r="9" spans="1:9" ht="20.149999999999999" customHeight="1">
      <c r="A9" s="9">
        <v>4</v>
      </c>
      <c r="B9" s="10" t="s">
        <v>239</v>
      </c>
      <c r="C9" s="11" t="s">
        <v>240</v>
      </c>
      <c r="D9" s="9" t="s">
        <v>234</v>
      </c>
      <c r="E9" s="71">
        <f>42653.17</f>
        <v>42653.17</v>
      </c>
      <c r="F9" s="71"/>
      <c r="G9" s="71"/>
      <c r="H9" s="71">
        <f t="shared" si="0"/>
        <v>0</v>
      </c>
      <c r="I9" s="12"/>
    </row>
    <row r="10" spans="1:9" ht="20.149999999999999" customHeight="1">
      <c r="A10" s="9">
        <v>5</v>
      </c>
      <c r="B10" s="13" t="s">
        <v>241</v>
      </c>
      <c r="C10" s="3" t="s">
        <v>242</v>
      </c>
      <c r="D10" s="14" t="s">
        <v>308</v>
      </c>
      <c r="E10" s="71">
        <v>41157.69</v>
      </c>
      <c r="F10" s="71"/>
      <c r="G10" s="71"/>
      <c r="H10" s="71">
        <f t="shared" si="0"/>
        <v>0</v>
      </c>
      <c r="I10" s="12"/>
    </row>
    <row r="11" spans="1:9" ht="20.149999999999999" customHeight="1">
      <c r="A11" s="9">
        <v>6</v>
      </c>
      <c r="B11" s="13" t="s">
        <v>363</v>
      </c>
      <c r="C11" s="3" t="s">
        <v>1018</v>
      </c>
      <c r="D11" s="15" t="s">
        <v>308</v>
      </c>
      <c r="E11" s="71">
        <f>41157.69</f>
        <v>41157.69</v>
      </c>
      <c r="F11" s="71">
        <f>0.025*E11</f>
        <v>1028.9422500000001</v>
      </c>
      <c r="G11" s="71">
        <f>G7</f>
        <v>1028.9422500000001</v>
      </c>
      <c r="H11" s="71">
        <f t="shared" si="0"/>
        <v>0</v>
      </c>
      <c r="I11" s="12"/>
    </row>
    <row r="12" spans="1:9" ht="20.149999999999999" customHeight="1">
      <c r="A12" s="9">
        <v>7</v>
      </c>
      <c r="B12" s="10" t="s">
        <v>243</v>
      </c>
      <c r="C12" s="16" t="s">
        <v>244</v>
      </c>
      <c r="D12" s="15" t="s">
        <v>308</v>
      </c>
      <c r="E12" s="71">
        <f t="shared" ref="E12:E13" si="1">41157.69</f>
        <v>41157.69</v>
      </c>
      <c r="F12" s="71">
        <f>0.025*E12</f>
        <v>1028.9422500000001</v>
      </c>
      <c r="G12" s="71">
        <f>1028.94</f>
        <v>1028.94</v>
      </c>
      <c r="H12" s="71">
        <f t="shared" si="0"/>
        <v>2.2500000000036401E-3</v>
      </c>
      <c r="I12" s="12"/>
    </row>
    <row r="13" spans="1:9" ht="20.149999999999999" customHeight="1">
      <c r="A13" s="9">
        <v>8</v>
      </c>
      <c r="B13" s="13" t="s">
        <v>245</v>
      </c>
      <c r="C13" s="3" t="s">
        <v>246</v>
      </c>
      <c r="D13" s="15" t="s">
        <v>308</v>
      </c>
      <c r="E13" s="71">
        <f t="shared" si="1"/>
        <v>41157.69</v>
      </c>
      <c r="F13" s="71">
        <f>0.025*E13</f>
        <v>1028.9422500000001</v>
      </c>
      <c r="G13" s="71">
        <f>1028.94</f>
        <v>1028.94</v>
      </c>
      <c r="H13" s="71">
        <f t="shared" si="0"/>
        <v>2.2500000000036401E-3</v>
      </c>
      <c r="I13" s="12"/>
    </row>
    <row r="14" spans="1:9" ht="20.149999999999999" customHeight="1">
      <c r="A14" s="9">
        <v>9</v>
      </c>
      <c r="B14" s="10" t="s">
        <v>247</v>
      </c>
      <c r="C14" s="11" t="s">
        <v>248</v>
      </c>
      <c r="D14" s="14" t="s">
        <v>249</v>
      </c>
      <c r="E14" s="71">
        <v>33507.5</v>
      </c>
      <c r="F14" s="71">
        <f>0.025*E14</f>
        <v>837.6875</v>
      </c>
      <c r="G14" s="71">
        <f>'[12]April 2022'!$H$28</f>
        <v>837.6875</v>
      </c>
      <c r="H14" s="71">
        <f t="shared" si="0"/>
        <v>0</v>
      </c>
      <c r="I14" s="12"/>
    </row>
    <row r="15" spans="1:9" ht="20.149999999999999" customHeight="1">
      <c r="A15" s="9">
        <v>10</v>
      </c>
      <c r="B15" s="17" t="s">
        <v>223</v>
      </c>
      <c r="C15" s="11" t="s">
        <v>224</v>
      </c>
      <c r="D15" s="9" t="s">
        <v>222</v>
      </c>
      <c r="E15" s="71">
        <v>32263.200000000001</v>
      </c>
      <c r="F15" s="71"/>
      <c r="G15" s="71"/>
      <c r="H15" s="71">
        <f t="shared" si="0"/>
        <v>0</v>
      </c>
      <c r="I15" s="12"/>
    </row>
    <row r="16" spans="1:9" ht="20.149999999999999" customHeight="1">
      <c r="A16" s="9">
        <v>11</v>
      </c>
      <c r="B16" s="18" t="s">
        <v>1109</v>
      </c>
      <c r="C16" s="3" t="s">
        <v>1110</v>
      </c>
      <c r="D16" s="15" t="s">
        <v>257</v>
      </c>
      <c r="E16" s="71">
        <v>27611.23</v>
      </c>
      <c r="F16" s="71">
        <v>0</v>
      </c>
      <c r="G16" s="71">
        <v>0</v>
      </c>
      <c r="H16" s="71">
        <f t="shared" si="0"/>
        <v>0</v>
      </c>
      <c r="I16" s="12"/>
    </row>
    <row r="17" spans="1:9" ht="19.5" customHeight="1">
      <c r="A17" s="9">
        <v>12</v>
      </c>
      <c r="B17" s="13" t="s">
        <v>1019</v>
      </c>
      <c r="C17" s="3" t="s">
        <v>253</v>
      </c>
      <c r="D17" s="9" t="s">
        <v>257</v>
      </c>
      <c r="E17" s="71">
        <v>27611.23</v>
      </c>
      <c r="F17" s="71">
        <f>0.025*E17</f>
        <v>690.28075000000001</v>
      </c>
      <c r="G17" s="71">
        <f>'[12]April 2022'!$H$27</f>
        <v>668.31624999999997</v>
      </c>
      <c r="H17" s="71">
        <f t="shared" si="0"/>
        <v>21.964499999999902</v>
      </c>
      <c r="I17" s="12"/>
    </row>
    <row r="18" spans="1:9" ht="19.5" customHeight="1">
      <c r="A18" s="9">
        <v>13</v>
      </c>
      <c r="B18" s="13" t="s">
        <v>1111</v>
      </c>
      <c r="C18" s="3" t="s">
        <v>1112</v>
      </c>
      <c r="D18" s="9" t="s">
        <v>257</v>
      </c>
      <c r="E18" s="71">
        <v>27611.23</v>
      </c>
      <c r="F18" s="71"/>
      <c r="G18" s="71"/>
      <c r="H18" s="71">
        <f t="shared" si="0"/>
        <v>0</v>
      </c>
      <c r="I18" s="12"/>
    </row>
    <row r="19" spans="1:9" ht="20.149999999999999" customHeight="1">
      <c r="A19" s="9">
        <v>14</v>
      </c>
      <c r="B19" s="10" t="s">
        <v>252</v>
      </c>
      <c r="C19" s="3" t="s">
        <v>253</v>
      </c>
      <c r="D19" s="14" t="s">
        <v>257</v>
      </c>
      <c r="E19" s="71">
        <v>27611.23</v>
      </c>
      <c r="F19" s="71"/>
      <c r="G19" s="71"/>
      <c r="H19" s="71">
        <f t="shared" si="0"/>
        <v>0</v>
      </c>
      <c r="I19" s="12"/>
    </row>
    <row r="20" spans="1:9" ht="20.149999999999999" customHeight="1">
      <c r="A20" s="9">
        <v>15</v>
      </c>
      <c r="B20" s="10" t="s">
        <v>264</v>
      </c>
      <c r="C20" s="11" t="s">
        <v>265</v>
      </c>
      <c r="D20" s="14" t="s">
        <v>950</v>
      </c>
      <c r="E20" s="71">
        <v>24741.26</v>
      </c>
      <c r="F20" s="71"/>
      <c r="G20" s="71"/>
      <c r="H20" s="71">
        <f t="shared" si="0"/>
        <v>0</v>
      </c>
      <c r="I20" s="12"/>
    </row>
    <row r="21" spans="1:9" ht="20.149999999999999" customHeight="1">
      <c r="A21" s="9">
        <v>16</v>
      </c>
      <c r="B21" s="17" t="s">
        <v>267</v>
      </c>
      <c r="C21" s="3" t="s">
        <v>268</v>
      </c>
      <c r="D21" s="14" t="s">
        <v>951</v>
      </c>
      <c r="E21" s="71">
        <f>23891.12</f>
        <v>23891.119999999999</v>
      </c>
      <c r="F21" s="71">
        <f>0.025*E21</f>
        <v>597.27800000000002</v>
      </c>
      <c r="G21" s="71">
        <f>'[12]April 2022'!$H$52</f>
        <v>576.87474999999995</v>
      </c>
      <c r="H21" s="71">
        <f t="shared" si="0"/>
        <v>20.40325</v>
      </c>
      <c r="I21" s="12"/>
    </row>
    <row r="22" spans="1:9" ht="20.149999999999999" customHeight="1">
      <c r="A22" s="9">
        <v>17</v>
      </c>
      <c r="B22" s="10" t="s">
        <v>389</v>
      </c>
      <c r="C22" s="11" t="s">
        <v>390</v>
      </c>
      <c r="D22" s="14" t="s">
        <v>271</v>
      </c>
      <c r="E22" s="71">
        <f>22837.82</f>
        <v>22837.82</v>
      </c>
      <c r="F22" s="71">
        <f>0.025*E22</f>
        <v>570.94550000000004</v>
      </c>
      <c r="G22" s="71">
        <f>'[12]April 2022'!$H$45</f>
        <v>538.02200000000005</v>
      </c>
      <c r="H22" s="71">
        <f t="shared" si="0"/>
        <v>32.923499999999997</v>
      </c>
      <c r="I22" s="12"/>
    </row>
    <row r="23" spans="1:9" ht="18.75" customHeight="1">
      <c r="A23" s="9">
        <v>18</v>
      </c>
      <c r="B23" s="10" t="s">
        <v>270</v>
      </c>
      <c r="C23" s="11" t="s">
        <v>50</v>
      </c>
      <c r="D23" s="14" t="s">
        <v>332</v>
      </c>
      <c r="E23" s="71">
        <v>21520.880000000001</v>
      </c>
      <c r="F23" s="71"/>
      <c r="G23" s="71"/>
      <c r="H23" s="71">
        <f t="shared" si="0"/>
        <v>0</v>
      </c>
      <c r="I23" s="12"/>
    </row>
    <row r="24" spans="1:9" ht="18.75" customHeight="1">
      <c r="A24" s="9">
        <v>19</v>
      </c>
      <c r="B24" s="10" t="s">
        <v>387</v>
      </c>
      <c r="C24" s="3" t="s">
        <v>388</v>
      </c>
      <c r="D24" s="14" t="s">
        <v>332</v>
      </c>
      <c r="E24" s="71">
        <v>21520.880000000001</v>
      </c>
      <c r="F24" s="71"/>
      <c r="G24" s="71"/>
      <c r="H24" s="71">
        <f t="shared" si="0"/>
        <v>0</v>
      </c>
      <c r="I24" s="12"/>
    </row>
    <row r="25" spans="1:9" ht="18.75" customHeight="1">
      <c r="A25" s="9">
        <v>20</v>
      </c>
      <c r="B25" s="17" t="s">
        <v>427</v>
      </c>
      <c r="C25" s="3" t="s">
        <v>1128</v>
      </c>
      <c r="D25" s="14" t="s">
        <v>432</v>
      </c>
      <c r="E25" s="71">
        <f>18779.3</f>
        <v>18779.3</v>
      </c>
      <c r="F25" s="71">
        <f>0</f>
        <v>0</v>
      </c>
      <c r="G25" s="71">
        <f>0</f>
        <v>0</v>
      </c>
      <c r="H25" s="71">
        <f t="shared" si="0"/>
        <v>0</v>
      </c>
      <c r="I25" s="12"/>
    </row>
    <row r="26" spans="1:9" ht="18.75" customHeight="1">
      <c r="A26" s="9">
        <v>21</v>
      </c>
      <c r="B26" s="17" t="s">
        <v>1113</v>
      </c>
      <c r="C26" s="11" t="s">
        <v>293</v>
      </c>
      <c r="D26" s="14" t="s">
        <v>345</v>
      </c>
      <c r="E26" s="71">
        <v>18281.64</v>
      </c>
      <c r="F26" s="71"/>
      <c r="G26" s="71"/>
      <c r="H26" s="71">
        <f t="shared" si="0"/>
        <v>0</v>
      </c>
      <c r="I26" s="12"/>
    </row>
    <row r="27" spans="1:9" ht="18.75" customHeight="1">
      <c r="A27" s="9">
        <v>22</v>
      </c>
      <c r="B27" s="3" t="s">
        <v>278</v>
      </c>
      <c r="C27" s="3" t="s">
        <v>176</v>
      </c>
      <c r="D27" s="9" t="s">
        <v>283</v>
      </c>
      <c r="E27" s="200">
        <v>14736.14</v>
      </c>
      <c r="F27" s="71"/>
      <c r="G27" s="71"/>
      <c r="H27" s="71">
        <f t="shared" si="0"/>
        <v>0</v>
      </c>
      <c r="I27" s="12"/>
    </row>
    <row r="28" spans="1:9" ht="18.75" customHeight="1">
      <c r="A28" s="9">
        <v>23</v>
      </c>
      <c r="B28" s="17" t="s">
        <v>280</v>
      </c>
      <c r="C28" s="11" t="s">
        <v>176</v>
      </c>
      <c r="D28" s="14" t="s">
        <v>283</v>
      </c>
      <c r="E28" s="71">
        <f t="shared" ref="E28:E29" si="2">15188.67</f>
        <v>15188.67</v>
      </c>
      <c r="F28" s="71"/>
      <c r="G28" s="71"/>
      <c r="H28" s="71">
        <f t="shared" si="0"/>
        <v>0</v>
      </c>
      <c r="I28" s="12"/>
    </row>
    <row r="29" spans="1:9" ht="18.75" customHeight="1">
      <c r="A29" s="9">
        <v>24</v>
      </c>
      <c r="B29" s="10" t="s">
        <v>1020</v>
      </c>
      <c r="C29" s="11" t="s">
        <v>1021</v>
      </c>
      <c r="D29" s="14" t="s">
        <v>283</v>
      </c>
      <c r="E29" s="71">
        <f t="shared" si="2"/>
        <v>15188.67</v>
      </c>
      <c r="F29" s="71"/>
      <c r="G29" s="71"/>
      <c r="H29" s="71">
        <f t="shared" si="0"/>
        <v>0</v>
      </c>
      <c r="I29" s="12"/>
    </row>
    <row r="30" spans="1:9" ht="18.75" customHeight="1">
      <c r="A30" s="9">
        <v>25</v>
      </c>
      <c r="B30" s="17" t="s">
        <v>282</v>
      </c>
      <c r="C30" s="11" t="s">
        <v>967</v>
      </c>
      <c r="D30" s="14" t="s">
        <v>1129</v>
      </c>
      <c r="E30" s="201">
        <v>13492.21</v>
      </c>
      <c r="F30" s="71"/>
      <c r="G30" s="71"/>
      <c r="H30" s="71">
        <f t="shared" si="0"/>
        <v>0</v>
      </c>
      <c r="I30" s="12"/>
    </row>
    <row r="31" spans="1:9" ht="18.75" customHeight="1">
      <c r="A31" s="9">
        <v>26</v>
      </c>
      <c r="B31" s="10" t="s">
        <v>370</v>
      </c>
      <c r="C31" s="16" t="s">
        <v>1130</v>
      </c>
      <c r="D31" s="14" t="s">
        <v>945</v>
      </c>
      <c r="E31" s="71">
        <v>13492.21</v>
      </c>
      <c r="F31" s="71"/>
      <c r="G31" s="71"/>
      <c r="H31" s="71">
        <f t="shared" si="0"/>
        <v>0</v>
      </c>
      <c r="I31" s="12"/>
    </row>
    <row r="32" spans="1:9" ht="18.75" customHeight="1">
      <c r="A32" s="9">
        <v>27</v>
      </c>
      <c r="B32" s="17" t="s">
        <v>284</v>
      </c>
      <c r="C32" s="3" t="s">
        <v>1022</v>
      </c>
      <c r="D32" s="9" t="s">
        <v>945</v>
      </c>
      <c r="E32" s="71">
        <v>13492.21</v>
      </c>
      <c r="F32" s="71"/>
      <c r="G32" s="71"/>
      <c r="H32" s="71">
        <f t="shared" si="0"/>
        <v>0</v>
      </c>
      <c r="I32" s="12"/>
    </row>
    <row r="33" spans="1:9" ht="18.75" customHeight="1">
      <c r="A33" s="9">
        <v>28</v>
      </c>
      <c r="B33" s="17" t="s">
        <v>287</v>
      </c>
      <c r="C33" s="16" t="s">
        <v>288</v>
      </c>
      <c r="D33" s="14" t="s">
        <v>283</v>
      </c>
      <c r="E33" s="71">
        <v>15188.67</v>
      </c>
      <c r="F33" s="71">
        <f>0</f>
        <v>0</v>
      </c>
      <c r="G33" s="71">
        <f>0</f>
        <v>0</v>
      </c>
      <c r="H33" s="71">
        <f t="shared" si="0"/>
        <v>0</v>
      </c>
      <c r="I33" s="12"/>
    </row>
    <row r="34" spans="1:9" ht="18.75" customHeight="1">
      <c r="A34" s="9">
        <v>29</v>
      </c>
      <c r="B34" s="17" t="s">
        <v>289</v>
      </c>
      <c r="C34" s="3" t="s">
        <v>1131</v>
      </c>
      <c r="D34" s="9" t="s">
        <v>294</v>
      </c>
      <c r="E34" s="71">
        <f>12732</f>
        <v>12732</v>
      </c>
      <c r="F34" s="71"/>
      <c r="G34" s="71"/>
      <c r="H34" s="71">
        <f t="shared" si="0"/>
        <v>0</v>
      </c>
      <c r="I34" s="12"/>
    </row>
    <row r="35" spans="1:9" ht="18.75" customHeight="1">
      <c r="A35" s="9">
        <v>30</v>
      </c>
      <c r="B35" s="17" t="s">
        <v>933</v>
      </c>
      <c r="C35" s="11" t="s">
        <v>293</v>
      </c>
      <c r="D35" s="14" t="s">
        <v>294</v>
      </c>
      <c r="E35" s="71">
        <f>12732</f>
        <v>12732</v>
      </c>
      <c r="F35" s="71"/>
      <c r="G35" s="71"/>
      <c r="H35" s="71">
        <f t="shared" si="0"/>
        <v>0</v>
      </c>
      <c r="I35" s="12"/>
    </row>
    <row r="36" spans="1:9" ht="18.75" customHeight="1">
      <c r="A36" s="9">
        <v>31</v>
      </c>
      <c r="B36" s="17" t="s">
        <v>1114</v>
      </c>
      <c r="C36" s="11" t="s">
        <v>293</v>
      </c>
      <c r="D36" s="14" t="s">
        <v>294</v>
      </c>
      <c r="E36" s="71">
        <f>12732</f>
        <v>12732</v>
      </c>
      <c r="F36" s="71"/>
      <c r="G36" s="71"/>
      <c r="H36" s="71">
        <f t="shared" si="0"/>
        <v>0</v>
      </c>
      <c r="I36" s="12"/>
    </row>
    <row r="37" spans="1:9" ht="26.25" customHeight="1">
      <c r="A37" s="9"/>
      <c r="B37" s="19" t="s">
        <v>34</v>
      </c>
      <c r="C37" s="20">
        <v>31</v>
      </c>
      <c r="D37" s="14"/>
      <c r="E37" s="202">
        <f t="shared" ref="E37:F37" si="3">SUM(E6:E36)</f>
        <v>919842.32</v>
      </c>
      <c r="F37" s="202">
        <f t="shared" si="3"/>
        <v>6849.3477499999999</v>
      </c>
      <c r="G37" s="202">
        <f t="shared" ref="G37" si="4">SUM(G6:G36)</f>
        <v>6736.665</v>
      </c>
      <c r="H37" s="133">
        <f t="shared" si="0"/>
        <v>112.68275</v>
      </c>
      <c r="I37" s="12"/>
    </row>
    <row r="38" spans="1:9" ht="18.75" customHeight="1">
      <c r="A38" s="9"/>
      <c r="B38" s="21"/>
      <c r="C38" s="3"/>
      <c r="D38" s="14"/>
      <c r="E38" s="202"/>
      <c r="F38" s="202"/>
      <c r="G38" s="202"/>
      <c r="H38" s="71">
        <f t="shared" si="0"/>
        <v>0</v>
      </c>
      <c r="I38" s="12"/>
    </row>
    <row r="39" spans="1:9" ht="18.75" customHeight="1">
      <c r="A39" s="9"/>
      <c r="B39" s="19" t="s">
        <v>35</v>
      </c>
      <c r="C39" s="3"/>
      <c r="D39" s="14"/>
      <c r="E39" s="71"/>
      <c r="F39" s="71"/>
      <c r="G39" s="71"/>
      <c r="H39" s="71">
        <f t="shared" si="0"/>
        <v>0</v>
      </c>
      <c r="I39" s="12"/>
    </row>
    <row r="40" spans="1:9" ht="18.75" customHeight="1">
      <c r="A40" s="9">
        <v>1</v>
      </c>
      <c r="B40" s="17" t="s">
        <v>295</v>
      </c>
      <c r="C40" s="3" t="s">
        <v>296</v>
      </c>
      <c r="D40" s="9" t="s">
        <v>297</v>
      </c>
      <c r="E40" s="71">
        <v>81740.02</v>
      </c>
      <c r="F40" s="71"/>
      <c r="G40" s="71"/>
      <c r="H40" s="71">
        <f t="shared" si="0"/>
        <v>0</v>
      </c>
      <c r="I40" s="12"/>
    </row>
    <row r="41" spans="1:9" ht="18.75" customHeight="1">
      <c r="A41" s="9">
        <v>2</v>
      </c>
      <c r="B41" s="17" t="s">
        <v>298</v>
      </c>
      <c r="C41" s="3" t="s">
        <v>537</v>
      </c>
      <c r="D41" s="9" t="s">
        <v>31</v>
      </c>
      <c r="E41" s="200">
        <v>12351.94</v>
      </c>
      <c r="F41" s="71">
        <f>0</f>
        <v>0</v>
      </c>
      <c r="G41" s="71">
        <f>0</f>
        <v>0</v>
      </c>
      <c r="H41" s="71">
        <f t="shared" si="0"/>
        <v>0</v>
      </c>
      <c r="I41" s="12"/>
    </row>
    <row r="42" spans="1:9" ht="19.5" customHeight="1">
      <c r="A42" s="9"/>
      <c r="B42" s="13"/>
      <c r="C42" s="20">
        <v>2</v>
      </c>
      <c r="D42" s="9"/>
      <c r="E42" s="202">
        <f>SUM(E40:E41)</f>
        <v>94091.96</v>
      </c>
      <c r="F42" s="202">
        <f>SUM(F40:F41)</f>
        <v>0</v>
      </c>
      <c r="G42" s="202">
        <f>SUM(G40:G41)</f>
        <v>0</v>
      </c>
      <c r="H42" s="71">
        <f t="shared" si="0"/>
        <v>0</v>
      </c>
      <c r="I42" s="12"/>
    </row>
    <row r="43" spans="1:9" ht="20.149999999999999" customHeight="1">
      <c r="A43" s="9"/>
      <c r="B43" s="13"/>
      <c r="C43" s="3"/>
      <c r="D43" s="9"/>
      <c r="E43" s="202"/>
      <c r="F43" s="202"/>
      <c r="G43" s="202"/>
      <c r="H43" s="71">
        <f t="shared" si="0"/>
        <v>0</v>
      </c>
      <c r="I43" s="12"/>
    </row>
    <row r="44" spans="1:9" ht="20.149999999999999" customHeight="1">
      <c r="A44" s="9"/>
      <c r="B44" s="22" t="s">
        <v>39</v>
      </c>
      <c r="C44" s="4"/>
      <c r="D44" s="23"/>
      <c r="E44" s="202"/>
      <c r="F44" s="71"/>
      <c r="G44" s="71"/>
      <c r="H44" s="71">
        <f t="shared" si="0"/>
        <v>0</v>
      </c>
      <c r="I44" s="12"/>
    </row>
    <row r="45" spans="1:9" ht="20.149999999999999" customHeight="1">
      <c r="A45" s="9">
        <v>1</v>
      </c>
      <c r="B45" s="10" t="s">
        <v>302</v>
      </c>
      <c r="C45" s="3" t="s">
        <v>303</v>
      </c>
      <c r="D45" s="9" t="s">
        <v>297</v>
      </c>
      <c r="E45" s="71">
        <v>81740.02</v>
      </c>
      <c r="F45" s="71"/>
      <c r="G45" s="71"/>
      <c r="H45" s="71">
        <f t="shared" si="0"/>
        <v>0</v>
      </c>
      <c r="I45" s="12"/>
    </row>
    <row r="46" spans="1:9" ht="20.149999999999999" customHeight="1">
      <c r="A46" s="9">
        <v>2</v>
      </c>
      <c r="B46" s="10" t="s">
        <v>304</v>
      </c>
      <c r="C46" s="3" t="s">
        <v>305</v>
      </c>
      <c r="D46" s="9" t="s">
        <v>249</v>
      </c>
      <c r="E46" s="71">
        <v>33507.5</v>
      </c>
      <c r="F46" s="71"/>
      <c r="G46" s="71"/>
      <c r="H46" s="71">
        <f t="shared" si="0"/>
        <v>0</v>
      </c>
      <c r="I46" s="12"/>
    </row>
    <row r="47" spans="1:9" ht="20.149999999999999" customHeight="1">
      <c r="A47" s="9">
        <v>3</v>
      </c>
      <c r="B47" s="10" t="s">
        <v>306</v>
      </c>
      <c r="C47" s="3" t="s">
        <v>310</v>
      </c>
      <c r="D47" s="9" t="s">
        <v>249</v>
      </c>
      <c r="E47" s="71">
        <v>33507.5</v>
      </c>
      <c r="F47" s="71"/>
      <c r="G47" s="71"/>
      <c r="H47" s="71">
        <f t="shared" si="0"/>
        <v>0</v>
      </c>
      <c r="I47" s="12"/>
    </row>
    <row r="48" spans="1:9" ht="20.149999999999999" customHeight="1">
      <c r="A48" s="9">
        <v>4</v>
      </c>
      <c r="B48" s="10" t="s">
        <v>309</v>
      </c>
      <c r="C48" s="3" t="s">
        <v>310</v>
      </c>
      <c r="D48" s="9" t="s">
        <v>249</v>
      </c>
      <c r="E48" s="71">
        <v>33507.5</v>
      </c>
      <c r="F48" s="71"/>
      <c r="G48" s="71"/>
      <c r="H48" s="71">
        <f t="shared" si="0"/>
        <v>0</v>
      </c>
      <c r="I48" s="12"/>
    </row>
    <row r="49" spans="1:9" ht="20.149999999999999" customHeight="1">
      <c r="A49" s="9">
        <v>5</v>
      </c>
      <c r="B49" s="10" t="s">
        <v>311</v>
      </c>
      <c r="C49" s="3" t="s">
        <v>310</v>
      </c>
      <c r="D49" s="9" t="s">
        <v>327</v>
      </c>
      <c r="E49" s="71">
        <v>32263.200000000001</v>
      </c>
      <c r="F49" s="71">
        <f>0.025*E49</f>
        <v>806.58</v>
      </c>
      <c r="G49" s="71">
        <f>837.69</f>
        <v>837.69</v>
      </c>
      <c r="H49" s="71">
        <f t="shared" si="0"/>
        <v>-31.11</v>
      </c>
      <c r="I49" s="12"/>
    </row>
    <row r="50" spans="1:9" ht="20.149999999999999" customHeight="1">
      <c r="A50" s="9">
        <v>6</v>
      </c>
      <c r="B50" s="10" t="s">
        <v>312</v>
      </c>
      <c r="C50" s="3" t="s">
        <v>259</v>
      </c>
      <c r="D50" s="9" t="s">
        <v>257</v>
      </c>
      <c r="E50" s="71">
        <v>27611.23</v>
      </c>
      <c r="F50" s="71"/>
      <c r="G50" s="71"/>
      <c r="H50" s="71">
        <f t="shared" si="0"/>
        <v>0</v>
      </c>
      <c r="I50" s="12"/>
    </row>
    <row r="51" spans="1:9" ht="20.149999999999999" customHeight="1">
      <c r="A51" s="9">
        <v>7</v>
      </c>
      <c r="B51" s="13" t="s">
        <v>313</v>
      </c>
      <c r="C51" s="3" t="s">
        <v>256</v>
      </c>
      <c r="D51" s="15" t="s">
        <v>257</v>
      </c>
      <c r="E51" s="71">
        <v>27611.23</v>
      </c>
      <c r="F51" s="71">
        <v>0</v>
      </c>
      <c r="G51" s="71">
        <v>0</v>
      </c>
      <c r="H51" s="71">
        <f t="shared" si="0"/>
        <v>0</v>
      </c>
      <c r="I51" s="12"/>
    </row>
    <row r="52" spans="1:9" ht="20.149999999999999" customHeight="1">
      <c r="A52" s="9">
        <v>8</v>
      </c>
      <c r="B52" s="10" t="s">
        <v>1025</v>
      </c>
      <c r="C52" s="3" t="s">
        <v>256</v>
      </c>
      <c r="D52" s="9" t="s">
        <v>342</v>
      </c>
      <c r="E52" s="71">
        <v>26732.65</v>
      </c>
      <c r="F52" s="71"/>
      <c r="G52" s="71"/>
      <c r="H52" s="71">
        <f t="shared" si="0"/>
        <v>0</v>
      </c>
      <c r="I52" s="12"/>
    </row>
    <row r="53" spans="1:9" ht="20.149999999999999" customHeight="1">
      <c r="A53" s="9">
        <v>9</v>
      </c>
      <c r="B53" s="10" t="s">
        <v>258</v>
      </c>
      <c r="C53" s="3" t="s">
        <v>353</v>
      </c>
      <c r="D53" s="9" t="s">
        <v>266</v>
      </c>
      <c r="E53" s="71">
        <v>25523.45</v>
      </c>
      <c r="F53" s="71">
        <f>0.025*E53</f>
        <v>638.08624999999995</v>
      </c>
      <c r="G53" s="71">
        <f>'[12]April 2022'!$H$46</f>
        <v>618.53150000000005</v>
      </c>
      <c r="H53" s="71">
        <f t="shared" si="0"/>
        <v>19.554749999999999</v>
      </c>
      <c r="I53" s="12"/>
    </row>
    <row r="54" spans="1:9" ht="20.149999999999999" customHeight="1">
      <c r="A54" s="9">
        <v>10</v>
      </c>
      <c r="B54" s="10" t="s">
        <v>315</v>
      </c>
      <c r="C54" s="3" t="s">
        <v>63</v>
      </c>
      <c r="D54" s="9" t="s">
        <v>25</v>
      </c>
      <c r="E54" s="200">
        <f>14736.14</f>
        <v>14736.14</v>
      </c>
      <c r="F54" s="71"/>
      <c r="G54" s="71"/>
      <c r="H54" s="71">
        <f t="shared" si="0"/>
        <v>0</v>
      </c>
      <c r="I54" s="12"/>
    </row>
    <row r="55" spans="1:9" ht="20.149999999999999" customHeight="1">
      <c r="A55" s="9">
        <v>11</v>
      </c>
      <c r="B55" s="10" t="s">
        <v>316</v>
      </c>
      <c r="C55" s="3" t="s">
        <v>63</v>
      </c>
      <c r="D55" s="9" t="s">
        <v>25</v>
      </c>
      <c r="E55" s="200">
        <f>14736.14</f>
        <v>14736.14</v>
      </c>
      <c r="F55" s="71"/>
      <c r="G55" s="71"/>
      <c r="H55" s="71">
        <f t="shared" si="0"/>
        <v>0</v>
      </c>
      <c r="I55" s="12"/>
    </row>
    <row r="56" spans="1:9" ht="20.149999999999999" customHeight="1">
      <c r="A56" s="9">
        <v>12</v>
      </c>
      <c r="B56" s="10" t="s">
        <v>317</v>
      </c>
      <c r="C56" s="3" t="s">
        <v>63</v>
      </c>
      <c r="D56" s="9" t="s">
        <v>25</v>
      </c>
      <c r="E56" s="200">
        <f>14736.14</f>
        <v>14736.14</v>
      </c>
      <c r="F56" s="71"/>
      <c r="G56" s="71"/>
      <c r="H56" s="71">
        <f t="shared" si="0"/>
        <v>0</v>
      </c>
      <c r="I56" s="12"/>
    </row>
    <row r="57" spans="1:9" ht="25.5" customHeight="1">
      <c r="A57" s="9"/>
      <c r="B57" s="19" t="s">
        <v>34</v>
      </c>
      <c r="C57" s="20">
        <v>12</v>
      </c>
      <c r="D57" s="20"/>
      <c r="E57" s="79">
        <f>SUM(E45:E56)</f>
        <v>366212.7</v>
      </c>
      <c r="F57" s="79">
        <f>SUM(F45:F56)</f>
        <v>1444.66625</v>
      </c>
      <c r="G57" s="79">
        <f t="shared" ref="G57" si="5">SUM(G45:G56)</f>
        <v>1456.2215000000001</v>
      </c>
      <c r="H57" s="71">
        <f t="shared" si="0"/>
        <v>-11.5552499999999</v>
      </c>
      <c r="I57" s="12"/>
    </row>
    <row r="58" spans="1:9" ht="20.149999999999999" customHeight="1">
      <c r="A58" s="9"/>
      <c r="B58" s="21"/>
      <c r="C58" s="20"/>
      <c r="D58" s="20"/>
      <c r="E58" s="133"/>
      <c r="F58" s="133"/>
      <c r="G58" s="133"/>
      <c r="H58" s="71">
        <f t="shared" si="0"/>
        <v>0</v>
      </c>
      <c r="I58" s="12"/>
    </row>
    <row r="59" spans="1:9" ht="20.149999999999999" customHeight="1">
      <c r="A59" s="9"/>
      <c r="B59" s="19" t="s">
        <v>318</v>
      </c>
      <c r="C59" s="20"/>
      <c r="D59" s="20"/>
      <c r="E59" s="133"/>
      <c r="F59" s="133"/>
      <c r="G59" s="133"/>
      <c r="H59" s="71">
        <f t="shared" si="0"/>
        <v>0</v>
      </c>
      <c r="I59" s="12"/>
    </row>
    <row r="60" spans="1:9" ht="20.149999999999999" customHeight="1">
      <c r="A60" s="9">
        <v>1</v>
      </c>
      <c r="B60" s="10" t="s">
        <v>319</v>
      </c>
      <c r="C60" s="11" t="s">
        <v>320</v>
      </c>
      <c r="D60" s="14" t="s">
        <v>297</v>
      </c>
      <c r="E60" s="71">
        <v>81740.02</v>
      </c>
      <c r="F60" s="71">
        <v>0</v>
      </c>
      <c r="G60" s="71">
        <v>0</v>
      </c>
      <c r="H60" s="71">
        <f t="shared" si="0"/>
        <v>0</v>
      </c>
      <c r="I60" s="12"/>
    </row>
    <row r="61" spans="1:9" ht="20.149999999999999" customHeight="1">
      <c r="A61" s="9"/>
      <c r="B61" s="19" t="s">
        <v>34</v>
      </c>
      <c r="C61" s="20">
        <v>1</v>
      </c>
      <c r="D61" s="20"/>
      <c r="E61" s="79">
        <f>SUM(E60:E60)</f>
        <v>81740.02</v>
      </c>
      <c r="F61" s="79">
        <f>SUM(F60:F60)</f>
        <v>0</v>
      </c>
      <c r="G61" s="79">
        <f>SUM(G60:G60)</f>
        <v>0</v>
      </c>
      <c r="H61" s="71">
        <f t="shared" si="0"/>
        <v>0</v>
      </c>
      <c r="I61" s="12"/>
    </row>
    <row r="62" spans="1:9" ht="20.149999999999999" customHeight="1">
      <c r="A62" s="9"/>
      <c r="B62" s="19"/>
      <c r="C62" s="20"/>
      <c r="D62" s="20"/>
      <c r="E62" s="133"/>
      <c r="F62" s="133"/>
      <c r="G62" s="133"/>
      <c r="H62" s="71">
        <f t="shared" si="0"/>
        <v>0</v>
      </c>
      <c r="I62" s="12"/>
    </row>
    <row r="63" spans="1:9" ht="20.149999999999999" customHeight="1">
      <c r="A63" s="9"/>
      <c r="B63" s="19" t="s">
        <v>45</v>
      </c>
      <c r="C63" s="20"/>
      <c r="D63" s="20"/>
      <c r="E63" s="133"/>
      <c r="F63" s="133"/>
      <c r="G63" s="133"/>
      <c r="H63" s="71">
        <f t="shared" si="0"/>
        <v>0</v>
      </c>
      <c r="I63" s="12"/>
    </row>
    <row r="64" spans="1:9" ht="20.149999999999999" customHeight="1">
      <c r="A64" s="9">
        <v>1</v>
      </c>
      <c r="B64" s="10" t="s">
        <v>323</v>
      </c>
      <c r="C64" s="16" t="s">
        <v>324</v>
      </c>
      <c r="D64" s="9" t="s">
        <v>297</v>
      </c>
      <c r="E64" s="71">
        <v>81740.02</v>
      </c>
      <c r="F64" s="71"/>
      <c r="G64" s="71"/>
      <c r="H64" s="71">
        <f t="shared" si="0"/>
        <v>0</v>
      </c>
      <c r="I64" s="12"/>
    </row>
    <row r="65" spans="1:9" ht="20.149999999999999" customHeight="1">
      <c r="A65" s="9">
        <v>2</v>
      </c>
      <c r="B65" s="17" t="s">
        <v>325</v>
      </c>
      <c r="C65" s="16" t="s">
        <v>326</v>
      </c>
      <c r="D65" s="14" t="s">
        <v>952</v>
      </c>
      <c r="E65" s="200">
        <v>31018.84</v>
      </c>
      <c r="F65" s="71"/>
      <c r="G65" s="71"/>
      <c r="H65" s="71">
        <f t="shared" si="0"/>
        <v>0</v>
      </c>
      <c r="I65" s="12"/>
    </row>
    <row r="66" spans="1:9" ht="20.149999999999999" customHeight="1">
      <c r="A66" s="9">
        <v>3</v>
      </c>
      <c r="B66" s="10" t="s">
        <v>328</v>
      </c>
      <c r="C66" s="3" t="s">
        <v>47</v>
      </c>
      <c r="D66" s="9" t="s">
        <v>266</v>
      </c>
      <c r="E66" s="71">
        <v>25523.45</v>
      </c>
      <c r="F66" s="71"/>
      <c r="G66" s="71"/>
      <c r="H66" s="71">
        <f t="shared" si="0"/>
        <v>0</v>
      </c>
      <c r="I66" s="12"/>
    </row>
    <row r="67" spans="1:9" ht="20.149999999999999" customHeight="1">
      <c r="A67" s="9">
        <v>4</v>
      </c>
      <c r="B67" s="17" t="s">
        <v>329</v>
      </c>
      <c r="C67" s="16" t="s">
        <v>47</v>
      </c>
      <c r="D67" s="14" t="s">
        <v>950</v>
      </c>
      <c r="E67" s="71">
        <v>24741.26</v>
      </c>
      <c r="F67" s="71">
        <f>0</f>
        <v>0</v>
      </c>
      <c r="G67" s="71">
        <f>0</f>
        <v>0</v>
      </c>
      <c r="H67" s="71">
        <f t="shared" si="0"/>
        <v>0</v>
      </c>
      <c r="I67" s="12"/>
    </row>
    <row r="68" spans="1:9" ht="20.149999999999999" customHeight="1">
      <c r="A68" s="9">
        <v>5</v>
      </c>
      <c r="B68" s="13" t="s">
        <v>330</v>
      </c>
      <c r="C68" s="16" t="s">
        <v>256</v>
      </c>
      <c r="D68" s="14" t="s">
        <v>257</v>
      </c>
      <c r="E68" s="71">
        <v>27611.23</v>
      </c>
      <c r="F68" s="71"/>
      <c r="G68" s="71"/>
      <c r="H68" s="71">
        <f t="shared" si="0"/>
        <v>0</v>
      </c>
      <c r="I68" s="12"/>
    </row>
    <row r="69" spans="1:9" ht="20.149999999999999" customHeight="1">
      <c r="A69" s="9">
        <v>6</v>
      </c>
      <c r="B69" s="10" t="s">
        <v>331</v>
      </c>
      <c r="C69" s="3" t="s">
        <v>63</v>
      </c>
      <c r="D69" s="9" t="s">
        <v>1132</v>
      </c>
      <c r="E69" s="71">
        <f>20769.92</f>
        <v>20769.919999999998</v>
      </c>
      <c r="F69" s="71"/>
      <c r="G69" s="71"/>
      <c r="H69" s="71">
        <f t="shared" si="0"/>
        <v>0</v>
      </c>
      <c r="I69" s="12"/>
    </row>
    <row r="70" spans="1:9" ht="20.149999999999999" customHeight="1">
      <c r="A70" s="9">
        <v>7</v>
      </c>
      <c r="B70" s="10" t="s">
        <v>1033</v>
      </c>
      <c r="C70" s="16" t="s">
        <v>275</v>
      </c>
      <c r="D70" s="14" t="s">
        <v>271</v>
      </c>
      <c r="E70" s="71">
        <f>22837.82</f>
        <v>22837.82</v>
      </c>
      <c r="F70" s="71">
        <f>0.025*E70</f>
        <v>570.94550000000004</v>
      </c>
      <c r="G70" s="71">
        <f>'[12]April 2022'!$H$41</f>
        <v>538.02200000000005</v>
      </c>
      <c r="H70" s="71">
        <f t="shared" si="0"/>
        <v>32.923499999999997</v>
      </c>
      <c r="I70" s="12"/>
    </row>
    <row r="71" spans="1:9" ht="20.149999999999999" customHeight="1">
      <c r="A71" s="9">
        <v>8</v>
      </c>
      <c r="B71" s="10" t="s">
        <v>333</v>
      </c>
      <c r="C71" s="16" t="s">
        <v>275</v>
      </c>
      <c r="D71" s="14" t="s">
        <v>42</v>
      </c>
      <c r="E71" s="203">
        <v>20749</v>
      </c>
      <c r="F71" s="71"/>
      <c r="G71" s="71"/>
      <c r="H71" s="71">
        <f t="shared" si="0"/>
        <v>0</v>
      </c>
      <c r="I71" s="12"/>
    </row>
    <row r="72" spans="1:9" ht="20.149999999999999" customHeight="1">
      <c r="A72" s="9">
        <v>9</v>
      </c>
      <c r="B72" s="10" t="s">
        <v>334</v>
      </c>
      <c r="C72" s="16" t="s">
        <v>275</v>
      </c>
      <c r="D72" s="14" t="s">
        <v>42</v>
      </c>
      <c r="E72" s="203">
        <v>20749</v>
      </c>
      <c r="F72" s="71"/>
      <c r="G72" s="71"/>
      <c r="H72" s="71">
        <f t="shared" ref="H72:H135" si="6">F72-G72</f>
        <v>0</v>
      </c>
      <c r="I72" s="12"/>
    </row>
    <row r="73" spans="1:9" ht="20.149999999999999" customHeight="1">
      <c r="A73" s="9">
        <v>10</v>
      </c>
      <c r="B73" s="10" t="s">
        <v>335</v>
      </c>
      <c r="C73" s="3" t="s">
        <v>336</v>
      </c>
      <c r="D73" s="9" t="s">
        <v>332</v>
      </c>
      <c r="E73" s="71">
        <v>21520.880000000001</v>
      </c>
      <c r="F73" s="71"/>
      <c r="G73" s="71"/>
      <c r="H73" s="71">
        <f t="shared" si="6"/>
        <v>0</v>
      </c>
      <c r="I73" s="12"/>
    </row>
    <row r="74" spans="1:9" ht="20.149999999999999" customHeight="1">
      <c r="A74" s="9">
        <v>11</v>
      </c>
      <c r="B74" s="10" t="s">
        <v>1115</v>
      </c>
      <c r="C74" s="16" t="s">
        <v>63</v>
      </c>
      <c r="D74" s="9" t="s">
        <v>301</v>
      </c>
      <c r="E74" s="71">
        <v>17784.099999999999</v>
      </c>
      <c r="F74" s="71"/>
      <c r="G74" s="71"/>
      <c r="H74" s="71">
        <f t="shared" si="6"/>
        <v>0</v>
      </c>
      <c r="I74" s="12"/>
    </row>
    <row r="75" spans="1:9" ht="20.149999999999999" customHeight="1">
      <c r="A75" s="9">
        <v>12</v>
      </c>
      <c r="B75" s="10" t="s">
        <v>281</v>
      </c>
      <c r="C75" s="16" t="s">
        <v>273</v>
      </c>
      <c r="D75" s="9" t="s">
        <v>283</v>
      </c>
      <c r="E75" s="71">
        <f>15188.67</f>
        <v>15188.67</v>
      </c>
      <c r="F75" s="71"/>
      <c r="G75" s="71"/>
      <c r="H75" s="71">
        <f t="shared" si="6"/>
        <v>0</v>
      </c>
      <c r="I75" s="12"/>
    </row>
    <row r="76" spans="1:9" ht="20.149999999999999" customHeight="1">
      <c r="A76" s="9">
        <v>13</v>
      </c>
      <c r="B76" s="13" t="s">
        <v>272</v>
      </c>
      <c r="C76" s="16" t="s">
        <v>273</v>
      </c>
      <c r="D76" s="9" t="s">
        <v>294</v>
      </c>
      <c r="E76" s="71">
        <f>12732</f>
        <v>12732</v>
      </c>
      <c r="F76" s="71"/>
      <c r="G76" s="71"/>
      <c r="H76" s="71">
        <f t="shared" si="6"/>
        <v>0</v>
      </c>
      <c r="I76" s="12"/>
    </row>
    <row r="77" spans="1:9" ht="20.149999999999999" customHeight="1">
      <c r="A77" s="9"/>
      <c r="B77" s="19" t="s">
        <v>34</v>
      </c>
      <c r="C77" s="20">
        <v>13</v>
      </c>
      <c r="D77" s="20"/>
      <c r="E77" s="79">
        <f>SUM(E64:E76)</f>
        <v>342966.19</v>
      </c>
      <c r="F77" s="79">
        <f t="shared" ref="F77:G77" si="7">SUM(F64:F76)</f>
        <v>570.94550000000004</v>
      </c>
      <c r="G77" s="79">
        <f t="shared" si="7"/>
        <v>538.02200000000005</v>
      </c>
      <c r="H77" s="71">
        <f t="shared" si="6"/>
        <v>32.923499999999997</v>
      </c>
      <c r="I77" s="12"/>
    </row>
    <row r="78" spans="1:9" ht="20.149999999999999" customHeight="1">
      <c r="A78" s="9"/>
      <c r="B78" s="21"/>
      <c r="C78" s="20"/>
      <c r="D78" s="20"/>
      <c r="E78" s="133"/>
      <c r="F78" s="133"/>
      <c r="G78" s="133"/>
      <c r="H78" s="71">
        <f t="shared" si="6"/>
        <v>0</v>
      </c>
      <c r="I78" s="12"/>
    </row>
    <row r="79" spans="1:9" ht="20.149999999999999" customHeight="1">
      <c r="A79" s="9"/>
      <c r="B79" s="19" t="s">
        <v>51</v>
      </c>
      <c r="C79" s="20"/>
      <c r="D79" s="20"/>
      <c r="E79" s="133"/>
      <c r="F79" s="133"/>
      <c r="G79" s="133"/>
      <c r="H79" s="71">
        <f t="shared" si="6"/>
        <v>0</v>
      </c>
      <c r="I79" s="12"/>
    </row>
    <row r="80" spans="1:9" ht="20.149999999999999" customHeight="1">
      <c r="A80" s="9">
        <v>1</v>
      </c>
      <c r="B80" s="10" t="s">
        <v>338</v>
      </c>
      <c r="C80" s="3" t="s">
        <v>339</v>
      </c>
      <c r="D80" s="9" t="s">
        <v>297</v>
      </c>
      <c r="E80" s="71">
        <v>81740.02</v>
      </c>
      <c r="F80" s="71">
        <v>0</v>
      </c>
      <c r="G80" s="71">
        <v>0</v>
      </c>
      <c r="H80" s="71">
        <f t="shared" si="6"/>
        <v>0</v>
      </c>
      <c r="I80" s="12"/>
    </row>
    <row r="81" spans="1:9" ht="20.149999999999999" customHeight="1">
      <c r="A81" s="9">
        <v>2</v>
      </c>
      <c r="B81" s="13" t="s">
        <v>220</v>
      </c>
      <c r="C81" s="3" t="s">
        <v>221</v>
      </c>
      <c r="D81" s="14" t="s">
        <v>952</v>
      </c>
      <c r="E81" s="203">
        <v>31018.84</v>
      </c>
      <c r="F81" s="71">
        <v>0</v>
      </c>
      <c r="G81" s="71">
        <v>0</v>
      </c>
      <c r="H81" s="71">
        <f t="shared" si="6"/>
        <v>0</v>
      </c>
      <c r="I81" s="12"/>
    </row>
    <row r="82" spans="1:9" ht="20.149999999999999" customHeight="1">
      <c r="A82" s="9">
        <v>3</v>
      </c>
      <c r="B82" s="13" t="s">
        <v>1116</v>
      </c>
      <c r="C82" s="3" t="s">
        <v>1117</v>
      </c>
      <c r="D82" s="14" t="s">
        <v>952</v>
      </c>
      <c r="E82" s="203">
        <v>31018.84</v>
      </c>
      <c r="F82" s="71">
        <v>0</v>
      </c>
      <c r="G82" s="71">
        <v>0</v>
      </c>
      <c r="H82" s="71">
        <f t="shared" si="6"/>
        <v>0</v>
      </c>
      <c r="I82" s="12"/>
    </row>
    <row r="83" spans="1:9" ht="20.149999999999999" customHeight="1">
      <c r="A83" s="9">
        <v>4</v>
      </c>
      <c r="B83" s="10" t="s">
        <v>340</v>
      </c>
      <c r="C83" s="3" t="s">
        <v>968</v>
      </c>
      <c r="D83" s="14" t="s">
        <v>266</v>
      </c>
      <c r="E83" s="71">
        <v>25523.45</v>
      </c>
      <c r="F83" s="71">
        <f>0.025*E83</f>
        <v>638.08624999999995</v>
      </c>
      <c r="G83" s="71">
        <f>'[12]April 2022'!$H$38</f>
        <v>618.53150000000005</v>
      </c>
      <c r="H83" s="71">
        <f t="shared" si="6"/>
        <v>19.554749999999999</v>
      </c>
      <c r="I83" s="12"/>
    </row>
    <row r="84" spans="1:9" ht="20.149999999999999" customHeight="1">
      <c r="A84" s="9">
        <v>5</v>
      </c>
      <c r="B84" s="10" t="s">
        <v>343</v>
      </c>
      <c r="C84" s="3" t="s">
        <v>344</v>
      </c>
      <c r="D84" s="9" t="s">
        <v>301</v>
      </c>
      <c r="E84" s="71">
        <v>17784.099999999999</v>
      </c>
      <c r="F84" s="71"/>
      <c r="G84" s="71"/>
      <c r="H84" s="71">
        <f t="shared" si="6"/>
        <v>0</v>
      </c>
      <c r="I84" s="12"/>
    </row>
    <row r="85" spans="1:9" ht="20.149999999999999" customHeight="1">
      <c r="A85" s="9"/>
      <c r="B85" s="19" t="s">
        <v>34</v>
      </c>
      <c r="C85" s="20">
        <v>5</v>
      </c>
      <c r="D85" s="20"/>
      <c r="E85" s="79">
        <f>SUM(E80:E84)</f>
        <v>187085.25</v>
      </c>
      <c r="F85" s="79">
        <f t="shared" ref="F85:G85" si="8">SUM(F80:F84)</f>
        <v>638.08624999999995</v>
      </c>
      <c r="G85" s="79">
        <f t="shared" si="8"/>
        <v>618.53150000000005</v>
      </c>
      <c r="H85" s="71">
        <f t="shared" si="6"/>
        <v>19.554749999999999</v>
      </c>
      <c r="I85" s="12"/>
    </row>
    <row r="86" spans="1:9" ht="20.149999999999999" customHeight="1">
      <c r="A86" s="9"/>
      <c r="B86" s="19"/>
      <c r="C86" s="20"/>
      <c r="D86" s="20"/>
      <c r="E86" s="133"/>
      <c r="F86" s="133"/>
      <c r="G86" s="133"/>
      <c r="H86" s="71">
        <f t="shared" si="6"/>
        <v>0</v>
      </c>
      <c r="I86" s="12"/>
    </row>
    <row r="87" spans="1:9" ht="20.149999999999999" customHeight="1">
      <c r="A87" s="9"/>
      <c r="B87" s="19" t="s">
        <v>56</v>
      </c>
      <c r="C87" s="24"/>
      <c r="D87" s="20"/>
      <c r="E87" s="133"/>
      <c r="F87" s="133"/>
      <c r="G87" s="133"/>
      <c r="H87" s="71">
        <f t="shared" si="6"/>
        <v>0</v>
      </c>
      <c r="I87" s="12"/>
    </row>
    <row r="88" spans="1:9" ht="23.25" customHeight="1">
      <c r="A88" s="9">
        <v>1</v>
      </c>
      <c r="B88" s="10" t="s">
        <v>1133</v>
      </c>
      <c r="C88" s="3" t="s">
        <v>1134</v>
      </c>
      <c r="D88" s="9" t="s">
        <v>231</v>
      </c>
      <c r="E88" s="71">
        <v>42653.17</v>
      </c>
      <c r="F88" s="71"/>
      <c r="G88" s="71"/>
      <c r="H88" s="71">
        <f t="shared" si="6"/>
        <v>0</v>
      </c>
      <c r="I88" s="12"/>
    </row>
    <row r="89" spans="1:9" ht="20.149999999999999" customHeight="1">
      <c r="A89" s="9">
        <v>2</v>
      </c>
      <c r="B89" s="10" t="s">
        <v>349</v>
      </c>
      <c r="C89" s="3" t="s">
        <v>310</v>
      </c>
      <c r="D89" s="9" t="s">
        <v>249</v>
      </c>
      <c r="E89" s="71">
        <v>33507.5</v>
      </c>
      <c r="F89" s="71"/>
      <c r="G89" s="71"/>
      <c r="H89" s="71">
        <f t="shared" si="6"/>
        <v>0</v>
      </c>
      <c r="I89" s="12"/>
    </row>
    <row r="90" spans="1:9" ht="20.149999999999999" customHeight="1">
      <c r="A90" s="9">
        <v>3</v>
      </c>
      <c r="B90" s="10" t="s">
        <v>350</v>
      </c>
      <c r="C90" s="3" t="s">
        <v>310</v>
      </c>
      <c r="D90" s="9" t="s">
        <v>249</v>
      </c>
      <c r="E90" s="71">
        <v>33507.5</v>
      </c>
      <c r="F90" s="71">
        <f>0.025*E90</f>
        <v>837.6875</v>
      </c>
      <c r="G90" s="71">
        <f>'[12]April 2022'!$H$37</f>
        <v>837.6875</v>
      </c>
      <c r="H90" s="71">
        <f t="shared" si="6"/>
        <v>0</v>
      </c>
      <c r="I90" s="12"/>
    </row>
    <row r="91" spans="1:9" ht="20.149999999999999" customHeight="1">
      <c r="A91" s="9">
        <v>4</v>
      </c>
      <c r="B91" s="13" t="s">
        <v>386</v>
      </c>
      <c r="C91" s="3" t="s">
        <v>256</v>
      </c>
      <c r="D91" s="9" t="s">
        <v>254</v>
      </c>
      <c r="E91" s="71">
        <f>28489.81</f>
        <v>28489.81</v>
      </c>
      <c r="F91" s="71">
        <f>0.025*E91</f>
        <v>712.24525000000006</v>
      </c>
      <c r="G91" s="71">
        <f>'[12]April 2022'!$H$44</f>
        <v>690.28075000000001</v>
      </c>
      <c r="H91" s="71">
        <f t="shared" si="6"/>
        <v>21.964500000000001</v>
      </c>
      <c r="I91" s="12"/>
    </row>
    <row r="92" spans="1:9" ht="20.149999999999999" customHeight="1">
      <c r="A92" s="9">
        <v>5</v>
      </c>
      <c r="B92" s="10" t="s">
        <v>351</v>
      </c>
      <c r="C92" s="3" t="s">
        <v>259</v>
      </c>
      <c r="D92" s="9" t="s">
        <v>257</v>
      </c>
      <c r="E92" s="71">
        <v>27611.23</v>
      </c>
      <c r="F92" s="71"/>
      <c r="G92" s="71"/>
      <c r="H92" s="71">
        <f t="shared" si="6"/>
        <v>0</v>
      </c>
      <c r="I92" s="12"/>
    </row>
    <row r="93" spans="1:9" ht="21.65" customHeight="1">
      <c r="A93" s="9">
        <v>6</v>
      </c>
      <c r="B93" s="10" t="s">
        <v>352</v>
      </c>
      <c r="C93" s="3" t="s">
        <v>353</v>
      </c>
      <c r="D93" s="14" t="s">
        <v>266</v>
      </c>
      <c r="E93" s="71">
        <v>25523.45</v>
      </c>
      <c r="F93" s="71"/>
      <c r="G93" s="71"/>
      <c r="H93" s="71">
        <f t="shared" si="6"/>
        <v>0</v>
      </c>
      <c r="I93" s="12"/>
    </row>
    <row r="94" spans="1:9" ht="21.65" customHeight="1">
      <c r="A94" s="9">
        <v>7</v>
      </c>
      <c r="B94" s="10" t="s">
        <v>354</v>
      </c>
      <c r="C94" s="11" t="s">
        <v>47</v>
      </c>
      <c r="D94" s="14" t="s">
        <v>950</v>
      </c>
      <c r="E94" s="71">
        <v>24741.26</v>
      </c>
      <c r="F94" s="71"/>
      <c r="G94" s="71"/>
      <c r="H94" s="71">
        <f t="shared" si="6"/>
        <v>0</v>
      </c>
      <c r="I94" s="12"/>
    </row>
    <row r="95" spans="1:9" ht="21.65" customHeight="1">
      <c r="A95" s="9">
        <v>8</v>
      </c>
      <c r="B95" s="10" t="s">
        <v>355</v>
      </c>
      <c r="C95" s="11" t="s">
        <v>47</v>
      </c>
      <c r="D95" s="14" t="s">
        <v>950</v>
      </c>
      <c r="E95" s="71">
        <v>24741.26</v>
      </c>
      <c r="F95" s="71"/>
      <c r="G95" s="71"/>
      <c r="H95" s="71">
        <f t="shared" si="6"/>
        <v>0</v>
      </c>
      <c r="I95" s="12"/>
    </row>
    <row r="96" spans="1:9" ht="21.65" customHeight="1">
      <c r="A96" s="9">
        <v>9</v>
      </c>
      <c r="B96" s="10" t="s">
        <v>357</v>
      </c>
      <c r="C96" s="16" t="s">
        <v>275</v>
      </c>
      <c r="D96" s="14" t="s">
        <v>42</v>
      </c>
      <c r="E96" s="203">
        <f>20749</f>
        <v>20749</v>
      </c>
      <c r="F96" s="71"/>
      <c r="G96" s="71"/>
      <c r="H96" s="71">
        <f t="shared" si="6"/>
        <v>0</v>
      </c>
      <c r="I96" s="12"/>
    </row>
    <row r="97" spans="1:9" ht="21.65" customHeight="1">
      <c r="A97" s="9">
        <v>10</v>
      </c>
      <c r="B97" s="10" t="s">
        <v>359</v>
      </c>
      <c r="C97" s="3" t="s">
        <v>360</v>
      </c>
      <c r="D97" s="9" t="s">
        <v>38</v>
      </c>
      <c r="E97" s="203">
        <v>0</v>
      </c>
      <c r="F97" s="71"/>
      <c r="G97" s="71"/>
      <c r="H97" s="71">
        <f t="shared" si="6"/>
        <v>0</v>
      </c>
      <c r="I97" s="12"/>
    </row>
    <row r="98" spans="1:9" ht="21.65" customHeight="1">
      <c r="A98" s="9">
        <v>11</v>
      </c>
      <c r="B98" s="10" t="s">
        <v>361</v>
      </c>
      <c r="C98" s="16" t="s">
        <v>362</v>
      </c>
      <c r="D98" s="14" t="s">
        <v>294</v>
      </c>
      <c r="E98" s="71">
        <f>12732</f>
        <v>12732</v>
      </c>
      <c r="F98" s="71">
        <v>0</v>
      </c>
      <c r="G98" s="71">
        <v>0</v>
      </c>
      <c r="H98" s="71">
        <f t="shared" si="6"/>
        <v>0</v>
      </c>
      <c r="I98" s="12"/>
    </row>
    <row r="99" spans="1:9" ht="20.149999999999999" customHeight="1">
      <c r="A99" s="9"/>
      <c r="B99" s="19" t="s">
        <v>34</v>
      </c>
      <c r="C99" s="20">
        <v>11</v>
      </c>
      <c r="D99" s="20"/>
      <c r="E99" s="79">
        <f t="shared" ref="E99:G99" si="9">SUM(E88:E98)</f>
        <v>274256.18</v>
      </c>
      <c r="F99" s="79">
        <f t="shared" si="9"/>
        <v>1549.9327499999999</v>
      </c>
      <c r="G99" s="79">
        <f t="shared" si="9"/>
        <v>1527.9682499999999</v>
      </c>
      <c r="H99" s="71">
        <f t="shared" si="6"/>
        <v>21.964500000000001</v>
      </c>
      <c r="I99" s="12"/>
    </row>
    <row r="100" spans="1:9" ht="20.149999999999999" customHeight="1">
      <c r="A100" s="9"/>
      <c r="B100" s="21"/>
      <c r="C100" s="20"/>
      <c r="D100" s="20"/>
      <c r="E100" s="133"/>
      <c r="F100" s="133"/>
      <c r="G100" s="133"/>
      <c r="H100" s="71">
        <f t="shared" si="6"/>
        <v>0</v>
      </c>
      <c r="I100" s="12"/>
    </row>
    <row r="101" spans="1:9" ht="20.149999999999999" customHeight="1">
      <c r="A101" s="9"/>
      <c r="B101" s="19" t="s">
        <v>58</v>
      </c>
      <c r="C101" s="20"/>
      <c r="D101" s="20"/>
      <c r="E101" s="133"/>
      <c r="F101" s="133"/>
      <c r="G101" s="133"/>
      <c r="H101" s="71">
        <f t="shared" si="6"/>
        <v>0</v>
      </c>
      <c r="I101" s="12"/>
    </row>
    <row r="102" spans="1:9" ht="20.149999999999999" customHeight="1">
      <c r="A102" s="9">
        <v>1</v>
      </c>
      <c r="B102" s="17" t="s">
        <v>232</v>
      </c>
      <c r="C102" s="9" t="s">
        <v>233</v>
      </c>
      <c r="D102" s="14" t="s">
        <v>308</v>
      </c>
      <c r="E102" s="203">
        <v>41157.69</v>
      </c>
      <c r="F102" s="71"/>
      <c r="G102" s="71"/>
      <c r="H102" s="71">
        <f t="shared" si="6"/>
        <v>0</v>
      </c>
      <c r="I102" s="12"/>
    </row>
    <row r="103" spans="1:9" ht="20.149999999999999" customHeight="1">
      <c r="A103" s="9">
        <v>2</v>
      </c>
      <c r="B103" s="10" t="s">
        <v>250</v>
      </c>
      <c r="C103" s="3" t="s">
        <v>367</v>
      </c>
      <c r="D103" s="9" t="s">
        <v>257</v>
      </c>
      <c r="E103" s="71">
        <v>27611.23</v>
      </c>
      <c r="F103" s="71">
        <f>0.025*E103</f>
        <v>690.28075000000001</v>
      </c>
      <c r="G103" s="71">
        <f>'[12]April 2022'!$H$54</f>
        <v>668.31624999999997</v>
      </c>
      <c r="H103" s="71">
        <f t="shared" si="6"/>
        <v>21.964499999999902</v>
      </c>
      <c r="I103" s="12"/>
    </row>
    <row r="104" spans="1:9" ht="20.149999999999999" customHeight="1">
      <c r="A104" s="9">
        <v>3</v>
      </c>
      <c r="B104" s="17" t="s">
        <v>1135</v>
      </c>
      <c r="C104" s="3" t="s">
        <v>1136</v>
      </c>
      <c r="D104" s="14" t="s">
        <v>950</v>
      </c>
      <c r="E104" s="71">
        <v>24741.26</v>
      </c>
      <c r="F104" s="71"/>
      <c r="G104" s="71"/>
      <c r="H104" s="71">
        <f t="shared" si="6"/>
        <v>0</v>
      </c>
      <c r="I104" s="12"/>
    </row>
    <row r="105" spans="1:9" ht="20.149999999999999" customHeight="1">
      <c r="A105" s="9">
        <v>4</v>
      </c>
      <c r="B105" s="10" t="s">
        <v>368</v>
      </c>
      <c r="C105" s="3" t="s">
        <v>369</v>
      </c>
      <c r="D105" s="14" t="s">
        <v>332</v>
      </c>
      <c r="E105" s="71">
        <v>21520.880000000001</v>
      </c>
      <c r="F105" s="71"/>
      <c r="G105" s="71"/>
      <c r="H105" s="71">
        <f t="shared" si="6"/>
        <v>0</v>
      </c>
      <c r="I105" s="12"/>
    </row>
    <row r="106" spans="1:9" ht="20.149999999999999" customHeight="1">
      <c r="A106" s="3"/>
      <c r="B106" s="19" t="s">
        <v>34</v>
      </c>
      <c r="C106" s="20">
        <v>4</v>
      </c>
      <c r="D106" s="25"/>
      <c r="E106" s="79">
        <f>SUM(E102:E105)</f>
        <v>115031.06</v>
      </c>
      <c r="F106" s="79">
        <f t="shared" ref="F106:G106" si="10">SUM(F102:F105)</f>
        <v>690.28075000000001</v>
      </c>
      <c r="G106" s="79">
        <f t="shared" si="10"/>
        <v>668.31624999999997</v>
      </c>
      <c r="H106" s="71">
        <f t="shared" si="6"/>
        <v>21.964499999999902</v>
      </c>
      <c r="I106" s="12"/>
    </row>
    <row r="107" spans="1:9" ht="20.149999999999999" customHeight="1">
      <c r="A107" s="3"/>
      <c r="B107" s="21"/>
      <c r="C107" s="20"/>
      <c r="D107" s="25"/>
      <c r="E107" s="133"/>
      <c r="F107" s="133"/>
      <c r="G107" s="133"/>
      <c r="H107" s="71">
        <f t="shared" si="6"/>
        <v>0</v>
      </c>
      <c r="I107" s="12"/>
    </row>
    <row r="108" spans="1:9" ht="20.149999999999999" customHeight="1">
      <c r="A108" s="3"/>
      <c r="B108" s="19" t="s">
        <v>372</v>
      </c>
      <c r="C108" s="3"/>
      <c r="D108" s="3"/>
      <c r="E108" s="3"/>
      <c r="F108" s="3"/>
      <c r="G108" s="3"/>
      <c r="H108" s="71">
        <f t="shared" si="6"/>
        <v>0</v>
      </c>
      <c r="I108" s="12"/>
    </row>
    <row r="109" spans="1:9" ht="20.149999999999999" customHeight="1">
      <c r="A109" s="3">
        <v>1</v>
      </c>
      <c r="B109" s="10" t="s">
        <v>373</v>
      </c>
      <c r="C109" s="11" t="s">
        <v>374</v>
      </c>
      <c r="D109" s="14" t="s">
        <v>297</v>
      </c>
      <c r="E109" s="71">
        <v>81740.02</v>
      </c>
      <c r="F109" s="71">
        <v>0</v>
      </c>
      <c r="G109" s="71">
        <v>0</v>
      </c>
      <c r="H109" s="71">
        <f t="shared" si="6"/>
        <v>0</v>
      </c>
      <c r="I109" s="12"/>
    </row>
    <row r="110" spans="1:9" ht="20.149999999999999" customHeight="1">
      <c r="A110" s="3">
        <v>2</v>
      </c>
      <c r="B110" s="10" t="s">
        <v>375</v>
      </c>
      <c r="C110" s="3" t="s">
        <v>376</v>
      </c>
      <c r="D110" s="15" t="s">
        <v>308</v>
      </c>
      <c r="E110" s="71">
        <v>41157.69</v>
      </c>
      <c r="F110" s="71">
        <f>0.025*E110</f>
        <v>1028.9422500000001</v>
      </c>
      <c r="G110" s="71">
        <f>G7</f>
        <v>1028.9422500000001</v>
      </c>
      <c r="H110" s="71">
        <f t="shared" si="6"/>
        <v>0</v>
      </c>
      <c r="I110" s="12"/>
    </row>
    <row r="111" spans="1:9" ht="20.149999999999999" customHeight="1">
      <c r="A111" s="3">
        <v>3</v>
      </c>
      <c r="B111" s="10" t="s">
        <v>377</v>
      </c>
      <c r="C111" s="3" t="s">
        <v>378</v>
      </c>
      <c r="D111" s="9" t="s">
        <v>263</v>
      </c>
      <c r="E111" s="71">
        <v>26339.3</v>
      </c>
      <c r="F111" s="71">
        <f>0.025*E111</f>
        <v>658.48249999999996</v>
      </c>
      <c r="G111" s="71">
        <f>'[12]April 2022'!$H$35</f>
        <v>658.48249999999996</v>
      </c>
      <c r="H111" s="71">
        <f t="shared" si="6"/>
        <v>0</v>
      </c>
      <c r="I111" s="12"/>
    </row>
    <row r="112" spans="1:9" ht="20.149999999999999" customHeight="1">
      <c r="A112" s="3">
        <v>4</v>
      </c>
      <c r="B112" s="10" t="s">
        <v>379</v>
      </c>
      <c r="C112" s="3" t="s">
        <v>378</v>
      </c>
      <c r="D112" s="9" t="s">
        <v>263</v>
      </c>
      <c r="E112" s="71">
        <v>26339.3</v>
      </c>
      <c r="F112" s="71"/>
      <c r="G112" s="71"/>
      <c r="H112" s="71">
        <f t="shared" si="6"/>
        <v>0</v>
      </c>
      <c r="I112" s="12"/>
    </row>
    <row r="113" spans="1:9" ht="20.149999999999999" customHeight="1">
      <c r="A113" s="3">
        <v>5</v>
      </c>
      <c r="B113" s="10" t="s">
        <v>380</v>
      </c>
      <c r="C113" s="3" t="s">
        <v>381</v>
      </c>
      <c r="D113" s="14" t="s">
        <v>384</v>
      </c>
      <c r="E113" s="201">
        <f>13872.4</f>
        <v>13872.4</v>
      </c>
      <c r="F113" s="71"/>
      <c r="G113" s="71"/>
      <c r="H113" s="71">
        <f t="shared" si="6"/>
        <v>0</v>
      </c>
      <c r="I113" s="12"/>
    </row>
    <row r="114" spans="1:9" ht="20.149999999999999" customHeight="1">
      <c r="A114" s="3">
        <v>6</v>
      </c>
      <c r="B114" s="17" t="s">
        <v>383</v>
      </c>
      <c r="C114" s="3" t="s">
        <v>381</v>
      </c>
      <c r="D114" s="9" t="s">
        <v>945</v>
      </c>
      <c r="E114" s="71">
        <v>13492.21</v>
      </c>
      <c r="F114" s="71"/>
      <c r="G114" s="71"/>
      <c r="H114" s="71">
        <f t="shared" si="6"/>
        <v>0</v>
      </c>
      <c r="I114" s="12"/>
    </row>
    <row r="115" spans="1:9" ht="20.149999999999999" customHeight="1">
      <c r="A115" s="3">
        <v>7</v>
      </c>
      <c r="B115" s="17" t="s">
        <v>385</v>
      </c>
      <c r="C115" s="3" t="s">
        <v>381</v>
      </c>
      <c r="D115" s="14" t="s">
        <v>294</v>
      </c>
      <c r="E115" s="201">
        <f>12732</f>
        <v>12732</v>
      </c>
      <c r="F115" s="71"/>
      <c r="G115" s="71"/>
      <c r="H115" s="71">
        <f t="shared" si="6"/>
        <v>0</v>
      </c>
      <c r="I115" s="12"/>
    </row>
    <row r="116" spans="1:9" ht="20.149999999999999" customHeight="1">
      <c r="A116" s="3"/>
      <c r="B116" s="19" t="s">
        <v>34</v>
      </c>
      <c r="C116" s="20">
        <v>7</v>
      </c>
      <c r="D116" s="3"/>
      <c r="E116" s="204">
        <f>SUM(E109:E115)</f>
        <v>215672.92</v>
      </c>
      <c r="F116" s="204">
        <f t="shared" ref="F116:G116" si="11">SUM(F109:F115)</f>
        <v>1687.4247499999999</v>
      </c>
      <c r="G116" s="204">
        <f t="shared" si="11"/>
        <v>1687.4247499999999</v>
      </c>
      <c r="H116" s="71">
        <f t="shared" si="6"/>
        <v>0</v>
      </c>
      <c r="I116" s="12"/>
    </row>
    <row r="117" spans="1:9" ht="20.149999999999999" customHeight="1">
      <c r="A117" s="3"/>
      <c r="B117" s="21"/>
      <c r="C117" s="9"/>
      <c r="D117" s="3"/>
      <c r="E117" s="205"/>
      <c r="F117" s="205"/>
      <c r="G117" s="205"/>
      <c r="H117" s="71">
        <f t="shared" si="6"/>
        <v>0</v>
      </c>
      <c r="I117" s="12"/>
    </row>
    <row r="118" spans="1:9" ht="20.149999999999999" customHeight="1">
      <c r="A118" s="3"/>
      <c r="B118" s="19" t="s">
        <v>67</v>
      </c>
      <c r="C118" s="20"/>
      <c r="D118" s="20"/>
      <c r="E118" s="133"/>
      <c r="F118" s="133"/>
      <c r="G118" s="133"/>
      <c r="H118" s="71">
        <f t="shared" si="6"/>
        <v>0</v>
      </c>
      <c r="I118" s="12"/>
    </row>
    <row r="119" spans="1:9" ht="20.149999999999999" customHeight="1">
      <c r="A119" s="3">
        <v>1</v>
      </c>
      <c r="B119" s="10" t="s">
        <v>392</v>
      </c>
      <c r="C119" s="11" t="s">
        <v>393</v>
      </c>
      <c r="D119" s="14" t="s">
        <v>297</v>
      </c>
      <c r="E119" s="71">
        <v>81740.02</v>
      </c>
      <c r="F119" s="71">
        <f>0.025*E119</f>
        <v>2043.5005000000001</v>
      </c>
      <c r="G119" s="71">
        <f>'[12]April 2022'!$H$21</f>
        <v>2043.5005000000001</v>
      </c>
      <c r="H119" s="71">
        <f t="shared" si="6"/>
        <v>0</v>
      </c>
      <c r="I119" s="12"/>
    </row>
    <row r="120" spans="1:9" ht="20.149999999999999" customHeight="1">
      <c r="A120" s="3" t="s">
        <v>1137</v>
      </c>
      <c r="B120" s="10" t="s">
        <v>1138</v>
      </c>
      <c r="C120" s="11" t="s">
        <v>1139</v>
      </c>
      <c r="D120" s="14" t="s">
        <v>231</v>
      </c>
      <c r="E120" s="71">
        <v>42653.17</v>
      </c>
      <c r="F120" s="71"/>
      <c r="G120" s="71"/>
      <c r="H120" s="71">
        <f t="shared" si="6"/>
        <v>0</v>
      </c>
      <c r="I120" s="12"/>
    </row>
    <row r="121" spans="1:9" ht="20.149999999999999" customHeight="1">
      <c r="A121" s="3">
        <v>3</v>
      </c>
      <c r="B121" s="10" t="s">
        <v>130</v>
      </c>
      <c r="C121" s="11" t="s">
        <v>227</v>
      </c>
      <c r="D121" s="14" t="s">
        <v>249</v>
      </c>
      <c r="E121" s="71">
        <v>33507.5</v>
      </c>
      <c r="F121" s="71">
        <f>0.025*E121</f>
        <v>837.6875</v>
      </c>
      <c r="G121" s="71">
        <f>'[12]April 2022'!$H$20</f>
        <v>837.6875</v>
      </c>
      <c r="H121" s="71">
        <f t="shared" si="6"/>
        <v>0</v>
      </c>
      <c r="I121" s="12"/>
    </row>
    <row r="122" spans="1:9" ht="20.149999999999999" customHeight="1">
      <c r="A122" s="3">
        <v>4</v>
      </c>
      <c r="B122" s="13" t="s">
        <v>395</v>
      </c>
      <c r="C122" s="11" t="s">
        <v>227</v>
      </c>
      <c r="D122" s="14" t="s">
        <v>249</v>
      </c>
      <c r="E122" s="71">
        <v>33507.5</v>
      </c>
      <c r="F122" s="71">
        <f>0.025*E122</f>
        <v>837.6875</v>
      </c>
      <c r="G122" s="71">
        <f>'[12]April 2022'!$H$22</f>
        <v>837.6875</v>
      </c>
      <c r="H122" s="71">
        <f t="shared" si="6"/>
        <v>0</v>
      </c>
      <c r="I122" s="12"/>
    </row>
    <row r="123" spans="1:9" ht="20.149999999999999" customHeight="1">
      <c r="A123" s="3">
        <v>5</v>
      </c>
      <c r="B123" s="13" t="s">
        <v>226</v>
      </c>
      <c r="C123" s="11" t="s">
        <v>227</v>
      </c>
      <c r="D123" s="14" t="s">
        <v>228</v>
      </c>
      <c r="E123" s="203">
        <v>31018.84</v>
      </c>
      <c r="F123" s="71"/>
      <c r="G123" s="71"/>
      <c r="H123" s="71">
        <f t="shared" si="6"/>
        <v>0</v>
      </c>
      <c r="I123" s="12"/>
    </row>
    <row r="124" spans="1:9" ht="20.149999999999999" customHeight="1">
      <c r="A124" s="3">
        <v>6</v>
      </c>
      <c r="B124" s="10" t="s">
        <v>396</v>
      </c>
      <c r="C124" s="11" t="s">
        <v>397</v>
      </c>
      <c r="D124" s="14" t="s">
        <v>342</v>
      </c>
      <c r="E124" s="71">
        <v>26732.65</v>
      </c>
      <c r="F124" s="71"/>
      <c r="G124" s="71"/>
      <c r="H124" s="71">
        <f t="shared" si="6"/>
        <v>0</v>
      </c>
      <c r="I124" s="12"/>
    </row>
    <row r="125" spans="1:9" ht="20.149999999999999" customHeight="1">
      <c r="A125" s="3">
        <v>7</v>
      </c>
      <c r="B125" s="10" t="s">
        <v>398</v>
      </c>
      <c r="C125" s="11" t="s">
        <v>399</v>
      </c>
      <c r="D125" s="14" t="s">
        <v>266</v>
      </c>
      <c r="E125" s="71">
        <v>25523.45</v>
      </c>
      <c r="F125" s="71">
        <f>0.025*E125</f>
        <v>638.08624999999995</v>
      </c>
      <c r="G125" s="71">
        <f>'[12]April 2022'!$H$48</f>
        <v>618.53150000000005</v>
      </c>
      <c r="H125" s="71">
        <f t="shared" si="6"/>
        <v>19.554749999999999</v>
      </c>
      <c r="I125" s="12"/>
    </row>
    <row r="126" spans="1:9" ht="20.149999999999999" customHeight="1">
      <c r="A126" s="3">
        <v>8</v>
      </c>
      <c r="B126" s="10" t="s">
        <v>400</v>
      </c>
      <c r="C126" s="11" t="s">
        <v>970</v>
      </c>
      <c r="D126" s="14" t="s">
        <v>266</v>
      </c>
      <c r="E126" s="71">
        <v>25523.45</v>
      </c>
      <c r="F126" s="71">
        <f>0.025*E126</f>
        <v>638.08624999999995</v>
      </c>
      <c r="G126" s="71">
        <f>'[12]April 2022'!$H$24</f>
        <v>618.53150000000005</v>
      </c>
      <c r="H126" s="71">
        <f t="shared" si="6"/>
        <v>19.554749999999999</v>
      </c>
      <c r="I126" s="12"/>
    </row>
    <row r="127" spans="1:9" ht="20.149999999999999" customHeight="1">
      <c r="A127" s="3">
        <v>9</v>
      </c>
      <c r="B127" s="17" t="s">
        <v>1140</v>
      </c>
      <c r="C127" s="11" t="s">
        <v>1141</v>
      </c>
      <c r="D127" s="14" t="s">
        <v>269</v>
      </c>
      <c r="E127" s="71">
        <v>24741.26</v>
      </c>
      <c r="F127" s="71"/>
      <c r="G127" s="71"/>
      <c r="H127" s="71">
        <f t="shared" si="6"/>
        <v>0</v>
      </c>
      <c r="I127" s="12"/>
    </row>
    <row r="128" spans="1:9" ht="20.149999999999999" customHeight="1">
      <c r="A128" s="3">
        <v>10</v>
      </c>
      <c r="B128" s="10" t="s">
        <v>401</v>
      </c>
      <c r="C128" s="11" t="s">
        <v>402</v>
      </c>
      <c r="D128" s="9" t="s">
        <v>283</v>
      </c>
      <c r="E128" s="71">
        <f>15188.67</f>
        <v>15188.67</v>
      </c>
      <c r="F128" s="71"/>
      <c r="G128" s="71"/>
      <c r="H128" s="71">
        <f t="shared" si="6"/>
        <v>0</v>
      </c>
      <c r="I128" s="12"/>
    </row>
    <row r="129" spans="1:9" ht="20.149999999999999" customHeight="1">
      <c r="A129" s="3">
        <v>11</v>
      </c>
      <c r="B129" s="17" t="s">
        <v>403</v>
      </c>
      <c r="C129" s="11" t="s">
        <v>404</v>
      </c>
      <c r="D129" s="14" t="s">
        <v>294</v>
      </c>
      <c r="E129" s="71">
        <f>12732</f>
        <v>12732</v>
      </c>
      <c r="F129" s="71">
        <f>0</f>
        <v>0</v>
      </c>
      <c r="G129" s="71">
        <f>0</f>
        <v>0</v>
      </c>
      <c r="H129" s="71">
        <f t="shared" si="6"/>
        <v>0</v>
      </c>
      <c r="I129" s="12"/>
    </row>
    <row r="130" spans="1:9" ht="20.149999999999999" customHeight="1">
      <c r="A130" s="3"/>
      <c r="B130" s="19" t="s">
        <v>34</v>
      </c>
      <c r="C130" s="25" t="s">
        <v>1142</v>
      </c>
      <c r="D130" s="14"/>
      <c r="E130" s="133">
        <f t="shared" ref="E130" si="12">SUM(E119:E129)</f>
        <v>352868.51</v>
      </c>
      <c r="F130" s="79">
        <f t="shared" ref="F130:G130" si="13">SUM(F119:F129)</f>
        <v>4995.0479999999998</v>
      </c>
      <c r="G130" s="79">
        <f t="shared" si="13"/>
        <v>4955.9385000000002</v>
      </c>
      <c r="H130" s="133">
        <f t="shared" si="6"/>
        <v>39.109500000000502</v>
      </c>
      <c r="I130" s="12"/>
    </row>
    <row r="131" spans="1:9" ht="20.149999999999999" customHeight="1">
      <c r="A131" s="3"/>
      <c r="B131" s="21"/>
      <c r="C131" s="25"/>
      <c r="D131" s="14"/>
      <c r="E131" s="133"/>
      <c r="F131" s="133"/>
      <c r="G131" s="133"/>
      <c r="H131" s="71">
        <f t="shared" si="6"/>
        <v>0</v>
      </c>
      <c r="I131" s="12"/>
    </row>
    <row r="132" spans="1:9" ht="20.149999999999999" customHeight="1">
      <c r="A132" s="3"/>
      <c r="B132" s="19" t="s">
        <v>71</v>
      </c>
      <c r="C132" s="11"/>
      <c r="D132" s="14"/>
      <c r="E132" s="71"/>
      <c r="F132" s="71"/>
      <c r="G132" s="71"/>
      <c r="H132" s="71">
        <f t="shared" si="6"/>
        <v>0</v>
      </c>
      <c r="I132" s="12"/>
    </row>
    <row r="133" spans="1:9" ht="20.149999999999999" customHeight="1">
      <c r="A133" s="26">
        <v>1</v>
      </c>
      <c r="B133" s="10" t="s">
        <v>407</v>
      </c>
      <c r="C133" s="11" t="s">
        <v>408</v>
      </c>
      <c r="D133" s="14" t="s">
        <v>297</v>
      </c>
      <c r="E133" s="71">
        <v>81740.02</v>
      </c>
      <c r="F133" s="71"/>
      <c r="G133" s="71"/>
      <c r="H133" s="71">
        <f t="shared" si="6"/>
        <v>0</v>
      </c>
      <c r="I133" s="12"/>
    </row>
    <row r="134" spans="1:9" ht="20.149999999999999" customHeight="1">
      <c r="A134" s="26">
        <v>2</v>
      </c>
      <c r="B134" s="10" t="s">
        <v>229</v>
      </c>
      <c r="C134" s="11" t="s">
        <v>230</v>
      </c>
      <c r="D134" s="14" t="s">
        <v>231</v>
      </c>
      <c r="E134" s="71">
        <v>42653.17</v>
      </c>
      <c r="H134" s="71">
        <f t="shared" si="6"/>
        <v>0</v>
      </c>
      <c r="I134" s="12"/>
    </row>
    <row r="135" spans="1:9" ht="20.149999999999999" customHeight="1">
      <c r="A135" s="26">
        <v>3</v>
      </c>
      <c r="B135" s="13" t="s">
        <v>409</v>
      </c>
      <c r="C135" s="3" t="s">
        <v>410</v>
      </c>
      <c r="D135" s="15" t="s">
        <v>308</v>
      </c>
      <c r="E135" s="71">
        <v>41157.69</v>
      </c>
      <c r="F135" s="71">
        <f>0.025*E135</f>
        <v>1028.9422500000001</v>
      </c>
      <c r="G135" s="71">
        <f>G7</f>
        <v>1028.9422500000001</v>
      </c>
      <c r="H135" s="71">
        <f t="shared" si="6"/>
        <v>0</v>
      </c>
      <c r="I135" s="12"/>
    </row>
    <row r="136" spans="1:9" ht="20.149999999999999" customHeight="1">
      <c r="A136" s="26">
        <v>4</v>
      </c>
      <c r="B136" s="10" t="s">
        <v>411</v>
      </c>
      <c r="C136" s="11" t="s">
        <v>412</v>
      </c>
      <c r="D136" s="14" t="s">
        <v>257</v>
      </c>
      <c r="E136" s="71">
        <v>27611.23</v>
      </c>
      <c r="F136" s="71">
        <f>0.025*E136</f>
        <v>690.28075000000001</v>
      </c>
      <c r="G136" s="71">
        <f>'[12]April 2022'!$H$47</f>
        <v>668.31624999999997</v>
      </c>
      <c r="H136" s="71">
        <f t="shared" ref="H136:H189" si="14">F136-G136</f>
        <v>21.964499999999902</v>
      </c>
      <c r="I136" s="12"/>
    </row>
    <row r="137" spans="1:9" ht="20.149999999999999" customHeight="1">
      <c r="A137" s="26">
        <v>5</v>
      </c>
      <c r="B137" s="10" t="s">
        <v>413</v>
      </c>
      <c r="C137" s="3" t="s">
        <v>414</v>
      </c>
      <c r="D137" s="14" t="s">
        <v>257</v>
      </c>
      <c r="E137" s="71">
        <v>27611.23</v>
      </c>
      <c r="F137" s="71">
        <f>0.025*E137</f>
        <v>690.28075000000001</v>
      </c>
      <c r="G137" s="71">
        <f>'[12]April 2022'!$H$50</f>
        <v>668.31624999999997</v>
      </c>
      <c r="H137" s="71">
        <f t="shared" si="14"/>
        <v>21.964499999999902</v>
      </c>
      <c r="I137" s="12"/>
    </row>
    <row r="138" spans="1:9" ht="20.149999999999999" customHeight="1">
      <c r="A138" s="26">
        <v>6</v>
      </c>
      <c r="B138" s="10" t="s">
        <v>366</v>
      </c>
      <c r="C138" s="3" t="s">
        <v>420</v>
      </c>
      <c r="D138" s="14" t="s">
        <v>266</v>
      </c>
      <c r="E138" s="71">
        <v>25523.45</v>
      </c>
      <c r="F138" s="71"/>
      <c r="G138" s="71"/>
      <c r="H138" s="71">
        <f t="shared" si="14"/>
        <v>0</v>
      </c>
      <c r="I138" s="12"/>
    </row>
    <row r="139" spans="1:9" ht="20.149999999999999" customHeight="1">
      <c r="A139" s="26">
        <v>7</v>
      </c>
      <c r="B139" s="10" t="s">
        <v>416</v>
      </c>
      <c r="C139" s="11" t="s">
        <v>417</v>
      </c>
      <c r="D139" s="14" t="s">
        <v>271</v>
      </c>
      <c r="E139" s="71">
        <f>22837.82</f>
        <v>22837.82</v>
      </c>
      <c r="F139" s="71">
        <f>0.025*E139</f>
        <v>570.94550000000004</v>
      </c>
      <c r="G139" s="71">
        <f>'[12]April 2022'!$H$40</f>
        <v>538.02200000000005</v>
      </c>
      <c r="H139" s="71">
        <f t="shared" si="14"/>
        <v>32.923499999999997</v>
      </c>
      <c r="I139" s="12"/>
    </row>
    <row r="140" spans="1:9" ht="20.149999999999999" customHeight="1">
      <c r="A140" s="26">
        <v>8</v>
      </c>
      <c r="B140" s="10" t="s">
        <v>418</v>
      </c>
      <c r="C140" s="11" t="s">
        <v>417</v>
      </c>
      <c r="D140" s="14" t="s">
        <v>271</v>
      </c>
      <c r="E140" s="71">
        <f t="shared" ref="E140:E141" si="15">22837.82</f>
        <v>22837.82</v>
      </c>
      <c r="F140" s="71"/>
      <c r="G140" s="71"/>
      <c r="H140" s="71">
        <f t="shared" si="14"/>
        <v>0</v>
      </c>
      <c r="I140" s="12"/>
    </row>
    <row r="141" spans="1:9" ht="20.149999999999999" customHeight="1">
      <c r="A141" s="26">
        <v>9</v>
      </c>
      <c r="B141" s="10" t="s">
        <v>419</v>
      </c>
      <c r="C141" s="3" t="s">
        <v>420</v>
      </c>
      <c r="D141" s="14" t="s">
        <v>271</v>
      </c>
      <c r="E141" s="71">
        <f t="shared" si="15"/>
        <v>22837.82</v>
      </c>
      <c r="F141" s="71"/>
      <c r="G141" s="71"/>
      <c r="H141" s="71">
        <f t="shared" si="14"/>
        <v>0</v>
      </c>
      <c r="I141" s="12"/>
    </row>
    <row r="142" spans="1:9" ht="20.149999999999999" customHeight="1">
      <c r="A142" s="26">
        <v>10</v>
      </c>
      <c r="B142" s="10" t="s">
        <v>421</v>
      </c>
      <c r="C142" s="11" t="s">
        <v>426</v>
      </c>
      <c r="D142" s="14" t="s">
        <v>332</v>
      </c>
      <c r="E142" s="71">
        <v>21520.880000000001</v>
      </c>
      <c r="F142" s="71"/>
      <c r="G142" s="71"/>
      <c r="H142" s="71">
        <f t="shared" si="14"/>
        <v>0</v>
      </c>
      <c r="I142" s="12"/>
    </row>
    <row r="143" spans="1:9" ht="20.149999999999999" customHeight="1">
      <c r="A143" s="26">
        <v>11</v>
      </c>
      <c r="B143" s="10" t="s">
        <v>423</v>
      </c>
      <c r="C143" s="11" t="s">
        <v>971</v>
      </c>
      <c r="D143" s="14" t="s">
        <v>432</v>
      </c>
      <c r="E143" s="201">
        <v>18779.3</v>
      </c>
      <c r="F143" s="71">
        <f>0.025*E143</f>
        <v>469.48250000000002</v>
      </c>
      <c r="G143" s="71">
        <f>'[12]April 2022'!$H$43</f>
        <v>457.041</v>
      </c>
      <c r="H143" s="71">
        <f t="shared" si="14"/>
        <v>12.4415</v>
      </c>
      <c r="I143" s="12"/>
    </row>
    <row r="144" spans="1:9" ht="20.149999999999999" customHeight="1">
      <c r="A144" s="26">
        <v>12</v>
      </c>
      <c r="B144" s="10" t="s">
        <v>425</v>
      </c>
      <c r="C144" s="11" t="s">
        <v>426</v>
      </c>
      <c r="D144" s="14" t="s">
        <v>271</v>
      </c>
      <c r="E144" s="71">
        <v>22837.82</v>
      </c>
      <c r="F144" s="71">
        <f>0.025*E144</f>
        <v>570.94550000000004</v>
      </c>
      <c r="G144" s="71">
        <f>G139</f>
        <v>538.02200000000005</v>
      </c>
      <c r="H144" s="71">
        <f t="shared" si="14"/>
        <v>32.923499999999997</v>
      </c>
      <c r="I144" s="12"/>
    </row>
    <row r="145" spans="1:9" ht="20.149999999999999" customHeight="1">
      <c r="A145" s="26">
        <v>13</v>
      </c>
      <c r="B145" s="10" t="s">
        <v>429</v>
      </c>
      <c r="C145" s="3" t="s">
        <v>430</v>
      </c>
      <c r="D145" s="14" t="s">
        <v>301</v>
      </c>
      <c r="E145" s="201">
        <v>18281.64</v>
      </c>
      <c r="F145" s="71"/>
      <c r="G145" s="71"/>
      <c r="H145" s="71">
        <f t="shared" si="14"/>
        <v>0</v>
      </c>
      <c r="I145" s="12"/>
    </row>
    <row r="146" spans="1:9" ht="20.149999999999999" customHeight="1">
      <c r="A146" s="26">
        <v>14</v>
      </c>
      <c r="B146" s="10" t="s">
        <v>431</v>
      </c>
      <c r="C146" s="3" t="s">
        <v>430</v>
      </c>
      <c r="D146" s="14" t="s">
        <v>345</v>
      </c>
      <c r="E146" s="201">
        <v>18281.64</v>
      </c>
      <c r="F146" s="71">
        <f>0.025*E146</f>
        <v>457.041</v>
      </c>
      <c r="G146" s="71">
        <f>'[12]April 2022'!$H$36</f>
        <v>444.60250000000002</v>
      </c>
      <c r="H146" s="71">
        <f t="shared" si="14"/>
        <v>12.438499999999999</v>
      </c>
      <c r="I146" s="12"/>
    </row>
    <row r="147" spans="1:9" ht="20.149999999999999" customHeight="1">
      <c r="A147" s="26">
        <v>15</v>
      </c>
      <c r="B147" s="10" t="s">
        <v>433</v>
      </c>
      <c r="C147" s="3" t="s">
        <v>430</v>
      </c>
      <c r="D147" s="14" t="s">
        <v>345</v>
      </c>
      <c r="E147" s="201">
        <v>18281.64</v>
      </c>
      <c r="F147" s="71"/>
      <c r="G147" s="71"/>
      <c r="H147" s="71">
        <f t="shared" si="14"/>
        <v>0</v>
      </c>
      <c r="I147" s="12"/>
    </row>
    <row r="148" spans="1:9" ht="20.149999999999999" customHeight="1">
      <c r="A148" s="26">
        <v>16</v>
      </c>
      <c r="B148" s="10" t="s">
        <v>434</v>
      </c>
      <c r="C148" s="11" t="s">
        <v>435</v>
      </c>
      <c r="D148" s="14" t="s">
        <v>38</v>
      </c>
      <c r="E148" s="206">
        <f>17286.33</f>
        <v>17286.330000000002</v>
      </c>
      <c r="F148" s="71"/>
      <c r="G148" s="71"/>
      <c r="H148" s="71">
        <f t="shared" si="14"/>
        <v>0</v>
      </c>
      <c r="I148" s="12"/>
    </row>
    <row r="149" spans="1:9" ht="20.149999999999999" customHeight="1">
      <c r="A149" s="26">
        <v>17</v>
      </c>
      <c r="B149" s="10" t="s">
        <v>953</v>
      </c>
      <c r="C149" s="11" t="s">
        <v>437</v>
      </c>
      <c r="D149" s="9" t="s">
        <v>25</v>
      </c>
      <c r="E149" s="203">
        <f>14736.14</f>
        <v>14736.14</v>
      </c>
      <c r="F149" s="71"/>
      <c r="G149" s="71"/>
      <c r="H149" s="71">
        <f t="shared" si="14"/>
        <v>0</v>
      </c>
      <c r="I149" s="12"/>
    </row>
    <row r="150" spans="1:9" ht="20.149999999999999" customHeight="1">
      <c r="A150" s="26">
        <v>18</v>
      </c>
      <c r="B150" s="10" t="s">
        <v>438</v>
      </c>
      <c r="C150" s="11" t="s">
        <v>439</v>
      </c>
      <c r="D150" s="14" t="s">
        <v>301</v>
      </c>
      <c r="E150" s="201">
        <v>18281.64</v>
      </c>
      <c r="F150" s="71"/>
      <c r="G150" s="71"/>
      <c r="H150" s="71">
        <f t="shared" si="14"/>
        <v>0</v>
      </c>
      <c r="I150" s="12"/>
    </row>
    <row r="151" spans="1:9" ht="20.149999999999999" customHeight="1">
      <c r="A151" s="26">
        <v>19</v>
      </c>
      <c r="B151" s="10" t="s">
        <v>440</v>
      </c>
      <c r="C151" s="11" t="s">
        <v>441</v>
      </c>
      <c r="D151" s="14" t="s">
        <v>283</v>
      </c>
      <c r="E151" s="201">
        <f>15188.67</f>
        <v>15188.67</v>
      </c>
      <c r="F151" s="71"/>
      <c r="G151" s="71"/>
      <c r="H151" s="71">
        <f t="shared" si="14"/>
        <v>0</v>
      </c>
      <c r="I151" s="12"/>
    </row>
    <row r="152" spans="1:9" ht="20.149999999999999" customHeight="1">
      <c r="A152" s="26">
        <v>20</v>
      </c>
      <c r="B152" s="10" t="s">
        <v>442</v>
      </c>
      <c r="C152" s="11" t="s">
        <v>443</v>
      </c>
      <c r="D152" s="14" t="s">
        <v>301</v>
      </c>
      <c r="E152" s="201">
        <v>18281.64</v>
      </c>
      <c r="F152" s="71">
        <f>0.025*E152</f>
        <v>457.041</v>
      </c>
      <c r="G152" s="71">
        <f>G146</f>
        <v>444.60250000000002</v>
      </c>
      <c r="H152" s="71">
        <f t="shared" si="14"/>
        <v>12.438499999999999</v>
      </c>
      <c r="I152" s="12"/>
    </row>
    <row r="153" spans="1:9" ht="20.149999999999999" customHeight="1">
      <c r="A153" s="26">
        <v>21</v>
      </c>
      <c r="B153" s="10" t="s">
        <v>444</v>
      </c>
      <c r="C153" s="11" t="s">
        <v>445</v>
      </c>
      <c r="D153" s="14" t="s">
        <v>283</v>
      </c>
      <c r="E153" s="201">
        <v>15188.67</v>
      </c>
      <c r="F153" s="71"/>
      <c r="G153" s="71"/>
      <c r="H153" s="71">
        <f t="shared" si="14"/>
        <v>0</v>
      </c>
      <c r="I153" s="12"/>
    </row>
    <row r="154" spans="1:9" ht="20.149999999999999" customHeight="1">
      <c r="A154" s="26">
        <v>22</v>
      </c>
      <c r="B154" s="17" t="s">
        <v>446</v>
      </c>
      <c r="C154" s="11" t="s">
        <v>451</v>
      </c>
      <c r="D154" s="14" t="s">
        <v>1129</v>
      </c>
      <c r="E154" s="201">
        <v>13492.21</v>
      </c>
      <c r="F154" s="71"/>
      <c r="G154" s="71"/>
      <c r="H154" s="71">
        <f t="shared" si="14"/>
        <v>0</v>
      </c>
      <c r="I154" s="12"/>
    </row>
    <row r="155" spans="1:9" ht="20.149999999999999" customHeight="1">
      <c r="A155" s="26">
        <v>23</v>
      </c>
      <c r="B155" s="17" t="s">
        <v>1143</v>
      </c>
      <c r="C155" s="11" t="s">
        <v>449</v>
      </c>
      <c r="D155" s="14" t="s">
        <v>294</v>
      </c>
      <c r="E155" s="71">
        <f>12732</f>
        <v>12732</v>
      </c>
      <c r="F155" s="71">
        <f>0</f>
        <v>0</v>
      </c>
      <c r="G155" s="71">
        <f>0</f>
        <v>0</v>
      </c>
      <c r="H155" s="71">
        <f t="shared" si="14"/>
        <v>0</v>
      </c>
      <c r="I155" s="12"/>
    </row>
    <row r="156" spans="1:9" ht="20.149999999999999" customHeight="1">
      <c r="A156" s="26">
        <v>24</v>
      </c>
      <c r="B156" s="17" t="s">
        <v>448</v>
      </c>
      <c r="C156" s="11" t="s">
        <v>449</v>
      </c>
      <c r="D156" s="14" t="s">
        <v>31</v>
      </c>
      <c r="E156" s="203">
        <v>12351.94</v>
      </c>
      <c r="F156" s="71">
        <f>0</f>
        <v>0</v>
      </c>
      <c r="G156" s="71">
        <f>0</f>
        <v>0</v>
      </c>
      <c r="H156" s="71">
        <f t="shared" si="14"/>
        <v>0</v>
      </c>
      <c r="I156" s="12"/>
    </row>
    <row r="157" spans="1:9" ht="20.149999999999999" customHeight="1">
      <c r="A157" s="26">
        <v>25</v>
      </c>
      <c r="B157" s="17" t="s">
        <v>450</v>
      </c>
      <c r="C157" s="11" t="s">
        <v>451</v>
      </c>
      <c r="D157" s="14" t="s">
        <v>31</v>
      </c>
      <c r="E157" s="203">
        <v>12352.94</v>
      </c>
      <c r="F157" s="71">
        <f>0</f>
        <v>0</v>
      </c>
      <c r="G157" s="71">
        <f>0</f>
        <v>0</v>
      </c>
      <c r="H157" s="71">
        <f t="shared" si="14"/>
        <v>0</v>
      </c>
      <c r="I157" s="12"/>
    </row>
    <row r="158" spans="1:9" ht="20.149999999999999" customHeight="1">
      <c r="A158" s="26">
        <v>26</v>
      </c>
      <c r="B158" s="17" t="s">
        <v>452</v>
      </c>
      <c r="C158" s="11" t="s">
        <v>453</v>
      </c>
      <c r="D158" s="14" t="s">
        <v>294</v>
      </c>
      <c r="E158" s="71">
        <v>12732</v>
      </c>
      <c r="F158" s="71">
        <f>0</f>
        <v>0</v>
      </c>
      <c r="G158" s="71">
        <f>0</f>
        <v>0</v>
      </c>
      <c r="H158" s="71">
        <f t="shared" si="14"/>
        <v>0</v>
      </c>
      <c r="I158" s="12"/>
    </row>
    <row r="159" spans="1:9" ht="20.149999999999999" customHeight="1">
      <c r="A159" s="26">
        <v>27</v>
      </c>
      <c r="B159" s="17" t="s">
        <v>454</v>
      </c>
      <c r="C159" s="11" t="s">
        <v>455</v>
      </c>
      <c r="D159" s="14" t="s">
        <v>294</v>
      </c>
      <c r="E159" s="71">
        <v>12732</v>
      </c>
      <c r="F159" s="71">
        <f>0</f>
        <v>0</v>
      </c>
      <c r="G159" s="71">
        <f>0</f>
        <v>0</v>
      </c>
      <c r="H159" s="71">
        <f t="shared" si="14"/>
        <v>0</v>
      </c>
      <c r="I159" s="12"/>
    </row>
    <row r="160" spans="1:9" ht="20.149999999999999" customHeight="1">
      <c r="A160" s="26">
        <v>28</v>
      </c>
      <c r="B160" s="10" t="s">
        <v>457</v>
      </c>
      <c r="C160" s="11" t="s">
        <v>458</v>
      </c>
      <c r="D160" s="14" t="s">
        <v>465</v>
      </c>
      <c r="E160" s="207">
        <f>10527.6</f>
        <v>10527.6</v>
      </c>
      <c r="F160" s="71">
        <f>0.025*E160</f>
        <v>263.19</v>
      </c>
      <c r="G160" s="71">
        <f>'[12]April 2022'!$H$39</f>
        <v>226.2535</v>
      </c>
      <c r="H160" s="71">
        <f t="shared" si="14"/>
        <v>36.936500000000002</v>
      </c>
      <c r="I160" s="12"/>
    </row>
    <row r="161" spans="1:9" ht="20.149999999999999" customHeight="1">
      <c r="A161" s="26">
        <v>29</v>
      </c>
      <c r="B161" s="10" t="s">
        <v>460</v>
      </c>
      <c r="C161" s="11" t="s">
        <v>458</v>
      </c>
      <c r="D161" s="14" t="s">
        <v>465</v>
      </c>
      <c r="E161" s="207">
        <f t="shared" ref="E161:E165" si="16">10527.6</f>
        <v>10527.6</v>
      </c>
      <c r="F161" s="71"/>
      <c r="G161" s="71"/>
      <c r="H161" s="71">
        <f t="shared" si="14"/>
        <v>0</v>
      </c>
      <c r="I161" s="12"/>
    </row>
    <row r="162" spans="1:9" ht="20.149999999999999" customHeight="1">
      <c r="A162" s="26">
        <v>30</v>
      </c>
      <c r="B162" s="10" t="s">
        <v>461</v>
      </c>
      <c r="C162" s="11" t="s">
        <v>458</v>
      </c>
      <c r="D162" s="14" t="s">
        <v>465</v>
      </c>
      <c r="E162" s="207">
        <f t="shared" si="16"/>
        <v>10527.6</v>
      </c>
      <c r="F162" s="71"/>
      <c r="G162" s="71"/>
      <c r="H162" s="71">
        <f t="shared" si="14"/>
        <v>0</v>
      </c>
      <c r="I162" s="12"/>
    </row>
    <row r="163" spans="1:9" ht="20.149999999999999" customHeight="1">
      <c r="A163" s="26">
        <v>31</v>
      </c>
      <c r="B163" s="10" t="s">
        <v>662</v>
      </c>
      <c r="C163" s="11" t="s">
        <v>458</v>
      </c>
      <c r="D163" s="14" t="s">
        <v>465</v>
      </c>
      <c r="E163" s="207">
        <f t="shared" si="16"/>
        <v>10527.6</v>
      </c>
      <c r="F163" s="71"/>
      <c r="G163" s="71"/>
      <c r="H163" s="71">
        <f t="shared" si="14"/>
        <v>0</v>
      </c>
      <c r="I163" s="12"/>
    </row>
    <row r="164" spans="1:9" ht="20.149999999999999" customHeight="1">
      <c r="A164" s="26">
        <v>32</v>
      </c>
      <c r="B164" s="10" t="s">
        <v>462</v>
      </c>
      <c r="C164" s="11" t="s">
        <v>458</v>
      </c>
      <c r="D164" s="14" t="s">
        <v>465</v>
      </c>
      <c r="E164" s="207">
        <f t="shared" si="16"/>
        <v>10527.6</v>
      </c>
      <c r="F164" s="71">
        <v>263.19</v>
      </c>
      <c r="G164" s="71">
        <f>'[12]April 2022'!$H$51</f>
        <v>226.2535</v>
      </c>
      <c r="H164" s="71">
        <f t="shared" si="14"/>
        <v>36.936500000000002</v>
      </c>
      <c r="I164" s="12"/>
    </row>
    <row r="165" spans="1:9" ht="20.149999999999999" customHeight="1">
      <c r="A165" s="26">
        <v>33</v>
      </c>
      <c r="B165" s="10" t="s">
        <v>463</v>
      </c>
      <c r="C165" s="11" t="s">
        <v>458</v>
      </c>
      <c r="D165" s="14" t="s">
        <v>465</v>
      </c>
      <c r="E165" s="207">
        <f t="shared" si="16"/>
        <v>10527.6</v>
      </c>
      <c r="F165" s="71"/>
      <c r="G165" s="71"/>
      <c r="H165" s="71">
        <f t="shared" si="14"/>
        <v>0</v>
      </c>
      <c r="I165" s="12"/>
    </row>
    <row r="166" spans="1:9" ht="20.149999999999999" customHeight="1">
      <c r="A166" s="26">
        <v>34</v>
      </c>
      <c r="B166" s="10" t="s">
        <v>464</v>
      </c>
      <c r="C166" s="11" t="s">
        <v>458</v>
      </c>
      <c r="D166" s="14" t="s">
        <v>476</v>
      </c>
      <c r="E166" s="71">
        <v>9050.14</v>
      </c>
      <c r="F166" s="71"/>
      <c r="G166" s="71"/>
      <c r="H166" s="71">
        <f t="shared" si="14"/>
        <v>0</v>
      </c>
      <c r="I166" s="12"/>
    </row>
    <row r="167" spans="1:9" ht="20.149999999999999" customHeight="1">
      <c r="A167" s="26">
        <v>35</v>
      </c>
      <c r="B167" s="10" t="s">
        <v>466</v>
      </c>
      <c r="C167" s="11" t="s">
        <v>458</v>
      </c>
      <c r="D167" s="14" t="s">
        <v>476</v>
      </c>
      <c r="E167" s="71">
        <v>9050.14</v>
      </c>
      <c r="F167" s="71"/>
      <c r="G167" s="71"/>
      <c r="H167" s="71">
        <f t="shared" si="14"/>
        <v>0</v>
      </c>
      <c r="I167" s="12"/>
    </row>
    <row r="168" spans="1:9" ht="20.149999999999999" customHeight="1">
      <c r="A168" s="26">
        <v>36</v>
      </c>
      <c r="B168" s="10" t="s">
        <v>1121</v>
      </c>
      <c r="C168" s="11" t="s">
        <v>458</v>
      </c>
      <c r="D168" s="14" t="s">
        <v>476</v>
      </c>
      <c r="E168" s="71">
        <v>9050.14</v>
      </c>
      <c r="F168" s="71"/>
      <c r="G168" s="71"/>
      <c r="H168" s="71">
        <f t="shared" si="14"/>
        <v>0</v>
      </c>
      <c r="I168" s="12"/>
    </row>
    <row r="169" spans="1:9" ht="20.149999999999999" customHeight="1">
      <c r="A169" s="26">
        <v>37</v>
      </c>
      <c r="B169" s="13" t="s">
        <v>467</v>
      </c>
      <c r="C169" s="11" t="s">
        <v>458</v>
      </c>
      <c r="D169" s="14" t="s">
        <v>476</v>
      </c>
      <c r="E169" s="71">
        <v>9050.14</v>
      </c>
      <c r="F169" s="71"/>
      <c r="G169" s="71"/>
      <c r="H169" s="71">
        <f t="shared" si="14"/>
        <v>0</v>
      </c>
      <c r="I169" s="12"/>
    </row>
    <row r="170" spans="1:9" ht="20.149999999999999" customHeight="1">
      <c r="A170" s="26">
        <v>38</v>
      </c>
      <c r="B170" s="10" t="s">
        <v>468</v>
      </c>
      <c r="C170" s="11" t="s">
        <v>458</v>
      </c>
      <c r="D170" s="14" t="s">
        <v>476</v>
      </c>
      <c r="E170" s="71">
        <v>9050.14</v>
      </c>
      <c r="F170" s="71"/>
      <c r="G170" s="71"/>
      <c r="H170" s="71">
        <f t="shared" si="14"/>
        <v>0</v>
      </c>
      <c r="I170" s="12"/>
    </row>
    <row r="171" spans="1:9" ht="20.149999999999999" customHeight="1">
      <c r="A171" s="26">
        <v>39</v>
      </c>
      <c r="B171" s="17" t="s">
        <v>469</v>
      </c>
      <c r="C171" s="11" t="s">
        <v>458</v>
      </c>
      <c r="D171" s="14" t="s">
        <v>476</v>
      </c>
      <c r="E171" s="71">
        <v>9050.14</v>
      </c>
      <c r="F171" s="71"/>
      <c r="G171" s="71"/>
      <c r="H171" s="71">
        <f t="shared" si="14"/>
        <v>0</v>
      </c>
      <c r="I171" s="12"/>
    </row>
    <row r="172" spans="1:9" ht="20.149999999999999" customHeight="1">
      <c r="A172" s="26">
        <v>40</v>
      </c>
      <c r="B172" s="17" t="s">
        <v>470</v>
      </c>
      <c r="C172" s="11" t="s">
        <v>458</v>
      </c>
      <c r="D172" s="14" t="s">
        <v>476</v>
      </c>
      <c r="E172" s="71">
        <v>9050.14</v>
      </c>
      <c r="F172" s="71"/>
      <c r="G172" s="71"/>
      <c r="H172" s="71">
        <f t="shared" si="14"/>
        <v>0</v>
      </c>
      <c r="I172" s="12"/>
    </row>
    <row r="173" spans="1:9" ht="20.149999999999999" customHeight="1">
      <c r="A173" s="26">
        <v>41</v>
      </c>
      <c r="B173" s="10" t="s">
        <v>471</v>
      </c>
      <c r="C173" s="11" t="s">
        <v>478</v>
      </c>
      <c r="D173" s="14" t="s">
        <v>479</v>
      </c>
      <c r="E173" s="71">
        <v>5428.12</v>
      </c>
      <c r="F173" s="71"/>
      <c r="G173" s="71"/>
      <c r="H173" s="71">
        <f t="shared" si="14"/>
        <v>0</v>
      </c>
      <c r="I173" s="12"/>
    </row>
    <row r="174" spans="1:9" ht="20.149999999999999" customHeight="1">
      <c r="A174" s="26">
        <v>42</v>
      </c>
      <c r="B174" s="10" t="s">
        <v>474</v>
      </c>
      <c r="C174" s="11" t="s">
        <v>478</v>
      </c>
      <c r="D174" s="14" t="s">
        <v>479</v>
      </c>
      <c r="E174" s="71">
        <v>5428.12</v>
      </c>
      <c r="F174" s="71"/>
      <c r="G174" s="71"/>
      <c r="H174" s="71">
        <f t="shared" si="14"/>
        <v>0</v>
      </c>
      <c r="I174" s="12"/>
    </row>
    <row r="175" spans="1:9" ht="20.149999999999999" customHeight="1">
      <c r="A175" s="26">
        <v>43</v>
      </c>
      <c r="B175" s="17" t="s">
        <v>475</v>
      </c>
      <c r="C175" s="11" t="s">
        <v>478</v>
      </c>
      <c r="D175" s="14" t="s">
        <v>948</v>
      </c>
      <c r="E175" s="71">
        <f>5598.92</f>
        <v>5598.92</v>
      </c>
      <c r="F175" s="71"/>
      <c r="G175" s="71"/>
      <c r="H175" s="71">
        <f t="shared" si="14"/>
        <v>0</v>
      </c>
      <c r="I175" s="12"/>
    </row>
    <row r="176" spans="1:9" ht="20.149999999999999" customHeight="1">
      <c r="A176" s="26">
        <v>44</v>
      </c>
      <c r="B176" s="10" t="s">
        <v>477</v>
      </c>
      <c r="C176" s="11" t="s">
        <v>478</v>
      </c>
      <c r="D176" s="14" t="s">
        <v>954</v>
      </c>
      <c r="E176" s="71">
        <v>5257.44</v>
      </c>
      <c r="F176" s="71"/>
      <c r="G176" s="71"/>
      <c r="H176" s="71">
        <f t="shared" si="14"/>
        <v>0</v>
      </c>
      <c r="I176" s="12"/>
    </row>
    <row r="177" spans="1:9" ht="20.149999999999999" customHeight="1">
      <c r="A177" s="26">
        <v>45</v>
      </c>
      <c r="B177" s="10" t="s">
        <v>480</v>
      </c>
      <c r="C177" s="11" t="s">
        <v>481</v>
      </c>
      <c r="D177" s="14" t="s">
        <v>955</v>
      </c>
      <c r="E177" s="71">
        <v>5086.76</v>
      </c>
      <c r="F177" s="71"/>
      <c r="G177" s="71"/>
      <c r="H177" s="71">
        <f t="shared" si="14"/>
        <v>0</v>
      </c>
      <c r="I177" s="12"/>
    </row>
    <row r="178" spans="1:9" ht="20.149999999999999" customHeight="1">
      <c r="A178" s="26">
        <v>46</v>
      </c>
      <c r="B178" s="10" t="s">
        <v>483</v>
      </c>
      <c r="C178" s="11" t="s">
        <v>481</v>
      </c>
      <c r="D178" s="14" t="s">
        <v>955</v>
      </c>
      <c r="E178" s="71">
        <v>5086.76</v>
      </c>
      <c r="F178" s="71"/>
      <c r="G178" s="71"/>
      <c r="H178" s="71">
        <f t="shared" si="14"/>
        <v>0</v>
      </c>
      <c r="I178" s="12"/>
    </row>
    <row r="179" spans="1:9" ht="20.149999999999999" customHeight="1">
      <c r="A179" s="26">
        <v>47</v>
      </c>
      <c r="B179" s="10" t="s">
        <v>484</v>
      </c>
      <c r="C179" s="11" t="s">
        <v>481</v>
      </c>
      <c r="D179" s="14" t="s">
        <v>955</v>
      </c>
      <c r="E179" s="71">
        <v>5086.76</v>
      </c>
      <c r="F179" s="71"/>
      <c r="G179" s="71"/>
      <c r="H179" s="71">
        <f t="shared" si="14"/>
        <v>0</v>
      </c>
      <c r="I179" s="12"/>
    </row>
    <row r="180" spans="1:9" ht="20.149999999999999" customHeight="1">
      <c r="A180" s="26">
        <v>48</v>
      </c>
      <c r="B180" s="10" t="s">
        <v>485</v>
      </c>
      <c r="C180" s="11" t="s">
        <v>481</v>
      </c>
      <c r="D180" s="14" t="s">
        <v>955</v>
      </c>
      <c r="E180" s="71">
        <v>5086.76</v>
      </c>
      <c r="F180" s="71"/>
      <c r="G180" s="71"/>
      <c r="H180" s="71">
        <f t="shared" si="14"/>
        <v>0</v>
      </c>
      <c r="I180" s="12"/>
    </row>
    <row r="181" spans="1:9" ht="20.149999999999999" customHeight="1">
      <c r="A181" s="26">
        <v>49</v>
      </c>
      <c r="B181" s="10" t="s">
        <v>486</v>
      </c>
      <c r="C181" s="11" t="s">
        <v>481</v>
      </c>
      <c r="D181" s="14" t="s">
        <v>955</v>
      </c>
      <c r="E181" s="71">
        <v>5086.76</v>
      </c>
      <c r="F181" s="71"/>
      <c r="G181" s="71"/>
      <c r="H181" s="71">
        <f t="shared" si="14"/>
        <v>0</v>
      </c>
      <c r="I181" s="12"/>
    </row>
    <row r="182" spans="1:9" ht="20.149999999999999" customHeight="1">
      <c r="A182" s="26">
        <v>50</v>
      </c>
      <c r="B182" s="17" t="s">
        <v>487</v>
      </c>
      <c r="C182" s="11" t="s">
        <v>481</v>
      </c>
      <c r="D182" s="14" t="s">
        <v>955</v>
      </c>
      <c r="E182" s="71">
        <v>5086.76</v>
      </c>
      <c r="F182" s="71"/>
      <c r="G182" s="71"/>
      <c r="H182" s="71">
        <f t="shared" si="14"/>
        <v>0</v>
      </c>
      <c r="I182" s="12"/>
    </row>
    <row r="183" spans="1:9" ht="20.149999999999999" customHeight="1">
      <c r="A183" s="26">
        <v>51</v>
      </c>
      <c r="B183" s="17" t="s">
        <v>488</v>
      </c>
      <c r="C183" s="11" t="s">
        <v>481</v>
      </c>
      <c r="D183" s="14" t="s">
        <v>955</v>
      </c>
      <c r="E183" s="71">
        <v>5086.76</v>
      </c>
      <c r="F183" s="71"/>
      <c r="G183" s="71"/>
      <c r="H183" s="71">
        <f t="shared" si="14"/>
        <v>0</v>
      </c>
      <c r="I183" s="12"/>
    </row>
    <row r="184" spans="1:9" ht="20.149999999999999" customHeight="1">
      <c r="A184" s="26">
        <v>52</v>
      </c>
      <c r="B184" s="10" t="s">
        <v>489</v>
      </c>
      <c r="C184" s="11" t="s">
        <v>478</v>
      </c>
      <c r="D184" s="14" t="s">
        <v>955</v>
      </c>
      <c r="E184" s="71">
        <v>5086.76</v>
      </c>
      <c r="F184" s="71"/>
      <c r="G184" s="71"/>
      <c r="H184" s="71">
        <f t="shared" si="14"/>
        <v>0</v>
      </c>
      <c r="I184" s="12"/>
    </row>
    <row r="185" spans="1:9" ht="20.149999999999999" customHeight="1">
      <c r="A185" s="26">
        <v>53</v>
      </c>
      <c r="B185" s="10" t="s">
        <v>490</v>
      </c>
      <c r="C185" s="11" t="s">
        <v>478</v>
      </c>
      <c r="D185" s="14" t="s">
        <v>955</v>
      </c>
      <c r="E185" s="71">
        <v>5086.76</v>
      </c>
      <c r="F185" s="71"/>
      <c r="G185" s="71"/>
      <c r="H185" s="71">
        <f t="shared" si="14"/>
        <v>0</v>
      </c>
      <c r="I185" s="12"/>
    </row>
    <row r="186" spans="1:9" ht="20.149999999999999" customHeight="1">
      <c r="A186" s="26">
        <v>54</v>
      </c>
      <c r="B186" s="17" t="s">
        <v>491</v>
      </c>
      <c r="C186" s="11" t="s">
        <v>481</v>
      </c>
      <c r="D186" s="14" t="s">
        <v>972</v>
      </c>
      <c r="E186" s="71">
        <f>4689.38</f>
        <v>4689.38</v>
      </c>
      <c r="F186" s="71"/>
      <c r="G186" s="71"/>
      <c r="H186" s="71">
        <f t="shared" si="14"/>
        <v>0</v>
      </c>
      <c r="I186" s="12"/>
    </row>
    <row r="187" spans="1:9" ht="20.149999999999999" customHeight="1">
      <c r="A187" s="26">
        <v>55</v>
      </c>
      <c r="B187" s="17" t="s">
        <v>493</v>
      </c>
      <c r="C187" s="11" t="s">
        <v>481</v>
      </c>
      <c r="D187" s="14" t="s">
        <v>956</v>
      </c>
      <c r="E187" s="201">
        <f>4395.43</f>
        <v>4395.43</v>
      </c>
      <c r="F187" s="71"/>
      <c r="G187" s="71"/>
      <c r="H187" s="71">
        <f t="shared" si="14"/>
        <v>0</v>
      </c>
      <c r="I187" s="12"/>
    </row>
    <row r="188" spans="1:9" ht="20.149999999999999" customHeight="1">
      <c r="A188" s="26"/>
      <c r="B188" s="7" t="s">
        <v>34</v>
      </c>
      <c r="C188" s="27" t="s">
        <v>1122</v>
      </c>
      <c r="D188" s="28"/>
      <c r="E188" s="79">
        <f t="shared" ref="E188:G188" si="17">SUM(E133:E187)</f>
        <v>811244.18</v>
      </c>
      <c r="F188" s="79">
        <f t="shared" si="17"/>
        <v>5461.33925</v>
      </c>
      <c r="G188" s="79">
        <f t="shared" si="17"/>
        <v>5240.3717500000002</v>
      </c>
      <c r="H188" s="133">
        <f t="shared" si="14"/>
        <v>220.9675</v>
      </c>
      <c r="I188" s="12"/>
    </row>
    <row r="189" spans="1:9" ht="20.149999999999999" customHeight="1">
      <c r="A189" s="3"/>
      <c r="B189" s="29" t="s">
        <v>80</v>
      </c>
      <c r="C189" s="30">
        <f>C37+C42+C57+C61+C77+C85+C99+C106+C116+C130+C188+2</f>
        <v>154</v>
      </c>
      <c r="D189" s="31"/>
      <c r="E189" s="208">
        <v>3773721.59</v>
      </c>
      <c r="F189" s="208">
        <f>F37+F42+F57+F61+F77+F85+F99+F106+F116+F130+F188</f>
        <v>23887.071250000001</v>
      </c>
      <c r="G189" s="208">
        <f>G37+G42+G57+G61+G77+G85+G99+G106+G116+G130+G188</f>
        <v>23429.459500000001</v>
      </c>
      <c r="H189" s="133">
        <f t="shared" si="14"/>
        <v>457.61174999999997</v>
      </c>
      <c r="I189" s="12"/>
    </row>
    <row r="190" spans="1:9" ht="20.149999999999999" customHeight="1">
      <c r="A190" s="2"/>
      <c r="B190" s="32"/>
      <c r="C190" s="2"/>
      <c r="D190" s="33"/>
      <c r="E190" s="33"/>
      <c r="F190" s="209"/>
      <c r="G190" s="209"/>
      <c r="H190" s="210"/>
      <c r="I190" s="34"/>
    </row>
    <row r="191" spans="1:9" ht="65.25" customHeight="1">
      <c r="A191" s="2"/>
      <c r="B191" s="32"/>
      <c r="C191" s="33"/>
      <c r="D191" s="33"/>
      <c r="E191" s="33"/>
      <c r="F191" s="209"/>
      <c r="G191" s="209"/>
      <c r="H191" s="21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192" customWidth="1"/>
    <col min="2" max="2" width="35.26953125" style="192" customWidth="1"/>
    <col min="3" max="3" width="12.7265625" style="192" customWidth="1"/>
    <col min="4" max="4" width="9.26953125" style="192" customWidth="1"/>
    <col min="5" max="5" width="12.7265625" style="192" customWidth="1"/>
    <col min="6" max="6" width="12" style="192" customWidth="1"/>
    <col min="7" max="7" width="9.26953125" style="192" customWidth="1"/>
    <col min="8" max="8" width="9.1796875" style="192"/>
    <col min="9" max="9" width="12.7265625" style="192" customWidth="1"/>
    <col min="10" max="10" width="10.1796875" style="192" customWidth="1"/>
    <col min="11" max="11" width="9.26953125" style="192" customWidth="1"/>
    <col min="12" max="14" width="11.7265625" style="192" customWidth="1"/>
    <col min="15" max="15" width="12.7265625" style="192" customWidth="1"/>
    <col min="16" max="19" width="9.26953125" style="192" customWidth="1"/>
    <col min="20" max="20" width="10.1796875" style="192" customWidth="1"/>
    <col min="21" max="22" width="11.7265625" style="192" customWidth="1"/>
    <col min="23" max="23" width="9.26953125" style="192" customWidth="1"/>
    <col min="24" max="24" width="10.1796875" style="192" customWidth="1"/>
    <col min="25" max="25" width="9.1796875" style="192"/>
    <col min="26" max="27" width="11.7265625" style="192" customWidth="1"/>
    <col min="28" max="28" width="9.26953125" style="192" customWidth="1"/>
    <col min="29" max="16384" width="9.1796875" style="192"/>
  </cols>
  <sheetData>
    <row r="1" spans="1:28" ht="13">
      <c r="A1" s="193" t="s">
        <v>0</v>
      </c>
    </row>
    <row r="2" spans="1:28" ht="13">
      <c r="A2" s="193" t="s">
        <v>143</v>
      </c>
    </row>
    <row r="3" spans="1:28" ht="13">
      <c r="A3" s="193" t="s">
        <v>1146</v>
      </c>
    </row>
    <row r="4" spans="1:28" ht="90" customHeight="1">
      <c r="A4" s="194" t="s">
        <v>145</v>
      </c>
      <c r="B4" s="194" t="s">
        <v>146</v>
      </c>
      <c r="C4" s="194" t="s">
        <v>147</v>
      </c>
      <c r="D4" s="194" t="s">
        <v>148</v>
      </c>
      <c r="E4" s="194" t="s">
        <v>149</v>
      </c>
      <c r="F4" s="194" t="s">
        <v>150</v>
      </c>
      <c r="G4" s="194" t="s">
        <v>151</v>
      </c>
      <c r="H4" s="194" t="s">
        <v>152</v>
      </c>
      <c r="I4" s="194" t="s">
        <v>153</v>
      </c>
      <c r="J4" s="194"/>
      <c r="K4" s="194"/>
      <c r="L4" s="194"/>
      <c r="M4" s="194" t="s">
        <v>154</v>
      </c>
      <c r="N4" s="194" t="s">
        <v>155</v>
      </c>
      <c r="O4" s="194" t="s">
        <v>156</v>
      </c>
      <c r="P4" s="194" t="s">
        <v>157</v>
      </c>
      <c r="Q4" s="194" t="s">
        <v>158</v>
      </c>
      <c r="R4" s="194" t="s">
        <v>159</v>
      </c>
      <c r="S4" s="194" t="s">
        <v>160</v>
      </c>
      <c r="T4" s="194" t="s">
        <v>161</v>
      </c>
      <c r="U4" s="194" t="s">
        <v>162</v>
      </c>
      <c r="V4" s="194" t="s">
        <v>163</v>
      </c>
      <c r="W4" s="194"/>
      <c r="X4" s="194" t="s">
        <v>164</v>
      </c>
      <c r="Y4" s="194" t="s">
        <v>165</v>
      </c>
      <c r="Z4" s="194" t="s">
        <v>166</v>
      </c>
      <c r="AA4" s="194" t="s">
        <v>1147</v>
      </c>
      <c r="AB4" s="194" t="s">
        <v>520</v>
      </c>
    </row>
    <row r="5" spans="1:28">
      <c r="A5" s="195">
        <v>1</v>
      </c>
      <c r="B5" s="192" t="s">
        <v>236</v>
      </c>
      <c r="C5" s="192">
        <v>1158849.8400000001</v>
      </c>
      <c r="D5" s="192">
        <v>12</v>
      </c>
      <c r="E5" s="192">
        <v>13906198.08</v>
      </c>
      <c r="I5" s="192">
        <v>13906198.08</v>
      </c>
      <c r="J5" s="192">
        <v>200000</v>
      </c>
      <c r="K5" s="192">
        <v>0.2</v>
      </c>
      <c r="L5" s="192">
        <v>2781239.6159999999</v>
      </c>
      <c r="M5" s="192">
        <v>2981239.6159999999</v>
      </c>
      <c r="N5" s="192">
        <v>2981239.6159999999</v>
      </c>
      <c r="O5" s="192">
        <v>10924958.464</v>
      </c>
      <c r="P5" s="192">
        <v>21000</v>
      </c>
      <c r="Q5" s="192">
        <v>33000</v>
      </c>
      <c r="R5" s="192">
        <v>75000</v>
      </c>
      <c r="S5" s="192">
        <v>95000</v>
      </c>
      <c r="T5" s="192">
        <v>336000</v>
      </c>
      <c r="U5" s="192">
        <v>1853990.0313599999</v>
      </c>
      <c r="V5" s="192">
        <v>2413990.0313599999</v>
      </c>
      <c r="W5" s="192">
        <v>12</v>
      </c>
      <c r="X5" s="192">
        <v>201165.83594666701</v>
      </c>
      <c r="Z5" s="192">
        <v>201165.83594666701</v>
      </c>
      <c r="AA5" s="192">
        <v>201165.84</v>
      </c>
      <c r="AB5" s="192">
        <v>-4.0533333667553996E-3</v>
      </c>
    </row>
    <row r="6" spans="1:28">
      <c r="A6" s="195">
        <v>3</v>
      </c>
      <c r="B6" s="192" t="s">
        <v>1016</v>
      </c>
      <c r="C6" s="192">
        <v>781465.02474999998</v>
      </c>
      <c r="D6" s="192">
        <v>12</v>
      </c>
      <c r="E6" s="192">
        <v>9377580.2970000003</v>
      </c>
      <c r="F6" s="192">
        <v>12347.31</v>
      </c>
      <c r="I6" s="192">
        <v>9365232.9869999997</v>
      </c>
      <c r="J6" s="192">
        <v>200000</v>
      </c>
      <c r="K6" s="192">
        <v>0.2</v>
      </c>
      <c r="L6" s="192">
        <v>1873046.5974000001</v>
      </c>
      <c r="M6" s="192">
        <v>2073046.5974000001</v>
      </c>
      <c r="N6" s="192">
        <v>2085393.9073999999</v>
      </c>
      <c r="O6" s="192">
        <v>7292186.3896000003</v>
      </c>
      <c r="P6" s="192">
        <v>21000</v>
      </c>
      <c r="Q6" s="192">
        <v>33000</v>
      </c>
      <c r="R6" s="192">
        <v>75000</v>
      </c>
      <c r="S6" s="192">
        <v>95000</v>
      </c>
      <c r="T6" s="192">
        <v>336000</v>
      </c>
      <c r="U6" s="192">
        <v>982124.733504</v>
      </c>
      <c r="V6" s="192">
        <v>1542124.7335039999</v>
      </c>
      <c r="W6" s="192">
        <v>12</v>
      </c>
      <c r="X6" s="192">
        <v>128510.394458667</v>
      </c>
      <c r="Z6" s="192">
        <v>128510.394458667</v>
      </c>
      <c r="AA6" s="192">
        <v>128508.38825066701</v>
      </c>
      <c r="AB6" s="192">
        <v>2.0062079999916</v>
      </c>
    </row>
    <row r="7" spans="1:28">
      <c r="A7" s="195">
        <v>4</v>
      </c>
      <c r="B7" s="192" t="s">
        <v>1107</v>
      </c>
      <c r="C7" s="192">
        <v>731465.02474999998</v>
      </c>
      <c r="D7" s="192">
        <v>12</v>
      </c>
      <c r="E7" s="192">
        <v>8777580.2970000003</v>
      </c>
      <c r="I7" s="192">
        <v>8777580.2970000003</v>
      </c>
      <c r="J7" s="192">
        <v>200000</v>
      </c>
      <c r="K7" s="192">
        <v>0.2</v>
      </c>
      <c r="L7" s="192">
        <v>1755516.0593999999</v>
      </c>
      <c r="M7" s="192">
        <v>1955516.0593999999</v>
      </c>
      <c r="N7" s="192">
        <v>1955516.0593999999</v>
      </c>
      <c r="O7" s="192">
        <v>6822064.2375999996</v>
      </c>
      <c r="P7" s="192">
        <v>21000</v>
      </c>
      <c r="Q7" s="192">
        <v>33000</v>
      </c>
      <c r="R7" s="192">
        <v>75000</v>
      </c>
      <c r="S7" s="192">
        <v>95000</v>
      </c>
      <c r="T7" s="192">
        <v>336000</v>
      </c>
      <c r="U7" s="192">
        <v>869295.41702399997</v>
      </c>
      <c r="V7" s="192">
        <v>1429295.4170240001</v>
      </c>
      <c r="W7" s="192">
        <v>12</v>
      </c>
      <c r="X7" s="192">
        <v>119107.951418667</v>
      </c>
      <c r="Z7" s="192">
        <v>119107.951418667</v>
      </c>
      <c r="AA7" s="192">
        <v>116473.51</v>
      </c>
      <c r="AB7" s="192">
        <v>2634.44141866668</v>
      </c>
    </row>
    <row r="8" spans="1:28">
      <c r="A8" s="195">
        <v>5</v>
      </c>
      <c r="B8" s="192" t="s">
        <v>239</v>
      </c>
      <c r="C8" s="192">
        <v>541465.02474999998</v>
      </c>
      <c r="D8" s="192">
        <v>12</v>
      </c>
      <c r="E8" s="192">
        <v>6497580.2970000003</v>
      </c>
      <c r="I8" s="192">
        <v>6497580.2970000003</v>
      </c>
      <c r="J8" s="192">
        <v>200000</v>
      </c>
      <c r="K8" s="192">
        <v>0.2</v>
      </c>
      <c r="L8" s="192">
        <v>1299516.0593999999</v>
      </c>
      <c r="M8" s="192">
        <v>1499516.0593999999</v>
      </c>
      <c r="N8" s="192">
        <v>1499516.0593999999</v>
      </c>
      <c r="O8" s="192">
        <v>4998064.2375999996</v>
      </c>
      <c r="P8" s="192">
        <v>21000</v>
      </c>
      <c r="Q8" s="192">
        <v>33000</v>
      </c>
      <c r="R8" s="192">
        <v>75000</v>
      </c>
      <c r="S8" s="192">
        <v>95000</v>
      </c>
      <c r="T8" s="192">
        <v>336000</v>
      </c>
      <c r="U8" s="192">
        <v>431535.41702400002</v>
      </c>
      <c r="V8" s="192">
        <v>991535.41702399997</v>
      </c>
      <c r="W8" s="192">
        <v>12</v>
      </c>
      <c r="X8" s="192">
        <v>82627.951418666693</v>
      </c>
      <c r="Z8" s="192">
        <v>82627.951418666693</v>
      </c>
      <c r="AA8" s="192">
        <v>79993.509999999995</v>
      </c>
      <c r="AB8" s="192">
        <v>2634.44141866668</v>
      </c>
    </row>
    <row r="9" spans="1:28">
      <c r="A9" s="195">
        <v>6</v>
      </c>
      <c r="B9" s="192" t="s">
        <v>241</v>
      </c>
      <c r="C9" s="192">
        <v>682621.80575000006</v>
      </c>
      <c r="D9" s="192">
        <v>12</v>
      </c>
      <c r="E9" s="192">
        <v>8191461.6689999998</v>
      </c>
      <c r="I9" s="192">
        <v>8191461.6689999998</v>
      </c>
      <c r="J9" s="192">
        <v>200000</v>
      </c>
      <c r="K9" s="192">
        <v>0.2</v>
      </c>
      <c r="L9" s="192">
        <v>1638292.3337999999</v>
      </c>
      <c r="M9" s="192">
        <v>1838292.3337999999</v>
      </c>
      <c r="N9" s="192">
        <v>1838292.3337999999</v>
      </c>
      <c r="O9" s="192">
        <v>6353169.3351999996</v>
      </c>
      <c r="P9" s="192">
        <v>21000</v>
      </c>
      <c r="Q9" s="192">
        <v>33000</v>
      </c>
      <c r="R9" s="192">
        <v>75000</v>
      </c>
      <c r="S9" s="192">
        <v>95000</v>
      </c>
      <c r="T9" s="192">
        <v>336000</v>
      </c>
      <c r="U9" s="192">
        <v>756760.64044800005</v>
      </c>
      <c r="V9" s="192">
        <v>1316760.640448</v>
      </c>
      <c r="W9" s="192">
        <v>12</v>
      </c>
      <c r="X9" s="192">
        <v>109730.053370667</v>
      </c>
      <c r="Z9" s="192">
        <v>109730.053370667</v>
      </c>
      <c r="AA9" s="192">
        <v>107095.69</v>
      </c>
      <c r="AB9" s="192">
        <v>2634.3633706666401</v>
      </c>
    </row>
    <row r="10" spans="1:28">
      <c r="A10" s="195">
        <v>7</v>
      </c>
      <c r="B10" s="192" t="s">
        <v>363</v>
      </c>
      <c r="C10" s="192">
        <v>627743.99575</v>
      </c>
      <c r="D10" s="192">
        <v>12</v>
      </c>
      <c r="E10" s="192">
        <v>7532927.949</v>
      </c>
      <c r="F10" s="192">
        <v>10052.25</v>
      </c>
      <c r="I10" s="192">
        <v>7522875.699</v>
      </c>
      <c r="J10" s="192">
        <v>200000</v>
      </c>
      <c r="K10" s="192">
        <v>0.2</v>
      </c>
      <c r="L10" s="192">
        <v>1504575.1398</v>
      </c>
      <c r="M10" s="192">
        <v>1704575.1398</v>
      </c>
      <c r="N10" s="192">
        <v>1714627.3898</v>
      </c>
      <c r="O10" s="192">
        <v>5818300.5592</v>
      </c>
      <c r="P10" s="192">
        <v>21000</v>
      </c>
      <c r="Q10" s="192">
        <v>33000</v>
      </c>
      <c r="R10" s="192">
        <v>75000</v>
      </c>
      <c r="S10" s="192">
        <v>95000</v>
      </c>
      <c r="T10" s="192">
        <v>336000</v>
      </c>
      <c r="U10" s="192">
        <v>628392.13420800003</v>
      </c>
      <c r="V10" s="192">
        <v>1188392.134208</v>
      </c>
      <c r="W10" s="192">
        <v>12</v>
      </c>
      <c r="X10" s="192">
        <v>99032.677850666703</v>
      </c>
      <c r="Z10" s="192">
        <v>99032.677850666703</v>
      </c>
      <c r="AA10" s="192">
        <v>96398.373866666603</v>
      </c>
      <c r="AB10" s="192">
        <v>2634.3039840000301</v>
      </c>
    </row>
    <row r="11" spans="1:28">
      <c r="A11" s="195">
        <v>8</v>
      </c>
      <c r="B11" s="192" t="s">
        <v>243</v>
      </c>
      <c r="C11" s="192">
        <v>527743.99575</v>
      </c>
      <c r="D11" s="192">
        <v>12</v>
      </c>
      <c r="E11" s="192">
        <v>6332927.949</v>
      </c>
      <c r="F11" s="192">
        <v>10052.25</v>
      </c>
      <c r="I11" s="192">
        <v>6322875.699</v>
      </c>
      <c r="J11" s="192">
        <v>200000</v>
      </c>
      <c r="K11" s="192">
        <v>0.2</v>
      </c>
      <c r="L11" s="192">
        <v>1264575.1398</v>
      </c>
      <c r="M11" s="192">
        <v>1464575.1398</v>
      </c>
      <c r="N11" s="192">
        <v>1474627.3898</v>
      </c>
      <c r="O11" s="192">
        <v>4858300.5592</v>
      </c>
      <c r="P11" s="192">
        <v>21000</v>
      </c>
      <c r="Q11" s="192">
        <v>33000</v>
      </c>
      <c r="R11" s="192">
        <v>75000</v>
      </c>
      <c r="S11" s="192">
        <v>95000</v>
      </c>
      <c r="T11" s="192">
        <v>336000</v>
      </c>
      <c r="U11" s="192">
        <v>397992.13420799997</v>
      </c>
      <c r="V11" s="192">
        <v>957992.13420800003</v>
      </c>
      <c r="W11" s="192">
        <v>12</v>
      </c>
      <c r="X11" s="192">
        <v>79832.677850666703</v>
      </c>
      <c r="Z11" s="192">
        <v>79832.677850666703</v>
      </c>
      <c r="AA11" s="192">
        <v>77198.373866666705</v>
      </c>
      <c r="AB11" s="192">
        <v>2634.3039840000001</v>
      </c>
    </row>
    <row r="12" spans="1:28">
      <c r="A12" s="195">
        <v>9</v>
      </c>
      <c r="B12" s="192" t="s">
        <v>245</v>
      </c>
      <c r="C12" s="192">
        <v>527743.99575</v>
      </c>
      <c r="D12" s="192">
        <v>12</v>
      </c>
      <c r="E12" s="192">
        <v>6332927.949</v>
      </c>
      <c r="F12" s="192">
        <v>10052.25</v>
      </c>
      <c r="I12" s="192">
        <v>6322875.699</v>
      </c>
      <c r="J12" s="192">
        <v>200000</v>
      </c>
      <c r="K12" s="192">
        <v>0.2</v>
      </c>
      <c r="L12" s="192">
        <v>1264575.1398</v>
      </c>
      <c r="M12" s="192">
        <v>1464575.1398</v>
      </c>
      <c r="N12" s="192">
        <v>1474627.3898</v>
      </c>
      <c r="O12" s="192">
        <v>4858300.5592</v>
      </c>
      <c r="P12" s="192">
        <v>21000</v>
      </c>
      <c r="Q12" s="192">
        <v>33000</v>
      </c>
      <c r="R12" s="192">
        <v>75000</v>
      </c>
      <c r="S12" s="192">
        <v>95000</v>
      </c>
      <c r="T12" s="192">
        <v>336000</v>
      </c>
      <c r="U12" s="192">
        <v>397992.13420799997</v>
      </c>
      <c r="V12" s="192">
        <v>957992.13420800003</v>
      </c>
      <c r="W12" s="192">
        <v>12</v>
      </c>
      <c r="X12" s="192">
        <v>79832.677850666703</v>
      </c>
      <c r="Z12" s="192">
        <v>79832.677850666703</v>
      </c>
      <c r="AA12" s="192">
        <v>77198.373866666705</v>
      </c>
      <c r="AB12" s="192">
        <v>2634.3039840000001</v>
      </c>
    </row>
    <row r="13" spans="1:28">
      <c r="A13" s="195">
        <v>10</v>
      </c>
      <c r="B13" s="192" t="s">
        <v>247</v>
      </c>
      <c r="C13" s="192">
        <v>447553.5025</v>
      </c>
      <c r="D13" s="192">
        <v>12</v>
      </c>
      <c r="E13" s="192">
        <v>5370642.0300000003</v>
      </c>
      <c r="F13" s="192">
        <v>10052.25</v>
      </c>
      <c r="I13" s="192">
        <v>5360589.78</v>
      </c>
      <c r="J13" s="192">
        <v>200000</v>
      </c>
      <c r="K13" s="192">
        <v>0.2</v>
      </c>
      <c r="L13" s="192">
        <v>1072117.956</v>
      </c>
      <c r="M13" s="192">
        <v>1272117.956</v>
      </c>
      <c r="N13" s="192">
        <v>1282170.206</v>
      </c>
      <c r="O13" s="192">
        <v>4088471.824</v>
      </c>
      <c r="P13" s="192">
        <v>21000</v>
      </c>
      <c r="Q13" s="192">
        <v>33000</v>
      </c>
      <c r="R13" s="192">
        <v>75000</v>
      </c>
      <c r="S13" s="192">
        <v>95000</v>
      </c>
      <c r="T13" s="192">
        <v>336000</v>
      </c>
      <c r="U13" s="192">
        <v>213233.23775999999</v>
      </c>
      <c r="V13" s="192">
        <v>773233.23776000005</v>
      </c>
      <c r="W13" s="192">
        <v>12</v>
      </c>
      <c r="X13" s="192">
        <v>64436.103146666697</v>
      </c>
      <c r="Z13" s="192">
        <v>64436.103146666697</v>
      </c>
      <c r="AA13" s="192">
        <v>64436.1</v>
      </c>
      <c r="AB13" s="192">
        <v>3.1466666623600802E-3</v>
      </c>
    </row>
    <row r="14" spans="1:28">
      <c r="A14" s="195">
        <v>11</v>
      </c>
      <c r="B14" s="192" t="s">
        <v>223</v>
      </c>
      <c r="C14" s="192">
        <v>436137.05</v>
      </c>
      <c r="D14" s="192">
        <v>12</v>
      </c>
      <c r="E14" s="192">
        <v>5233644.5999999996</v>
      </c>
      <c r="I14" s="192">
        <v>5233644.5999999996</v>
      </c>
      <c r="J14" s="192">
        <v>200000</v>
      </c>
      <c r="K14" s="192">
        <v>0.2</v>
      </c>
      <c r="L14" s="192">
        <v>1046728.92</v>
      </c>
      <c r="M14" s="192">
        <v>1246728.92</v>
      </c>
      <c r="N14" s="192">
        <v>1246728.92</v>
      </c>
      <c r="O14" s="192">
        <v>3986915.68</v>
      </c>
      <c r="P14" s="192">
        <v>21000</v>
      </c>
      <c r="Q14" s="192">
        <v>33000</v>
      </c>
      <c r="R14" s="192">
        <v>75000</v>
      </c>
      <c r="S14" s="192">
        <v>95000</v>
      </c>
      <c r="T14" s="192">
        <v>336000</v>
      </c>
      <c r="U14" s="192">
        <v>188859.76319999999</v>
      </c>
      <c r="V14" s="192">
        <v>748859.76320000004</v>
      </c>
      <c r="W14" s="192">
        <v>12</v>
      </c>
      <c r="X14" s="192">
        <v>62404.980266666702</v>
      </c>
      <c r="Z14" s="192">
        <v>62404.980266666702</v>
      </c>
      <c r="AA14" s="192">
        <v>60212.92</v>
      </c>
      <c r="AB14" s="192">
        <v>2192.06026666666</v>
      </c>
    </row>
    <row r="15" spans="1:28">
      <c r="A15" s="195">
        <v>12</v>
      </c>
      <c r="B15" s="192" t="s">
        <v>1109</v>
      </c>
      <c r="C15" s="192">
        <v>393333.03525000002</v>
      </c>
      <c r="D15" s="192">
        <v>12</v>
      </c>
      <c r="E15" s="192">
        <v>4719996.4230000004</v>
      </c>
      <c r="I15" s="192">
        <v>4719996.4230000004</v>
      </c>
      <c r="J15" s="192">
        <v>200000</v>
      </c>
      <c r="K15" s="192">
        <v>0.2</v>
      </c>
      <c r="L15" s="192">
        <v>943999.28460000001</v>
      </c>
      <c r="M15" s="192">
        <v>1143999.2845999999</v>
      </c>
      <c r="N15" s="192">
        <v>1143999.2845999999</v>
      </c>
      <c r="O15" s="192">
        <v>3575997.1384000001</v>
      </c>
      <c r="P15" s="192">
        <v>21000</v>
      </c>
      <c r="Q15" s="192">
        <v>33000</v>
      </c>
      <c r="R15" s="192">
        <v>75000</v>
      </c>
      <c r="S15" s="192">
        <v>95000</v>
      </c>
      <c r="T15" s="192">
        <v>336000</v>
      </c>
      <c r="U15" s="192">
        <v>90239.313216000097</v>
      </c>
      <c r="V15" s="192">
        <v>650239.31321599998</v>
      </c>
      <c r="W15" s="192">
        <v>12</v>
      </c>
      <c r="X15" s="192">
        <v>54186.609434666701</v>
      </c>
      <c r="Z15" s="192">
        <v>54186.609434666701</v>
      </c>
      <c r="AA15" s="192">
        <v>52638.9</v>
      </c>
      <c r="AB15" s="192">
        <v>1547.7094346666699</v>
      </c>
    </row>
    <row r="16" spans="1:28">
      <c r="A16" s="195">
        <v>13</v>
      </c>
      <c r="B16" s="192" t="s">
        <v>1019</v>
      </c>
      <c r="C16" s="192">
        <v>343333.03525000002</v>
      </c>
      <c r="D16" s="192">
        <v>12</v>
      </c>
      <c r="E16" s="192">
        <v>4119996.423</v>
      </c>
      <c r="F16" s="192">
        <v>8019.8</v>
      </c>
      <c r="I16" s="192">
        <v>4111976.6230000001</v>
      </c>
      <c r="J16" s="192">
        <v>200000</v>
      </c>
      <c r="K16" s="192">
        <v>0.2</v>
      </c>
      <c r="L16" s="192">
        <v>822395.32460000005</v>
      </c>
      <c r="M16" s="192">
        <v>1022395.3246000001</v>
      </c>
      <c r="N16" s="192">
        <v>1030415.1246</v>
      </c>
      <c r="O16" s="192">
        <v>3089581.2984000002</v>
      </c>
      <c r="P16" s="192">
        <v>21000</v>
      </c>
      <c r="Q16" s="192">
        <v>33000</v>
      </c>
      <c r="R16" s="192">
        <v>75000</v>
      </c>
      <c r="S16" s="192">
        <v>95000</v>
      </c>
      <c r="T16" s="192">
        <v>312812.07266399998</v>
      </c>
      <c r="V16" s="192">
        <v>536812.07266399998</v>
      </c>
      <c r="W16" s="192">
        <v>12</v>
      </c>
      <c r="X16" s="192">
        <v>44734.339388666704</v>
      </c>
      <c r="Z16" s="192">
        <v>44734.339388666704</v>
      </c>
      <c r="AA16" s="192">
        <v>43380</v>
      </c>
      <c r="AB16" s="192">
        <v>1354.3393886666499</v>
      </c>
    </row>
    <row r="17" spans="1:28">
      <c r="A17" s="195">
        <v>14</v>
      </c>
      <c r="B17" s="192" t="s">
        <v>1111</v>
      </c>
      <c r="C17" s="192">
        <v>563333.03524999996</v>
      </c>
      <c r="D17" s="192">
        <v>12</v>
      </c>
      <c r="E17" s="192">
        <v>6759996.4230000004</v>
      </c>
      <c r="I17" s="192">
        <v>6759996.4230000004</v>
      </c>
      <c r="J17" s="192">
        <v>200000</v>
      </c>
      <c r="K17" s="192">
        <v>0.2</v>
      </c>
      <c r="L17" s="192">
        <v>1351999.2845999999</v>
      </c>
      <c r="M17" s="192">
        <v>1551999.2845999999</v>
      </c>
      <c r="N17" s="192">
        <v>1551999.2845999999</v>
      </c>
      <c r="O17" s="192">
        <v>5207997.1383999996</v>
      </c>
      <c r="P17" s="192">
        <v>21000</v>
      </c>
      <c r="Q17" s="192">
        <v>33000</v>
      </c>
      <c r="R17" s="192">
        <v>75000</v>
      </c>
      <c r="S17" s="192">
        <v>95000</v>
      </c>
      <c r="T17" s="192">
        <v>336000</v>
      </c>
      <c r="U17" s="192">
        <v>481919.31321599998</v>
      </c>
      <c r="V17" s="192">
        <v>1041919.313216</v>
      </c>
      <c r="W17" s="192">
        <v>12</v>
      </c>
      <c r="X17" s="192">
        <v>86826.609434666694</v>
      </c>
      <c r="Z17" s="192">
        <v>86826.609434666694</v>
      </c>
      <c r="AA17" s="192">
        <v>85278.9</v>
      </c>
      <c r="AB17" s="192">
        <v>1547.7094346666599</v>
      </c>
    </row>
    <row r="18" spans="1:28">
      <c r="A18" s="195">
        <v>15</v>
      </c>
      <c r="B18" s="192" t="s">
        <v>252</v>
      </c>
      <c r="C18" s="192">
        <v>338333.03525000002</v>
      </c>
      <c r="D18" s="192">
        <v>12</v>
      </c>
      <c r="E18" s="192">
        <v>4059996.423</v>
      </c>
      <c r="I18" s="192">
        <v>4059996.423</v>
      </c>
      <c r="J18" s="192">
        <v>200000</v>
      </c>
      <c r="K18" s="192">
        <v>0.2</v>
      </c>
      <c r="L18" s="192">
        <v>811999.28460000001</v>
      </c>
      <c r="M18" s="192">
        <v>1011999.2846</v>
      </c>
      <c r="N18" s="192">
        <v>1011999.2846</v>
      </c>
      <c r="O18" s="192">
        <v>3047997.1384000001</v>
      </c>
      <c r="P18" s="192">
        <v>21000</v>
      </c>
      <c r="Q18" s="192">
        <v>33000</v>
      </c>
      <c r="R18" s="192">
        <v>75000</v>
      </c>
      <c r="S18" s="192">
        <v>95000</v>
      </c>
      <c r="T18" s="192">
        <v>304079.399064</v>
      </c>
      <c r="V18" s="192">
        <v>528079.399064</v>
      </c>
      <c r="W18" s="192">
        <v>12</v>
      </c>
      <c r="X18" s="192">
        <v>44006.6165886667</v>
      </c>
      <c r="Z18" s="192">
        <v>44006.6165886667</v>
      </c>
      <c r="AA18" s="192">
        <v>43492.0396866667</v>
      </c>
      <c r="AB18" s="192">
        <v>514.57690199999297</v>
      </c>
    </row>
    <row r="19" spans="1:28">
      <c r="A19" s="195">
        <v>16</v>
      </c>
      <c r="B19" s="192" t="s">
        <v>264</v>
      </c>
      <c r="C19" s="192">
        <v>362001.06050000002</v>
      </c>
      <c r="D19" s="192">
        <v>12</v>
      </c>
      <c r="E19" s="192">
        <v>4344012.7259999998</v>
      </c>
      <c r="F19" s="192">
        <v>7422.38</v>
      </c>
      <c r="I19" s="192">
        <v>4336590.3459999999</v>
      </c>
      <c r="J19" s="192">
        <v>200000</v>
      </c>
      <c r="K19" s="192">
        <v>0.2</v>
      </c>
      <c r="L19" s="192">
        <v>867318.06920000003</v>
      </c>
      <c r="M19" s="192">
        <v>1067318.0692</v>
      </c>
      <c r="N19" s="192">
        <v>1074740.4491999999</v>
      </c>
      <c r="O19" s="192">
        <v>3269272.2768000001</v>
      </c>
      <c r="P19" s="192">
        <v>21000</v>
      </c>
      <c r="Q19" s="192">
        <v>33000</v>
      </c>
      <c r="R19" s="192">
        <v>75000</v>
      </c>
      <c r="S19" s="192">
        <v>95000</v>
      </c>
      <c r="T19" s="192">
        <v>336000</v>
      </c>
      <c r="V19" s="192">
        <v>560000</v>
      </c>
      <c r="W19" s="192">
        <v>12</v>
      </c>
      <c r="X19" s="192">
        <v>46666.666666666701</v>
      </c>
      <c r="Z19" s="192">
        <v>46666.666666666701</v>
      </c>
      <c r="AA19" s="192">
        <v>46673.26</v>
      </c>
      <c r="AB19" s="192">
        <v>-6.5933333333378004</v>
      </c>
    </row>
    <row r="20" spans="1:28">
      <c r="A20" s="195">
        <v>17</v>
      </c>
      <c r="B20" s="192" t="s">
        <v>267</v>
      </c>
      <c r="C20" s="192">
        <v>449201.02600000001</v>
      </c>
      <c r="D20" s="192">
        <v>12</v>
      </c>
      <c r="E20" s="192">
        <v>5390412.3119999999</v>
      </c>
      <c r="I20" s="192">
        <v>5390412.3119999999</v>
      </c>
      <c r="J20" s="192">
        <v>200000</v>
      </c>
      <c r="K20" s="192">
        <v>0.2</v>
      </c>
      <c r="L20" s="192">
        <v>1078082.4624000001</v>
      </c>
      <c r="M20" s="192">
        <v>1278082.4624000001</v>
      </c>
      <c r="N20" s="192">
        <v>1278082.4624000001</v>
      </c>
      <c r="O20" s="192">
        <v>4112329.8495999998</v>
      </c>
      <c r="P20" s="192">
        <v>21000</v>
      </c>
      <c r="Q20" s="192">
        <v>33000</v>
      </c>
      <c r="R20" s="192">
        <v>75000</v>
      </c>
      <c r="S20" s="192">
        <v>95000</v>
      </c>
      <c r="T20" s="192">
        <v>336000</v>
      </c>
      <c r="U20" s="192">
        <v>218959.16390399999</v>
      </c>
      <c r="V20" s="192">
        <v>778959.16390399996</v>
      </c>
      <c r="W20" s="192">
        <v>12</v>
      </c>
      <c r="X20" s="192">
        <v>64913.263658666699</v>
      </c>
      <c r="Z20" s="192">
        <v>64913.263658666699</v>
      </c>
      <c r="AA20" s="192">
        <v>63364.81</v>
      </c>
      <c r="AB20" s="192">
        <v>1548.45365866666</v>
      </c>
    </row>
    <row r="21" spans="1:28">
      <c r="A21" s="195">
        <v>18</v>
      </c>
      <c r="B21" s="192" t="s">
        <v>389</v>
      </c>
      <c r="C21" s="192">
        <v>284536.99849999999</v>
      </c>
      <c r="D21" s="192">
        <v>12</v>
      </c>
      <c r="E21" s="192">
        <v>3414443.9819999998</v>
      </c>
      <c r="F21" s="192">
        <v>6922.5</v>
      </c>
      <c r="I21" s="192">
        <v>3407521.4819999998</v>
      </c>
      <c r="J21" s="192">
        <v>200000</v>
      </c>
      <c r="K21" s="192">
        <v>0.2</v>
      </c>
      <c r="L21" s="192">
        <v>681504.29639999999</v>
      </c>
      <c r="M21" s="192">
        <v>881504.29639999999</v>
      </c>
      <c r="N21" s="192">
        <v>888426.79639999999</v>
      </c>
      <c r="O21" s="192">
        <v>2526017.1856</v>
      </c>
      <c r="P21" s="192">
        <v>21000</v>
      </c>
      <c r="Q21" s="192">
        <v>33000</v>
      </c>
      <c r="R21" s="192">
        <v>75000</v>
      </c>
      <c r="S21" s="192">
        <v>95000</v>
      </c>
      <c r="T21" s="192">
        <v>194463.60897599999</v>
      </c>
      <c r="U21" s="192">
        <v>0</v>
      </c>
      <c r="V21" s="192">
        <v>418463.60897599999</v>
      </c>
      <c r="W21" s="192">
        <v>12</v>
      </c>
      <c r="X21" s="192">
        <v>34871.967414666702</v>
      </c>
      <c r="Z21" s="192">
        <v>34871.967414666702</v>
      </c>
      <c r="AA21" s="192">
        <v>31848.560000000001</v>
      </c>
      <c r="AB21" s="192">
        <v>3023.4074146666599</v>
      </c>
    </row>
    <row r="22" spans="1:28">
      <c r="A22" s="195">
        <v>19</v>
      </c>
      <c r="B22" s="192" t="s">
        <v>270</v>
      </c>
      <c r="C22" s="192">
        <v>267454.07400000002</v>
      </c>
      <c r="D22" s="192">
        <v>12</v>
      </c>
      <c r="E22" s="192">
        <v>3209448.8879999998</v>
      </c>
      <c r="F22" s="192">
        <v>6456.26</v>
      </c>
      <c r="I22" s="192">
        <v>3202992.628</v>
      </c>
      <c r="J22" s="192">
        <v>200000</v>
      </c>
      <c r="K22" s="192">
        <v>0.2</v>
      </c>
      <c r="L22" s="192">
        <v>640598.52560000005</v>
      </c>
      <c r="M22" s="192">
        <v>840598.52560000005</v>
      </c>
      <c r="N22" s="192">
        <v>847054.78559999994</v>
      </c>
      <c r="O22" s="192">
        <v>2362394.1024000002</v>
      </c>
      <c r="P22" s="192">
        <v>21000</v>
      </c>
      <c r="Q22" s="192">
        <v>33000</v>
      </c>
      <c r="R22" s="192">
        <v>75000</v>
      </c>
      <c r="S22" s="192">
        <v>95000</v>
      </c>
      <c r="T22" s="192">
        <v>160102.76150399999</v>
      </c>
      <c r="V22" s="192">
        <v>384102.76150399999</v>
      </c>
      <c r="W22" s="192">
        <v>12</v>
      </c>
      <c r="X22" s="192">
        <v>32008.5634586667</v>
      </c>
      <c r="Z22" s="192">
        <v>32008.5634586667</v>
      </c>
      <c r="AA22" s="192">
        <v>31749.189126666701</v>
      </c>
      <c r="AB22" s="192">
        <v>259.37433200000697</v>
      </c>
    </row>
    <row r="23" spans="1:28">
      <c r="A23" s="195">
        <v>20</v>
      </c>
      <c r="B23" s="192" t="s">
        <v>387</v>
      </c>
      <c r="C23" s="192">
        <v>267454.07400000002</v>
      </c>
      <c r="D23" s="192">
        <v>12</v>
      </c>
      <c r="E23" s="192">
        <v>3209448.8879999998</v>
      </c>
      <c r="I23" s="192">
        <v>3209448.8879999998</v>
      </c>
      <c r="J23" s="192">
        <v>200000</v>
      </c>
      <c r="K23" s="192">
        <v>0.2</v>
      </c>
      <c r="L23" s="192">
        <v>641889.77760000003</v>
      </c>
      <c r="M23" s="192">
        <v>841889.77760000003</v>
      </c>
      <c r="N23" s="192">
        <v>841889.77760000003</v>
      </c>
      <c r="O23" s="192">
        <v>2367559.1104000001</v>
      </c>
      <c r="P23" s="192">
        <v>21000</v>
      </c>
      <c r="Q23" s="192">
        <v>33000</v>
      </c>
      <c r="R23" s="192">
        <v>75000</v>
      </c>
      <c r="S23" s="192">
        <v>95000</v>
      </c>
      <c r="T23" s="192">
        <v>161187.413184</v>
      </c>
      <c r="V23" s="192">
        <v>385187.413184</v>
      </c>
      <c r="W23" s="192">
        <v>12</v>
      </c>
      <c r="X23" s="192">
        <v>32098.951098666701</v>
      </c>
      <c r="Z23" s="192">
        <v>32098.951098666701</v>
      </c>
      <c r="AA23" s="192">
        <v>31749.189126666701</v>
      </c>
      <c r="AB23" s="192">
        <v>349.76197200000797</v>
      </c>
    </row>
    <row r="24" spans="1:28">
      <c r="A24" s="195">
        <v>21</v>
      </c>
      <c r="B24" s="192" t="s">
        <v>427</v>
      </c>
      <c r="C24" s="192">
        <v>242300.07750000001</v>
      </c>
      <c r="D24" s="192">
        <v>12</v>
      </c>
      <c r="E24" s="192">
        <v>2907600.93</v>
      </c>
      <c r="I24" s="192">
        <v>2907600.93</v>
      </c>
      <c r="J24" s="192">
        <v>200000</v>
      </c>
      <c r="K24" s="192">
        <v>0.2</v>
      </c>
      <c r="L24" s="192">
        <v>581520.18599999999</v>
      </c>
      <c r="M24" s="192">
        <v>781520.18599999999</v>
      </c>
      <c r="N24" s="192">
        <v>781520.18599999999</v>
      </c>
      <c r="O24" s="192">
        <v>2126080.7439999999</v>
      </c>
      <c r="P24" s="192">
        <v>21000</v>
      </c>
      <c r="Q24" s="192">
        <v>33000</v>
      </c>
      <c r="R24" s="192">
        <v>75000</v>
      </c>
      <c r="S24" s="192">
        <v>95000</v>
      </c>
      <c r="T24" s="192">
        <v>110476.95624</v>
      </c>
      <c r="V24" s="192">
        <v>334476.95624000003</v>
      </c>
      <c r="W24" s="192">
        <v>12</v>
      </c>
      <c r="X24" s="192">
        <v>27873.079686666701</v>
      </c>
      <c r="Z24" s="192">
        <v>27873.079686666701</v>
      </c>
      <c r="AA24" s="192">
        <v>27105.99</v>
      </c>
      <c r="AB24" s="192">
        <v>767.08968666666306</v>
      </c>
    </row>
    <row r="25" spans="1:28">
      <c r="A25" s="195">
        <v>22</v>
      </c>
      <c r="B25" s="192" t="s">
        <v>1113</v>
      </c>
      <c r="C25" s="192">
        <v>237734.04699999999</v>
      </c>
      <c r="D25" s="192">
        <v>12</v>
      </c>
      <c r="E25" s="192">
        <v>2852808.5639999998</v>
      </c>
      <c r="I25" s="192">
        <v>2852808.5639999998</v>
      </c>
      <c r="J25" s="192">
        <v>200000</v>
      </c>
      <c r="K25" s="192">
        <v>0.2</v>
      </c>
      <c r="L25" s="192">
        <v>570561.71279999998</v>
      </c>
      <c r="M25" s="192">
        <v>770561.71279999998</v>
      </c>
      <c r="N25" s="192">
        <v>770561.71279999998</v>
      </c>
      <c r="O25" s="192">
        <v>2082246.8511999999</v>
      </c>
      <c r="P25" s="192">
        <v>21000</v>
      </c>
      <c r="Q25" s="192">
        <v>33000</v>
      </c>
      <c r="R25" s="192">
        <v>75000</v>
      </c>
      <c r="S25" s="192">
        <v>95000</v>
      </c>
      <c r="T25" s="192">
        <v>101271.838752</v>
      </c>
      <c r="V25" s="192">
        <v>325271.83875200001</v>
      </c>
      <c r="W25" s="192">
        <v>12</v>
      </c>
      <c r="X25" s="192">
        <v>27105.986562666702</v>
      </c>
      <c r="Z25" s="192">
        <v>27105.986562666702</v>
      </c>
      <c r="AA25" s="192">
        <v>26339.08</v>
      </c>
      <c r="AB25" s="192">
        <v>766.90656266666701</v>
      </c>
    </row>
    <row r="26" spans="1:28">
      <c r="A26" s="195">
        <v>23</v>
      </c>
      <c r="B26" s="192" t="s">
        <v>278</v>
      </c>
      <c r="C26" s="192">
        <v>205204.0845</v>
      </c>
      <c r="D26" s="192">
        <v>12</v>
      </c>
      <c r="E26" s="192">
        <v>2462449.014</v>
      </c>
      <c r="I26" s="192">
        <v>2462449.014</v>
      </c>
      <c r="J26" s="192">
        <v>200000</v>
      </c>
      <c r="K26" s="192">
        <v>0.2</v>
      </c>
      <c r="L26" s="192">
        <v>492489.8028</v>
      </c>
      <c r="M26" s="192">
        <v>692489.80279999995</v>
      </c>
      <c r="N26" s="192">
        <v>692489.80279999995</v>
      </c>
      <c r="O26" s="192">
        <v>1769959.2112</v>
      </c>
      <c r="P26" s="192">
        <v>21000</v>
      </c>
      <c r="Q26" s="192">
        <v>33000</v>
      </c>
      <c r="R26" s="192">
        <v>75000</v>
      </c>
      <c r="S26" s="192">
        <v>95000</v>
      </c>
      <c r="T26" s="192">
        <v>35691.434351999997</v>
      </c>
      <c r="V26" s="192">
        <v>259691.43435200001</v>
      </c>
      <c r="W26" s="192">
        <v>12</v>
      </c>
      <c r="X26" s="192">
        <v>21640.952862666702</v>
      </c>
      <c r="Z26" s="192">
        <v>21640.952862666702</v>
      </c>
      <c r="AA26" s="192">
        <v>21640.95</v>
      </c>
      <c r="AB26" s="192">
        <v>2.86266666807933E-3</v>
      </c>
    </row>
    <row r="27" spans="1:28">
      <c r="A27" s="195">
        <v>24</v>
      </c>
      <c r="B27" s="192" t="s">
        <v>280</v>
      </c>
      <c r="C27" s="192">
        <v>209356.04725</v>
      </c>
      <c r="D27" s="192">
        <v>12</v>
      </c>
      <c r="E27" s="192">
        <v>2512272.5669999998</v>
      </c>
      <c r="I27" s="192">
        <v>2512272.5669999998</v>
      </c>
      <c r="J27" s="192">
        <v>200000</v>
      </c>
      <c r="K27" s="192">
        <v>0.2</v>
      </c>
      <c r="L27" s="192">
        <v>502454.5134</v>
      </c>
      <c r="M27" s="192">
        <v>702454.51340000005</v>
      </c>
      <c r="N27" s="192">
        <v>702454.51340000005</v>
      </c>
      <c r="O27" s="192">
        <v>1809818.0536</v>
      </c>
      <c r="P27" s="192">
        <v>21000</v>
      </c>
      <c r="Q27" s="192">
        <v>33000</v>
      </c>
      <c r="R27" s="192">
        <v>75000</v>
      </c>
      <c r="S27" s="192">
        <v>95000</v>
      </c>
      <c r="T27" s="192">
        <v>44061.791255999902</v>
      </c>
      <c r="V27" s="192">
        <v>268061.791256</v>
      </c>
      <c r="W27" s="192">
        <v>12</v>
      </c>
      <c r="X27" s="192">
        <v>22338.4826046667</v>
      </c>
      <c r="Z27" s="192">
        <v>22338.4826046667</v>
      </c>
      <c r="AA27" s="192">
        <v>21640.95</v>
      </c>
      <c r="AB27" s="192">
        <v>697.53260466665995</v>
      </c>
    </row>
    <row r="28" spans="1:28">
      <c r="A28" s="195">
        <v>25</v>
      </c>
      <c r="B28" s="192" t="s">
        <v>1020</v>
      </c>
      <c r="C28" s="192">
        <v>209356.04725</v>
      </c>
      <c r="D28" s="192">
        <v>12</v>
      </c>
      <c r="E28" s="192">
        <v>2512272.5669999998</v>
      </c>
      <c r="I28" s="192">
        <v>2512272.5669999998</v>
      </c>
      <c r="J28" s="192">
        <v>200000</v>
      </c>
      <c r="K28" s="192">
        <v>0.2</v>
      </c>
      <c r="L28" s="192">
        <v>502454.5134</v>
      </c>
      <c r="M28" s="192">
        <v>702454.51340000005</v>
      </c>
      <c r="N28" s="192">
        <v>702454.51340000005</v>
      </c>
      <c r="O28" s="192">
        <v>1809818.0536</v>
      </c>
      <c r="P28" s="192">
        <v>21000</v>
      </c>
      <c r="Q28" s="192">
        <v>33000</v>
      </c>
      <c r="R28" s="192">
        <v>75000</v>
      </c>
      <c r="S28" s="192">
        <v>95000</v>
      </c>
      <c r="T28" s="192">
        <v>44061.791255999902</v>
      </c>
      <c r="V28" s="192">
        <v>268061.791256</v>
      </c>
      <c r="W28" s="192">
        <v>12</v>
      </c>
      <c r="X28" s="192">
        <v>22338.4826046667</v>
      </c>
      <c r="Z28" s="192">
        <v>22338.4826046667</v>
      </c>
      <c r="AA28" s="192">
        <v>21640.95</v>
      </c>
      <c r="AB28" s="192">
        <v>697.53260466665995</v>
      </c>
    </row>
    <row r="29" spans="1:28">
      <c r="A29" s="195">
        <v>26</v>
      </c>
      <c r="B29" s="192" t="s">
        <v>282</v>
      </c>
      <c r="C29" s="192">
        <v>183791.02674999999</v>
      </c>
      <c r="D29" s="192">
        <v>12</v>
      </c>
      <c r="E29" s="192">
        <v>2205492.321</v>
      </c>
      <c r="I29" s="192">
        <v>2205492.321</v>
      </c>
      <c r="J29" s="192">
        <v>200000</v>
      </c>
      <c r="K29" s="192">
        <v>0.2</v>
      </c>
      <c r="L29" s="192">
        <v>441098.46419999999</v>
      </c>
      <c r="M29" s="192">
        <v>641098.46420000005</v>
      </c>
      <c r="N29" s="192">
        <v>641098.46420000005</v>
      </c>
      <c r="O29" s="192">
        <v>1564393.8568</v>
      </c>
      <c r="P29" s="192">
        <v>21000</v>
      </c>
      <c r="Q29" s="192">
        <v>33000</v>
      </c>
      <c r="R29" s="192">
        <v>75000</v>
      </c>
      <c r="S29" s="192">
        <v>88234.832792000001</v>
      </c>
      <c r="T29" s="192">
        <v>0</v>
      </c>
      <c r="V29" s="192">
        <v>217234.832792</v>
      </c>
      <c r="W29" s="192">
        <v>12</v>
      </c>
      <c r="X29" s="192">
        <v>18102.902732666698</v>
      </c>
      <c r="Z29" s="192">
        <v>18102.902732666698</v>
      </c>
      <c r="AA29" s="192">
        <v>17572.89</v>
      </c>
      <c r="AB29" s="192">
        <v>530.01273266666601</v>
      </c>
    </row>
    <row r="30" spans="1:28">
      <c r="A30" s="195">
        <v>27</v>
      </c>
      <c r="B30" s="192" t="s">
        <v>370</v>
      </c>
      <c r="C30" s="192">
        <v>183791.02674999999</v>
      </c>
      <c r="D30" s="192">
        <v>12</v>
      </c>
      <c r="E30" s="192">
        <v>2205492.321</v>
      </c>
      <c r="I30" s="192">
        <v>2205492.321</v>
      </c>
      <c r="J30" s="192">
        <v>200000</v>
      </c>
      <c r="K30" s="192">
        <v>0.2</v>
      </c>
      <c r="L30" s="192">
        <v>441098.46419999999</v>
      </c>
      <c r="M30" s="192">
        <v>641098.46420000005</v>
      </c>
      <c r="N30" s="192">
        <v>641098.46420000005</v>
      </c>
      <c r="O30" s="192">
        <v>1564393.8568</v>
      </c>
      <c r="P30" s="192">
        <v>21000</v>
      </c>
      <c r="Q30" s="192">
        <v>33000</v>
      </c>
      <c r="R30" s="192">
        <v>75000</v>
      </c>
      <c r="S30" s="192">
        <v>88234.832792000001</v>
      </c>
      <c r="T30" s="192">
        <v>0</v>
      </c>
      <c r="V30" s="192">
        <v>217234.832792</v>
      </c>
      <c r="W30" s="192">
        <v>12</v>
      </c>
      <c r="X30" s="192">
        <v>18102.902732666698</v>
      </c>
      <c r="Z30" s="192">
        <v>18102.902732666698</v>
      </c>
      <c r="AA30" s="192">
        <v>17572.89</v>
      </c>
      <c r="AB30" s="192">
        <v>530.01273266666601</v>
      </c>
    </row>
    <row r="31" spans="1:28">
      <c r="A31" s="195">
        <v>28</v>
      </c>
      <c r="B31" s="192" t="s">
        <v>284</v>
      </c>
      <c r="C31" s="192">
        <v>183791.02674999999</v>
      </c>
      <c r="D31" s="192">
        <v>12</v>
      </c>
      <c r="E31" s="192">
        <v>2205492.321</v>
      </c>
      <c r="I31" s="192">
        <v>2205492.321</v>
      </c>
      <c r="J31" s="192">
        <v>200000</v>
      </c>
      <c r="K31" s="192">
        <v>0.2</v>
      </c>
      <c r="L31" s="192">
        <v>441098.46419999999</v>
      </c>
      <c r="M31" s="192">
        <v>641098.46420000005</v>
      </c>
      <c r="N31" s="192">
        <v>641098.46420000005</v>
      </c>
      <c r="O31" s="192">
        <v>1564393.8568</v>
      </c>
      <c r="P31" s="192">
        <v>21000</v>
      </c>
      <c r="Q31" s="192">
        <v>33000</v>
      </c>
      <c r="R31" s="192">
        <v>75000</v>
      </c>
      <c r="S31" s="192">
        <v>88234.832792000001</v>
      </c>
      <c r="T31" s="192">
        <v>0</v>
      </c>
      <c r="V31" s="192">
        <v>217234.832792</v>
      </c>
      <c r="W31" s="192">
        <v>12</v>
      </c>
      <c r="X31" s="192">
        <v>18102.902732666698</v>
      </c>
      <c r="Z31" s="192">
        <v>18102.902732666698</v>
      </c>
      <c r="AA31" s="192">
        <v>17572.89</v>
      </c>
      <c r="AB31" s="192">
        <v>530.01273266666601</v>
      </c>
    </row>
    <row r="32" spans="1:28">
      <c r="A32" s="195">
        <v>29</v>
      </c>
      <c r="B32" s="192" t="s">
        <v>287</v>
      </c>
      <c r="C32" s="192">
        <v>209356.04725</v>
      </c>
      <c r="D32" s="192">
        <v>12</v>
      </c>
      <c r="E32" s="192">
        <v>2512272.5669999998</v>
      </c>
      <c r="I32" s="192">
        <v>2512272.5669999998</v>
      </c>
      <c r="J32" s="192">
        <v>200000</v>
      </c>
      <c r="K32" s="192">
        <v>0.2</v>
      </c>
      <c r="L32" s="192">
        <v>502454.5134</v>
      </c>
      <c r="M32" s="192">
        <v>702454.51340000005</v>
      </c>
      <c r="N32" s="192">
        <v>702454.51340000005</v>
      </c>
      <c r="O32" s="192">
        <v>1809818.0536</v>
      </c>
      <c r="P32" s="192">
        <v>21000</v>
      </c>
      <c r="Q32" s="192">
        <v>33000</v>
      </c>
      <c r="R32" s="192">
        <v>75000</v>
      </c>
      <c r="S32" s="192">
        <v>95000</v>
      </c>
      <c r="T32" s="192">
        <v>44061.791255999902</v>
      </c>
      <c r="V32" s="192">
        <v>268061.791256</v>
      </c>
      <c r="W32" s="192">
        <v>12</v>
      </c>
      <c r="X32" s="192">
        <v>22338.4826046667</v>
      </c>
      <c r="Z32" s="192">
        <v>22338.4826046667</v>
      </c>
      <c r="AA32" s="192">
        <v>21640.95</v>
      </c>
      <c r="AB32" s="192">
        <v>697.53260466665995</v>
      </c>
    </row>
    <row r="33" spans="1:28">
      <c r="A33" s="195">
        <v>30</v>
      </c>
      <c r="B33" s="192" t="s">
        <v>289</v>
      </c>
      <c r="C33" s="192">
        <v>176816.1</v>
      </c>
      <c r="D33" s="192">
        <v>12</v>
      </c>
      <c r="E33" s="192">
        <v>2121793.2000000002</v>
      </c>
      <c r="I33" s="192">
        <v>2121793.2000000002</v>
      </c>
      <c r="J33" s="192">
        <v>200000</v>
      </c>
      <c r="K33" s="192">
        <v>0.2</v>
      </c>
      <c r="L33" s="192">
        <v>424358.64</v>
      </c>
      <c r="M33" s="192">
        <v>624358.64</v>
      </c>
      <c r="N33" s="192">
        <v>624358.64</v>
      </c>
      <c r="O33" s="192">
        <v>1497434.56</v>
      </c>
      <c r="P33" s="192">
        <v>21000</v>
      </c>
      <c r="Q33" s="192">
        <v>33000</v>
      </c>
      <c r="R33" s="192">
        <v>75000</v>
      </c>
      <c r="S33" s="192">
        <v>75512.566399999996</v>
      </c>
      <c r="T33" s="192">
        <v>0</v>
      </c>
      <c r="V33" s="192">
        <v>204512.56640000001</v>
      </c>
      <c r="W33" s="192">
        <v>12</v>
      </c>
      <c r="X33" s="192">
        <v>17042.713866666702</v>
      </c>
      <c r="Z33" s="192">
        <v>17042.713866666702</v>
      </c>
      <c r="AA33" s="192">
        <v>16512.68</v>
      </c>
      <c r="AB33" s="192">
        <v>530.03386666666802</v>
      </c>
    </row>
    <row r="34" spans="1:28">
      <c r="A34" s="195">
        <v>31</v>
      </c>
      <c r="B34" s="192" t="s">
        <v>933</v>
      </c>
      <c r="C34" s="192">
        <v>176817.1</v>
      </c>
      <c r="D34" s="192">
        <v>12</v>
      </c>
      <c r="E34" s="192">
        <v>2121805.2000000002</v>
      </c>
      <c r="I34" s="192">
        <v>2121805.2000000002</v>
      </c>
      <c r="J34" s="192">
        <v>200000</v>
      </c>
      <c r="K34" s="192">
        <v>0.2</v>
      </c>
      <c r="L34" s="192">
        <v>424361.04</v>
      </c>
      <c r="M34" s="192">
        <v>624361.04</v>
      </c>
      <c r="N34" s="192">
        <v>624361.04</v>
      </c>
      <c r="O34" s="192">
        <v>1497444.16</v>
      </c>
      <c r="P34" s="192">
        <v>21000</v>
      </c>
      <c r="Q34" s="192">
        <v>33000</v>
      </c>
      <c r="R34" s="192">
        <v>75000</v>
      </c>
      <c r="S34" s="192">
        <v>75514.390400000004</v>
      </c>
      <c r="T34" s="192">
        <v>0</v>
      </c>
      <c r="V34" s="192">
        <v>204514.3904</v>
      </c>
      <c r="W34" s="192">
        <v>12</v>
      </c>
      <c r="X34" s="192">
        <v>17042.8658666667</v>
      </c>
      <c r="Z34" s="192">
        <v>17042.8658666667</v>
      </c>
      <c r="AA34" s="192">
        <v>16512.68</v>
      </c>
      <c r="AB34" s="192">
        <v>530.18586666666999</v>
      </c>
    </row>
    <row r="35" spans="1:28">
      <c r="A35" s="195">
        <v>32</v>
      </c>
      <c r="B35" s="192" t="s">
        <v>1114</v>
      </c>
      <c r="C35" s="192">
        <v>176818.1</v>
      </c>
      <c r="D35" s="192">
        <v>12</v>
      </c>
      <c r="E35" s="192">
        <v>2121817.2000000002</v>
      </c>
      <c r="I35" s="192">
        <v>2121817.2000000002</v>
      </c>
      <c r="J35" s="192">
        <v>200000</v>
      </c>
      <c r="K35" s="192">
        <v>0.2</v>
      </c>
      <c r="L35" s="192">
        <v>424363.44</v>
      </c>
      <c r="M35" s="192">
        <v>624363.43999999994</v>
      </c>
      <c r="N35" s="192">
        <v>624363.43999999994</v>
      </c>
      <c r="O35" s="192">
        <v>1497453.76</v>
      </c>
      <c r="P35" s="192">
        <v>21000</v>
      </c>
      <c r="Q35" s="192">
        <v>33000</v>
      </c>
      <c r="R35" s="192">
        <v>75000</v>
      </c>
      <c r="S35" s="192">
        <v>75516.214399999997</v>
      </c>
      <c r="T35" s="192">
        <v>0</v>
      </c>
      <c r="V35" s="192">
        <v>204516.2144</v>
      </c>
      <c r="W35" s="192">
        <v>12</v>
      </c>
      <c r="X35" s="192">
        <v>17043.017866666702</v>
      </c>
      <c r="Z35" s="192">
        <v>17043.017866666702</v>
      </c>
      <c r="AA35" s="192">
        <v>16512.68</v>
      </c>
      <c r="AB35" s="192">
        <v>530.33786666667197</v>
      </c>
    </row>
    <row r="36" spans="1:28">
      <c r="A36" s="195"/>
      <c r="C36" s="192">
        <v>12126899.36475</v>
      </c>
      <c r="G36" s="192">
        <v>0</v>
      </c>
      <c r="Z36" s="192">
        <v>1716067.6634466699</v>
      </c>
      <c r="AA36" s="192">
        <v>1681121.50779067</v>
      </c>
      <c r="AB36" s="192">
        <v>34946.155655999901</v>
      </c>
    </row>
    <row r="37" spans="1:28">
      <c r="A37" s="195"/>
    </row>
    <row r="38" spans="1:28">
      <c r="A38" s="195">
        <v>33</v>
      </c>
      <c r="B38" s="192" t="s">
        <v>295</v>
      </c>
      <c r="C38" s="192">
        <v>950209.06350000005</v>
      </c>
      <c r="D38" s="192">
        <v>12</v>
      </c>
      <c r="E38" s="192">
        <v>11402508.762</v>
      </c>
      <c r="I38" s="192">
        <v>11402508.762</v>
      </c>
      <c r="J38" s="192">
        <v>200000</v>
      </c>
      <c r="K38" s="192">
        <v>0.2</v>
      </c>
      <c r="L38" s="192">
        <v>2280501.7524000001</v>
      </c>
      <c r="M38" s="192">
        <v>2480501.7524000001</v>
      </c>
      <c r="N38" s="192">
        <v>2480501.7524000001</v>
      </c>
      <c r="O38" s="192">
        <v>8922007.0096000005</v>
      </c>
      <c r="P38" s="192">
        <v>21000</v>
      </c>
      <c r="Q38" s="192">
        <v>33000</v>
      </c>
      <c r="R38" s="192">
        <v>75000</v>
      </c>
      <c r="S38" s="192">
        <v>95000</v>
      </c>
      <c r="T38" s="192">
        <v>336000</v>
      </c>
      <c r="U38" s="192">
        <v>1373281.682304</v>
      </c>
      <c r="V38" s="192">
        <v>1933281.682304</v>
      </c>
      <c r="W38" s="192">
        <v>12</v>
      </c>
      <c r="X38" s="192">
        <v>161106.806858667</v>
      </c>
      <c r="Z38" s="192">
        <v>161106.806858667</v>
      </c>
      <c r="AA38" s="192">
        <v>156349.82</v>
      </c>
      <c r="AB38" s="192">
        <v>4756.9868586666698</v>
      </c>
    </row>
    <row r="39" spans="1:28">
      <c r="A39" s="195">
        <v>34</v>
      </c>
      <c r="B39" s="192" t="s">
        <v>298</v>
      </c>
      <c r="C39" s="192">
        <v>173329.04949999999</v>
      </c>
      <c r="D39" s="192">
        <v>12</v>
      </c>
      <c r="E39" s="192">
        <v>2079948.594</v>
      </c>
      <c r="I39" s="192">
        <v>2079948.594</v>
      </c>
      <c r="J39" s="192">
        <v>200000</v>
      </c>
      <c r="K39" s="192">
        <v>0.2</v>
      </c>
      <c r="L39" s="192">
        <v>415989.71879999997</v>
      </c>
      <c r="M39" s="192">
        <v>615989.71880000003</v>
      </c>
      <c r="N39" s="192">
        <v>615989.71880000003</v>
      </c>
      <c r="O39" s="192">
        <v>1463958.8751999999</v>
      </c>
      <c r="P39" s="192">
        <v>21000</v>
      </c>
      <c r="Q39" s="192">
        <v>33000</v>
      </c>
      <c r="R39" s="192">
        <v>75000</v>
      </c>
      <c r="S39" s="192">
        <v>69152.186287999997</v>
      </c>
      <c r="T39" s="192">
        <v>0</v>
      </c>
      <c r="V39" s="192">
        <v>198152.186288</v>
      </c>
      <c r="W39" s="192">
        <v>12</v>
      </c>
      <c r="X39" s="192">
        <v>16512.682190666699</v>
      </c>
      <c r="Z39" s="192">
        <v>16512.682190666699</v>
      </c>
      <c r="AA39" s="192">
        <v>16512.68</v>
      </c>
      <c r="AB39" s="192">
        <v>2.1906666697759599E-3</v>
      </c>
    </row>
    <row r="40" spans="1:28">
      <c r="A40" s="195"/>
    </row>
    <row r="41" spans="1:28">
      <c r="A41" s="195"/>
    </row>
    <row r="42" spans="1:28">
      <c r="A42" s="195">
        <v>35</v>
      </c>
      <c r="B42" s="192" t="s">
        <v>302</v>
      </c>
      <c r="C42" s="192">
        <v>1050209.0634999999</v>
      </c>
      <c r="D42" s="192">
        <v>12</v>
      </c>
      <c r="E42" s="192">
        <v>12602508.762</v>
      </c>
      <c r="I42" s="192">
        <v>12602508.762</v>
      </c>
      <c r="J42" s="192">
        <v>200000</v>
      </c>
      <c r="K42" s="192">
        <v>0.2</v>
      </c>
      <c r="L42" s="192">
        <v>2520501.7524000001</v>
      </c>
      <c r="M42" s="192">
        <v>2720501.7524000001</v>
      </c>
      <c r="N42" s="192">
        <v>2720501.7524000001</v>
      </c>
      <c r="O42" s="192">
        <v>9882007.0096000005</v>
      </c>
      <c r="P42" s="192">
        <v>21000</v>
      </c>
      <c r="Q42" s="192">
        <v>33000</v>
      </c>
      <c r="R42" s="192">
        <v>75000</v>
      </c>
      <c r="S42" s="192">
        <v>95000</v>
      </c>
      <c r="T42" s="192">
        <v>336000</v>
      </c>
      <c r="U42" s="192">
        <v>1603681.682304</v>
      </c>
      <c r="V42" s="192">
        <v>2163681.682304</v>
      </c>
      <c r="W42" s="192">
        <v>12</v>
      </c>
      <c r="X42" s="192">
        <v>180306.806858667</v>
      </c>
      <c r="Z42" s="192">
        <v>180306.806858667</v>
      </c>
      <c r="AA42" s="192">
        <v>180306.81</v>
      </c>
      <c r="AB42" s="192">
        <v>-3.14133329084143E-3</v>
      </c>
    </row>
    <row r="43" spans="1:28">
      <c r="A43" s="195">
        <v>36</v>
      </c>
      <c r="B43" s="192" t="s">
        <v>304</v>
      </c>
      <c r="C43" s="192">
        <v>527553.50249999994</v>
      </c>
      <c r="D43" s="192">
        <v>12</v>
      </c>
      <c r="E43" s="192">
        <v>6330642.0300000003</v>
      </c>
      <c r="I43" s="192">
        <v>6330642.0300000003</v>
      </c>
      <c r="J43" s="192">
        <v>200000</v>
      </c>
      <c r="K43" s="192">
        <v>0.2</v>
      </c>
      <c r="L43" s="192">
        <v>1266128.406</v>
      </c>
      <c r="M43" s="192">
        <v>1466128.406</v>
      </c>
      <c r="N43" s="192">
        <v>1466128.406</v>
      </c>
      <c r="O43" s="192">
        <v>4864513.6239999998</v>
      </c>
      <c r="P43" s="192">
        <v>21000</v>
      </c>
      <c r="Q43" s="192">
        <v>33000</v>
      </c>
      <c r="R43" s="192">
        <v>75000</v>
      </c>
      <c r="S43" s="192">
        <v>95000</v>
      </c>
      <c r="T43" s="192">
        <v>336000</v>
      </c>
      <c r="U43" s="192">
        <v>399483.26976</v>
      </c>
      <c r="V43" s="192">
        <v>959483.26976000005</v>
      </c>
      <c r="W43" s="192">
        <v>12</v>
      </c>
      <c r="X43" s="192">
        <v>79956.9391466667</v>
      </c>
      <c r="Z43" s="192">
        <v>79956.9391466667</v>
      </c>
      <c r="AA43" s="192">
        <v>79956.94</v>
      </c>
      <c r="AB43" s="192">
        <v>-8.5333334573078901E-4</v>
      </c>
    </row>
    <row r="44" spans="1:28">
      <c r="A44" s="195">
        <v>37</v>
      </c>
      <c r="B44" s="192" t="s">
        <v>306</v>
      </c>
      <c r="C44" s="192">
        <v>527553.50249999994</v>
      </c>
      <c r="D44" s="192">
        <v>12</v>
      </c>
      <c r="E44" s="192">
        <v>6330642.0300000003</v>
      </c>
      <c r="I44" s="192">
        <v>6330642.0300000003</v>
      </c>
      <c r="J44" s="192">
        <v>200000</v>
      </c>
      <c r="K44" s="192">
        <v>0.2</v>
      </c>
      <c r="L44" s="192">
        <v>1266128.406</v>
      </c>
      <c r="M44" s="192">
        <v>1466128.406</v>
      </c>
      <c r="N44" s="192">
        <v>1466128.406</v>
      </c>
      <c r="O44" s="192">
        <v>4864513.6239999998</v>
      </c>
      <c r="P44" s="192">
        <v>21000</v>
      </c>
      <c r="Q44" s="192">
        <v>33000</v>
      </c>
      <c r="R44" s="192">
        <v>75000</v>
      </c>
      <c r="S44" s="192">
        <v>95000</v>
      </c>
      <c r="T44" s="192">
        <v>336000</v>
      </c>
      <c r="U44" s="192">
        <v>399483.26976</v>
      </c>
      <c r="V44" s="192">
        <v>959483.26976000005</v>
      </c>
      <c r="W44" s="192">
        <v>12</v>
      </c>
      <c r="X44" s="192">
        <v>79956.9391466667</v>
      </c>
      <c r="Z44" s="192">
        <v>79956.9391466667</v>
      </c>
      <c r="AA44" s="192">
        <v>79956.94</v>
      </c>
      <c r="AB44" s="192">
        <v>-8.5333334573078901E-4</v>
      </c>
    </row>
    <row r="45" spans="1:28">
      <c r="A45" s="195">
        <v>38</v>
      </c>
      <c r="B45" s="192" t="s">
        <v>309</v>
      </c>
      <c r="C45" s="192">
        <v>527553.50249999994</v>
      </c>
      <c r="D45" s="192">
        <v>12</v>
      </c>
      <c r="E45" s="192">
        <v>6330642.0300000003</v>
      </c>
      <c r="I45" s="192">
        <v>6330642.0300000003</v>
      </c>
      <c r="J45" s="192">
        <v>200000</v>
      </c>
      <c r="K45" s="192">
        <v>0.2</v>
      </c>
      <c r="L45" s="192">
        <v>1266128.406</v>
      </c>
      <c r="M45" s="192">
        <v>1466128.406</v>
      </c>
      <c r="N45" s="192">
        <v>1466128.406</v>
      </c>
      <c r="O45" s="192">
        <v>4864513.6239999998</v>
      </c>
      <c r="P45" s="192">
        <v>21000</v>
      </c>
      <c r="Q45" s="192">
        <v>33000</v>
      </c>
      <c r="R45" s="192">
        <v>75000</v>
      </c>
      <c r="S45" s="192">
        <v>95000</v>
      </c>
      <c r="T45" s="192">
        <v>336000</v>
      </c>
      <c r="U45" s="192">
        <v>399483.26976</v>
      </c>
      <c r="V45" s="192">
        <v>959483.26976000005</v>
      </c>
      <c r="W45" s="192">
        <v>12</v>
      </c>
      <c r="X45" s="192">
        <v>79956.9391466667</v>
      </c>
      <c r="Z45" s="192">
        <v>79956.9391466667</v>
      </c>
      <c r="AA45" s="192">
        <v>77764.98</v>
      </c>
      <c r="AB45" s="192">
        <v>2191.9591466666602</v>
      </c>
    </row>
    <row r="46" spans="1:28">
      <c r="A46" s="195">
        <v>39</v>
      </c>
      <c r="B46" s="192" t="s">
        <v>311</v>
      </c>
      <c r="C46" s="192">
        <v>476014.86</v>
      </c>
      <c r="D46" s="192">
        <v>12</v>
      </c>
      <c r="E46" s="192">
        <v>5712178.3200000003</v>
      </c>
      <c r="I46" s="192">
        <v>5712178.3200000003</v>
      </c>
      <c r="J46" s="192">
        <v>200000</v>
      </c>
      <c r="K46" s="192">
        <v>0.2</v>
      </c>
      <c r="L46" s="192">
        <v>1142435.6640000001</v>
      </c>
      <c r="M46" s="192">
        <v>1342435.6640000001</v>
      </c>
      <c r="N46" s="192">
        <v>1342435.6640000001</v>
      </c>
      <c r="O46" s="192">
        <v>4369742.6560000004</v>
      </c>
      <c r="P46" s="192">
        <v>21000</v>
      </c>
      <c r="Q46" s="192">
        <v>33000</v>
      </c>
      <c r="R46" s="192">
        <v>75000</v>
      </c>
      <c r="S46" s="192">
        <v>95000</v>
      </c>
      <c r="T46" s="192">
        <v>336000</v>
      </c>
      <c r="U46" s="192">
        <v>280738.23744</v>
      </c>
      <c r="V46" s="192">
        <v>840738.23744000006</v>
      </c>
      <c r="W46" s="192">
        <v>12</v>
      </c>
      <c r="X46" s="192">
        <v>70061.5197866667</v>
      </c>
      <c r="Z46" s="192">
        <v>70061.5197866667</v>
      </c>
      <c r="AA46" s="192">
        <v>75436.115322666694</v>
      </c>
      <c r="AB46" s="192">
        <v>-5374.5955359999898</v>
      </c>
    </row>
    <row r="47" spans="1:28">
      <c r="A47" s="195">
        <v>40</v>
      </c>
      <c r="B47" s="192" t="s">
        <v>312</v>
      </c>
      <c r="C47" s="192">
        <v>413333.03525000002</v>
      </c>
      <c r="D47" s="192">
        <v>12</v>
      </c>
      <c r="E47" s="192">
        <v>4959996.4230000004</v>
      </c>
      <c r="F47" s="192">
        <v>8546.5400000000009</v>
      </c>
      <c r="I47" s="192">
        <v>4951449.8830000004</v>
      </c>
      <c r="J47" s="192">
        <v>200000</v>
      </c>
      <c r="K47" s="192">
        <v>0.2</v>
      </c>
      <c r="L47" s="192">
        <v>990289.97660000005</v>
      </c>
      <c r="M47" s="192">
        <v>1190289.9765999999</v>
      </c>
      <c r="N47" s="192">
        <v>1198836.5166</v>
      </c>
      <c r="O47" s="192">
        <v>3761159.9064000002</v>
      </c>
      <c r="P47" s="192">
        <v>21000</v>
      </c>
      <c r="Q47" s="192">
        <v>33000</v>
      </c>
      <c r="R47" s="192">
        <v>75000</v>
      </c>
      <c r="S47" s="192">
        <v>95000</v>
      </c>
      <c r="T47" s="192">
        <v>336000</v>
      </c>
      <c r="U47" s="192">
        <v>134678.37753600001</v>
      </c>
      <c r="V47" s="192">
        <v>694678.37753599999</v>
      </c>
      <c r="W47" s="192">
        <v>12</v>
      </c>
      <c r="X47" s="192">
        <v>57889.864794666697</v>
      </c>
      <c r="Z47" s="192">
        <v>57889.864794666697</v>
      </c>
      <c r="AA47" s="192">
        <v>56478.9</v>
      </c>
      <c r="AB47" s="192">
        <v>1410.9647946666701</v>
      </c>
    </row>
    <row r="48" spans="1:28">
      <c r="A48" s="195">
        <v>41</v>
      </c>
      <c r="B48" s="192" t="s">
        <v>313</v>
      </c>
      <c r="C48" s="192">
        <v>413333.03525000002</v>
      </c>
      <c r="D48" s="192">
        <v>12</v>
      </c>
      <c r="E48" s="192">
        <v>4959996.4230000004</v>
      </c>
      <c r="I48" s="192">
        <v>4959996.4230000004</v>
      </c>
      <c r="J48" s="192">
        <v>200000</v>
      </c>
      <c r="K48" s="192">
        <v>0.2</v>
      </c>
      <c r="L48" s="192">
        <v>991999.28460000001</v>
      </c>
      <c r="M48" s="192">
        <v>1191999.2845999999</v>
      </c>
      <c r="N48" s="192">
        <v>1191999.2845999999</v>
      </c>
      <c r="O48" s="192">
        <v>3767997.1384000001</v>
      </c>
      <c r="P48" s="192">
        <v>21000</v>
      </c>
      <c r="Q48" s="192">
        <v>33000</v>
      </c>
      <c r="R48" s="192">
        <v>75000</v>
      </c>
      <c r="S48" s="192">
        <v>95000</v>
      </c>
      <c r="T48" s="192">
        <v>336000</v>
      </c>
      <c r="U48" s="192">
        <v>136319.31321600001</v>
      </c>
      <c r="V48" s="192">
        <v>696319.31321599998</v>
      </c>
      <c r="W48" s="192">
        <v>12</v>
      </c>
      <c r="X48" s="192">
        <v>58026.609434666701</v>
      </c>
      <c r="Z48" s="192">
        <v>58026.609434666701</v>
      </c>
      <c r="AA48" s="192">
        <v>56478.9</v>
      </c>
      <c r="AB48" s="192">
        <v>1547.7094346666699</v>
      </c>
    </row>
    <row r="49" spans="1:28">
      <c r="A49" s="195">
        <v>42</v>
      </c>
      <c r="B49" s="192" t="s">
        <v>1025</v>
      </c>
      <c r="C49" s="192">
        <v>400272.06374999997</v>
      </c>
      <c r="D49" s="192">
        <v>12</v>
      </c>
      <c r="E49" s="192">
        <v>4803264.7649999997</v>
      </c>
      <c r="I49" s="192">
        <v>4803264.7649999997</v>
      </c>
      <c r="J49" s="192">
        <v>200000</v>
      </c>
      <c r="K49" s="192">
        <v>0.2</v>
      </c>
      <c r="L49" s="192">
        <v>960652.95299999998</v>
      </c>
      <c r="M49" s="192">
        <v>1160652.953</v>
      </c>
      <c r="N49" s="192">
        <v>1160652.953</v>
      </c>
      <c r="O49" s="192">
        <v>3642611.8119999999</v>
      </c>
      <c r="P49" s="192">
        <v>21000</v>
      </c>
      <c r="Q49" s="192">
        <v>33000</v>
      </c>
      <c r="R49" s="192">
        <v>75000</v>
      </c>
      <c r="S49" s="192">
        <v>95000</v>
      </c>
      <c r="T49" s="192">
        <v>336000</v>
      </c>
      <c r="U49" s="192">
        <v>106226.83487999999</v>
      </c>
      <c r="V49" s="192">
        <v>666226.83487999998</v>
      </c>
      <c r="W49" s="192">
        <v>12</v>
      </c>
      <c r="X49" s="192">
        <v>55518.902906666699</v>
      </c>
      <c r="Z49" s="192">
        <v>55518.902906666699</v>
      </c>
      <c r="AA49" s="192">
        <v>54931.400186666702</v>
      </c>
      <c r="AB49" s="192">
        <v>587.502719999997</v>
      </c>
    </row>
    <row r="50" spans="1:28">
      <c r="A50" s="195">
        <v>43</v>
      </c>
      <c r="B50" s="192" t="s">
        <v>258</v>
      </c>
      <c r="C50" s="192">
        <v>369177.65375</v>
      </c>
      <c r="D50" s="192">
        <v>12</v>
      </c>
      <c r="E50" s="192">
        <v>4430131.8449999997</v>
      </c>
      <c r="I50" s="192">
        <v>4430131.8449999997</v>
      </c>
      <c r="J50" s="192">
        <v>200000</v>
      </c>
      <c r="K50" s="192">
        <v>0.2</v>
      </c>
      <c r="L50" s="192">
        <v>886026.36899999995</v>
      </c>
      <c r="M50" s="192">
        <v>1086026.3689999999</v>
      </c>
      <c r="N50" s="192">
        <v>1086026.3689999999</v>
      </c>
      <c r="O50" s="192">
        <v>3344105.4759999998</v>
      </c>
      <c r="P50" s="192">
        <v>21000</v>
      </c>
      <c r="Q50" s="192">
        <v>33000</v>
      </c>
      <c r="R50" s="192">
        <v>75000</v>
      </c>
      <c r="S50" s="192">
        <v>95000</v>
      </c>
      <c r="T50" s="192">
        <v>336000</v>
      </c>
      <c r="U50" s="192">
        <v>34585.314239999898</v>
      </c>
      <c r="V50" s="192">
        <v>594585.31423999998</v>
      </c>
      <c r="W50" s="192">
        <v>12</v>
      </c>
      <c r="X50" s="192">
        <v>49548.776186666699</v>
      </c>
      <c r="Z50" s="192">
        <v>49548.776186666699</v>
      </c>
      <c r="AA50" s="192">
        <v>48052.11</v>
      </c>
      <c r="AB50" s="192">
        <v>1496.66618666666</v>
      </c>
    </row>
    <row r="51" spans="1:28">
      <c r="A51" s="195">
        <v>44</v>
      </c>
      <c r="B51" s="192" t="s">
        <v>315</v>
      </c>
      <c r="C51" s="192">
        <v>245204.0845</v>
      </c>
      <c r="D51" s="192">
        <v>12</v>
      </c>
      <c r="E51" s="192">
        <v>2942449.014</v>
      </c>
      <c r="F51" s="192">
        <v>7422.38</v>
      </c>
      <c r="I51" s="192">
        <v>2935026.6340000001</v>
      </c>
      <c r="J51" s="192">
        <v>200000</v>
      </c>
      <c r="K51" s="192">
        <v>0.2</v>
      </c>
      <c r="L51" s="192">
        <v>587005.32680000004</v>
      </c>
      <c r="M51" s="192">
        <v>787005.32680000004</v>
      </c>
      <c r="N51" s="192">
        <v>794427.70680000004</v>
      </c>
      <c r="O51" s="192">
        <v>2148021.3072000002</v>
      </c>
      <c r="P51" s="192">
        <v>21000</v>
      </c>
      <c r="Q51" s="192">
        <v>33000</v>
      </c>
      <c r="R51" s="192">
        <v>75000</v>
      </c>
      <c r="S51" s="192">
        <v>95000</v>
      </c>
      <c r="T51" s="192">
        <v>115084.474512</v>
      </c>
      <c r="U51" s="192">
        <v>0</v>
      </c>
      <c r="V51" s="192">
        <v>339084.47451199999</v>
      </c>
      <c r="W51" s="192">
        <v>12</v>
      </c>
      <c r="X51" s="192">
        <v>28360.952862666702</v>
      </c>
      <c r="Z51" s="192">
        <v>28360.952862666702</v>
      </c>
      <c r="AA51" s="192">
        <v>28360.95</v>
      </c>
      <c r="AB51" s="192">
        <v>2.8626666608033702E-3</v>
      </c>
    </row>
    <row r="52" spans="1:28">
      <c r="A52" s="195">
        <v>45</v>
      </c>
      <c r="B52" s="192" t="s">
        <v>316</v>
      </c>
      <c r="C52" s="192">
        <v>245204.0845</v>
      </c>
      <c r="D52" s="192">
        <v>12</v>
      </c>
      <c r="E52" s="192">
        <v>2942449.014</v>
      </c>
      <c r="I52" s="192">
        <v>2942449.014</v>
      </c>
      <c r="J52" s="192">
        <v>200000</v>
      </c>
      <c r="K52" s="192">
        <v>0.2</v>
      </c>
      <c r="L52" s="192">
        <v>588489.80279999995</v>
      </c>
      <c r="M52" s="192">
        <v>788489.80279999995</v>
      </c>
      <c r="N52" s="192">
        <v>788489.80279999995</v>
      </c>
      <c r="O52" s="192">
        <v>2153959.2111999998</v>
      </c>
      <c r="P52" s="192">
        <v>21000</v>
      </c>
      <c r="Q52" s="192">
        <v>33000</v>
      </c>
      <c r="R52" s="192">
        <v>75000</v>
      </c>
      <c r="S52" s="192">
        <v>95000</v>
      </c>
      <c r="T52" s="192">
        <v>116331.434352</v>
      </c>
      <c r="V52" s="192">
        <v>340331.43435200001</v>
      </c>
      <c r="W52" s="192">
        <v>12</v>
      </c>
      <c r="X52" s="192">
        <v>28360.952862666702</v>
      </c>
      <c r="Z52" s="192">
        <v>28360.952862666702</v>
      </c>
      <c r="AA52" s="192">
        <v>28360.95</v>
      </c>
      <c r="AB52" s="192">
        <v>2.8626666608033702E-3</v>
      </c>
    </row>
    <row r="53" spans="1:28">
      <c r="A53" s="195">
        <v>46</v>
      </c>
      <c r="B53" s="192" t="s">
        <v>317</v>
      </c>
      <c r="C53" s="192">
        <v>245205.0845</v>
      </c>
      <c r="D53" s="192">
        <v>12</v>
      </c>
      <c r="E53" s="192">
        <v>2942461.014</v>
      </c>
      <c r="I53" s="192">
        <v>2942461.014</v>
      </c>
      <c r="J53" s="192">
        <v>200000</v>
      </c>
      <c r="K53" s="192">
        <v>0.2</v>
      </c>
      <c r="L53" s="192">
        <v>588492.20279999997</v>
      </c>
      <c r="M53" s="192">
        <v>788492.20279999997</v>
      </c>
      <c r="N53" s="192">
        <v>788492.20279999997</v>
      </c>
      <c r="O53" s="192">
        <v>2153968.8111999999</v>
      </c>
      <c r="P53" s="192">
        <v>21000</v>
      </c>
      <c r="Q53" s="192">
        <v>33000</v>
      </c>
      <c r="R53" s="192">
        <v>75000</v>
      </c>
      <c r="S53" s="192">
        <v>95000</v>
      </c>
      <c r="T53" s="192">
        <v>116333.450352</v>
      </c>
      <c r="V53" s="192">
        <v>340333.45035200001</v>
      </c>
      <c r="W53" s="192">
        <v>12</v>
      </c>
      <c r="X53" s="192">
        <v>28360.952862666702</v>
      </c>
      <c r="Z53" s="192">
        <v>28360.952862666702</v>
      </c>
      <c r="AA53" s="192">
        <v>28360.95</v>
      </c>
      <c r="AB53" s="192">
        <v>2.8626666608033702E-3</v>
      </c>
    </row>
    <row r="54" spans="1:28">
      <c r="A54" s="195"/>
    </row>
    <row r="55" spans="1:28">
      <c r="A55" s="195"/>
    </row>
    <row r="56" spans="1:28">
      <c r="A56" s="195">
        <v>47</v>
      </c>
      <c r="B56" s="192" t="s">
        <v>319</v>
      </c>
      <c r="C56" s="192">
        <v>1050209.0634999999</v>
      </c>
      <c r="D56" s="192">
        <v>12</v>
      </c>
      <c r="E56" s="192">
        <v>12602508.762</v>
      </c>
      <c r="I56" s="192">
        <v>12602508.762</v>
      </c>
      <c r="J56" s="192">
        <v>200000</v>
      </c>
      <c r="K56" s="192">
        <v>0.2</v>
      </c>
      <c r="L56" s="192">
        <v>2520501.7524000001</v>
      </c>
      <c r="M56" s="192">
        <v>2720501.7524000001</v>
      </c>
      <c r="N56" s="192">
        <v>2720501.7524000001</v>
      </c>
      <c r="O56" s="192">
        <v>9882007.0096000005</v>
      </c>
      <c r="P56" s="192">
        <v>21000</v>
      </c>
      <c r="Q56" s="192">
        <v>33000</v>
      </c>
      <c r="R56" s="192">
        <v>75000</v>
      </c>
      <c r="S56" s="192">
        <v>95000</v>
      </c>
      <c r="T56" s="192">
        <v>336000</v>
      </c>
      <c r="U56" s="192">
        <v>1603681.682304</v>
      </c>
      <c r="V56" s="192">
        <v>2163681.682304</v>
      </c>
      <c r="W56" s="192">
        <v>12</v>
      </c>
      <c r="X56" s="192">
        <v>180306.806858667</v>
      </c>
      <c r="Z56" s="192">
        <v>180306.806858667</v>
      </c>
      <c r="AA56" s="192">
        <v>180306.806858667</v>
      </c>
      <c r="AB56" s="192">
        <v>0</v>
      </c>
    </row>
    <row r="57" spans="1:28">
      <c r="A57" s="195">
        <v>48</v>
      </c>
      <c r="B57" s="192" t="s">
        <v>321</v>
      </c>
      <c r="C57" s="192">
        <v>436137.05</v>
      </c>
      <c r="D57" s="192">
        <v>12</v>
      </c>
      <c r="E57" s="192">
        <v>5233644.5999999996</v>
      </c>
      <c r="I57" s="192">
        <v>5233644.5999999996</v>
      </c>
      <c r="J57" s="192">
        <v>200000</v>
      </c>
      <c r="K57" s="192">
        <v>0.2</v>
      </c>
      <c r="L57" s="192">
        <v>1046728.92</v>
      </c>
      <c r="M57" s="192">
        <v>1246728.92</v>
      </c>
      <c r="N57" s="192">
        <v>1246728.92</v>
      </c>
      <c r="O57" s="192">
        <v>3986915.68</v>
      </c>
      <c r="P57" s="192">
        <v>21000</v>
      </c>
      <c r="Q57" s="192">
        <v>33000</v>
      </c>
      <c r="R57" s="192">
        <v>75000</v>
      </c>
      <c r="S57" s="192">
        <v>95000</v>
      </c>
      <c r="T57" s="192">
        <v>336000</v>
      </c>
      <c r="U57" s="192">
        <v>188859.76319999999</v>
      </c>
      <c r="V57" s="192">
        <v>748859.76320000004</v>
      </c>
      <c r="W57" s="192">
        <v>12</v>
      </c>
      <c r="X57" s="192">
        <v>62404.980266666702</v>
      </c>
      <c r="Z57" s="192">
        <v>62404.980266666702</v>
      </c>
    </row>
    <row r="58" spans="1:28">
      <c r="A58" s="195"/>
    </row>
    <row r="59" spans="1:28">
      <c r="A59" s="195"/>
    </row>
    <row r="60" spans="1:28">
      <c r="A60" s="195">
        <v>49</v>
      </c>
      <c r="B60" s="192" t="s">
        <v>323</v>
      </c>
      <c r="C60" s="192">
        <v>1050209.0634999999</v>
      </c>
      <c r="D60" s="192">
        <v>12</v>
      </c>
      <c r="E60" s="192">
        <v>12602508.762</v>
      </c>
      <c r="I60" s="192">
        <v>12602508.762</v>
      </c>
      <c r="J60" s="192">
        <v>200000</v>
      </c>
      <c r="K60" s="192">
        <v>0.2</v>
      </c>
      <c r="L60" s="192">
        <v>2520501.7524000001</v>
      </c>
      <c r="M60" s="192">
        <v>2720501.7524000001</v>
      </c>
      <c r="N60" s="192">
        <v>2720501.7524000001</v>
      </c>
      <c r="O60" s="192">
        <v>9882007.0096000005</v>
      </c>
      <c r="P60" s="192">
        <v>21000</v>
      </c>
      <c r="Q60" s="192">
        <v>33000</v>
      </c>
      <c r="R60" s="192">
        <v>75000</v>
      </c>
      <c r="S60" s="192">
        <v>95000</v>
      </c>
      <c r="T60" s="192">
        <v>336000</v>
      </c>
      <c r="U60" s="192">
        <v>1603681.682304</v>
      </c>
      <c r="V60" s="192">
        <v>2163681.682304</v>
      </c>
      <c r="W60" s="192">
        <v>12</v>
      </c>
      <c r="X60" s="192">
        <v>180306.806858667</v>
      </c>
      <c r="Z60" s="192">
        <v>180306.806858667</v>
      </c>
      <c r="AA60" s="192">
        <v>180306.81</v>
      </c>
      <c r="AB60" s="192">
        <v>-3.14133329084143E-3</v>
      </c>
    </row>
    <row r="61" spans="1:28">
      <c r="A61" s="195">
        <v>50</v>
      </c>
      <c r="B61" s="192" t="s">
        <v>325</v>
      </c>
      <c r="C61" s="192">
        <v>504720.04700000002</v>
      </c>
      <c r="D61" s="192">
        <v>12</v>
      </c>
      <c r="E61" s="192">
        <v>6056640.5640000002</v>
      </c>
      <c r="I61" s="192">
        <v>6056640.5640000002</v>
      </c>
      <c r="J61" s="192">
        <v>200000</v>
      </c>
      <c r="K61" s="192">
        <v>0.2</v>
      </c>
      <c r="L61" s="192">
        <v>1211328.1128</v>
      </c>
      <c r="M61" s="192">
        <v>1411328.1128</v>
      </c>
      <c r="N61" s="192">
        <v>1411328.1128</v>
      </c>
      <c r="O61" s="192">
        <v>4645312.4512</v>
      </c>
      <c r="P61" s="192">
        <v>21000</v>
      </c>
      <c r="Q61" s="192">
        <v>33000</v>
      </c>
      <c r="R61" s="192">
        <v>75000</v>
      </c>
      <c r="S61" s="192">
        <v>95000</v>
      </c>
      <c r="T61" s="192">
        <v>336000</v>
      </c>
      <c r="U61" s="192">
        <v>346874.98828799999</v>
      </c>
      <c r="V61" s="192">
        <v>906874.98828799999</v>
      </c>
      <c r="W61" s="192">
        <v>12</v>
      </c>
      <c r="X61" s="192">
        <v>75572.915690666705</v>
      </c>
      <c r="Z61" s="192">
        <v>75572.915690666705</v>
      </c>
      <c r="AA61" s="192">
        <v>75572.92</v>
      </c>
      <c r="AB61" s="192">
        <v>-4.3093333370052304E-3</v>
      </c>
    </row>
    <row r="62" spans="1:28">
      <c r="A62" s="195">
        <v>51</v>
      </c>
      <c r="B62" s="192" t="s">
        <v>328</v>
      </c>
      <c r="C62" s="192">
        <v>369177.65375</v>
      </c>
      <c r="D62" s="192">
        <v>12</v>
      </c>
      <c r="E62" s="192">
        <v>4430131.8449999997</v>
      </c>
      <c r="I62" s="192">
        <v>4430131.8449999997</v>
      </c>
      <c r="J62" s="192">
        <v>200000</v>
      </c>
      <c r="K62" s="192">
        <v>0.2</v>
      </c>
      <c r="L62" s="192">
        <v>886026.36899999995</v>
      </c>
      <c r="M62" s="192">
        <v>1086026.3689999999</v>
      </c>
      <c r="N62" s="192">
        <v>1086026.3689999999</v>
      </c>
      <c r="O62" s="192">
        <v>3344105.4759999998</v>
      </c>
      <c r="P62" s="192">
        <v>21000</v>
      </c>
      <c r="Q62" s="192">
        <v>33000</v>
      </c>
      <c r="R62" s="192">
        <v>75000</v>
      </c>
      <c r="S62" s="192">
        <v>95000</v>
      </c>
      <c r="T62" s="192">
        <v>336000</v>
      </c>
      <c r="U62" s="192">
        <v>34585.314239999898</v>
      </c>
      <c r="V62" s="192">
        <v>594585.31423999998</v>
      </c>
      <c r="W62" s="192">
        <v>12</v>
      </c>
      <c r="X62" s="192">
        <v>49548.776186666699</v>
      </c>
      <c r="Z62" s="192">
        <v>49548.776186666699</v>
      </c>
      <c r="AA62" s="192">
        <v>48170.87</v>
      </c>
      <c r="AB62" s="192">
        <v>1377.90618666666</v>
      </c>
    </row>
    <row r="63" spans="1:28">
      <c r="A63" s="195">
        <v>52</v>
      </c>
      <c r="B63" s="192" t="s">
        <v>329</v>
      </c>
      <c r="C63" s="192">
        <v>362001.06050000002</v>
      </c>
      <c r="D63" s="192">
        <v>12</v>
      </c>
      <c r="E63" s="192">
        <v>4344012.7259999998</v>
      </c>
      <c r="I63" s="192">
        <v>4344012.7259999998</v>
      </c>
      <c r="J63" s="192">
        <v>200000</v>
      </c>
      <c r="K63" s="192">
        <v>0.2</v>
      </c>
      <c r="L63" s="192">
        <v>868802.54520000005</v>
      </c>
      <c r="M63" s="192">
        <v>1068802.5452000001</v>
      </c>
      <c r="N63" s="192">
        <v>1068802.5452000001</v>
      </c>
      <c r="O63" s="192">
        <v>3275210.1808000002</v>
      </c>
      <c r="P63" s="192">
        <v>21000</v>
      </c>
      <c r="Q63" s="192">
        <v>33000</v>
      </c>
      <c r="R63" s="192">
        <v>75000</v>
      </c>
      <c r="S63" s="192">
        <v>95000</v>
      </c>
      <c r="T63" s="192">
        <v>336000</v>
      </c>
      <c r="U63" s="192">
        <v>18050.443391999899</v>
      </c>
      <c r="V63" s="192">
        <v>578050.44339200004</v>
      </c>
      <c r="W63" s="192">
        <v>12</v>
      </c>
      <c r="X63" s="192">
        <v>48170.870282666699</v>
      </c>
      <c r="Z63" s="192">
        <v>48170.870282666699</v>
      </c>
      <c r="AA63" s="192">
        <v>46673.26</v>
      </c>
      <c r="AB63" s="192">
        <v>1497.6102826666599</v>
      </c>
    </row>
    <row r="64" spans="1:28">
      <c r="A64" s="195">
        <v>53</v>
      </c>
      <c r="B64" s="192" t="s">
        <v>330</v>
      </c>
      <c r="C64" s="192">
        <v>413333.03525000002</v>
      </c>
      <c r="D64" s="192">
        <v>12</v>
      </c>
      <c r="E64" s="192">
        <v>4959996.4230000004</v>
      </c>
      <c r="I64" s="192">
        <v>4959996.4230000004</v>
      </c>
      <c r="J64" s="192">
        <v>200000</v>
      </c>
      <c r="K64" s="192">
        <v>0.2</v>
      </c>
      <c r="L64" s="192">
        <v>991999.28460000001</v>
      </c>
      <c r="M64" s="192">
        <v>1191999.2845999999</v>
      </c>
      <c r="N64" s="192">
        <v>1191999.2845999999</v>
      </c>
      <c r="O64" s="192">
        <v>3767997.1384000001</v>
      </c>
      <c r="P64" s="192">
        <v>21000</v>
      </c>
      <c r="Q64" s="192">
        <v>33000</v>
      </c>
      <c r="R64" s="192">
        <v>75000</v>
      </c>
      <c r="S64" s="192">
        <v>95000</v>
      </c>
      <c r="T64" s="192">
        <v>336000</v>
      </c>
      <c r="U64" s="192">
        <v>136319.31321600001</v>
      </c>
      <c r="V64" s="192">
        <v>696319.31321599998</v>
      </c>
      <c r="W64" s="192">
        <v>12</v>
      </c>
      <c r="X64" s="192">
        <v>58026.609434666701</v>
      </c>
      <c r="Z64" s="192">
        <v>58026.609434666701</v>
      </c>
      <c r="AA64" s="192">
        <v>56478.9</v>
      </c>
      <c r="AB64" s="192">
        <v>1547.7094346666699</v>
      </c>
    </row>
    <row r="65" spans="1:28">
      <c r="A65" s="195">
        <v>54</v>
      </c>
      <c r="B65" s="192" t="s">
        <v>331</v>
      </c>
      <c r="C65" s="192">
        <v>300564.016</v>
      </c>
      <c r="D65" s="192">
        <v>12</v>
      </c>
      <c r="E65" s="192">
        <v>3606768.1919999998</v>
      </c>
      <c r="I65" s="192">
        <v>3606768.1919999998</v>
      </c>
      <c r="J65" s="192">
        <v>200000</v>
      </c>
      <c r="K65" s="192">
        <v>0.2</v>
      </c>
      <c r="L65" s="192">
        <v>721353.63840000005</v>
      </c>
      <c r="M65" s="192">
        <v>921353.63840000005</v>
      </c>
      <c r="N65" s="192">
        <v>921353.63840000005</v>
      </c>
      <c r="O65" s="192">
        <v>2685414.5536000002</v>
      </c>
      <c r="P65" s="192">
        <v>21000</v>
      </c>
      <c r="Q65" s="192">
        <v>33000</v>
      </c>
      <c r="R65" s="192">
        <v>75000</v>
      </c>
      <c r="S65" s="192">
        <v>95000</v>
      </c>
      <c r="T65" s="192">
        <v>227937.05625600001</v>
      </c>
      <c r="V65" s="192">
        <v>451937.05625600001</v>
      </c>
      <c r="W65" s="192">
        <v>12</v>
      </c>
      <c r="X65" s="192">
        <v>37661.421354666702</v>
      </c>
      <c r="Z65" s="192">
        <v>37661.421354666702</v>
      </c>
      <c r="AA65" s="192">
        <v>36127.269999999997</v>
      </c>
      <c r="AB65" s="192">
        <v>1534.1513546666699</v>
      </c>
    </row>
    <row r="66" spans="1:28">
      <c r="A66" s="195">
        <v>55</v>
      </c>
      <c r="B66" s="192" t="s">
        <v>1033</v>
      </c>
      <c r="C66" s="192">
        <v>334536.99849999999</v>
      </c>
      <c r="D66" s="192">
        <v>12</v>
      </c>
      <c r="E66" s="192">
        <v>4014443.9819999998</v>
      </c>
      <c r="F66" s="192">
        <v>6456.26</v>
      </c>
      <c r="I66" s="192">
        <v>4007987.7220000001</v>
      </c>
      <c r="J66" s="192">
        <v>200000</v>
      </c>
      <c r="K66" s="192">
        <v>0.2</v>
      </c>
      <c r="L66" s="192">
        <v>801597.54440000001</v>
      </c>
      <c r="M66" s="192">
        <v>1001597.5444</v>
      </c>
      <c r="N66" s="192">
        <v>1008053.8044</v>
      </c>
      <c r="O66" s="192">
        <v>3006390.1776000001</v>
      </c>
      <c r="P66" s="192">
        <v>21000</v>
      </c>
      <c r="Q66" s="192">
        <v>33000</v>
      </c>
      <c r="R66" s="192">
        <v>75000</v>
      </c>
      <c r="S66" s="192">
        <v>95000</v>
      </c>
      <c r="T66" s="192">
        <v>295341.93729600002</v>
      </c>
      <c r="V66" s="192">
        <v>519341.93729600002</v>
      </c>
      <c r="W66" s="192">
        <v>12</v>
      </c>
      <c r="X66" s="192">
        <v>43278.494774666702</v>
      </c>
      <c r="Z66" s="192">
        <v>43278.494774666702</v>
      </c>
      <c r="AA66" s="192">
        <v>41248.559999999998</v>
      </c>
      <c r="AB66" s="192">
        <v>2029.9347746666699</v>
      </c>
    </row>
    <row r="67" spans="1:28">
      <c r="A67" s="195">
        <v>56</v>
      </c>
      <c r="B67" s="192" t="s">
        <v>333</v>
      </c>
      <c r="C67" s="192">
        <v>315372.07500000001</v>
      </c>
      <c r="D67" s="192">
        <v>12</v>
      </c>
      <c r="E67" s="192">
        <v>3784464.9</v>
      </c>
      <c r="I67" s="192">
        <v>3784464.9</v>
      </c>
      <c r="J67" s="192">
        <v>200000</v>
      </c>
      <c r="K67" s="192">
        <v>0.2</v>
      </c>
      <c r="L67" s="192">
        <v>756892.98</v>
      </c>
      <c r="M67" s="192">
        <v>956892.98</v>
      </c>
      <c r="N67" s="192">
        <v>956892.98</v>
      </c>
      <c r="O67" s="192">
        <v>2827571.92</v>
      </c>
      <c r="P67" s="192">
        <v>21000</v>
      </c>
      <c r="Q67" s="192">
        <v>33000</v>
      </c>
      <c r="R67" s="192">
        <v>75000</v>
      </c>
      <c r="S67" s="192">
        <v>95000</v>
      </c>
      <c r="T67" s="192">
        <v>257790.10320000001</v>
      </c>
      <c r="V67" s="192">
        <v>481790.10320000001</v>
      </c>
      <c r="W67" s="192">
        <v>12</v>
      </c>
      <c r="X67" s="192">
        <v>40149.175266666702</v>
      </c>
      <c r="Z67" s="192">
        <v>40149.175266666702</v>
      </c>
      <c r="AA67" s="192">
        <v>40149.18</v>
      </c>
      <c r="AB67" s="192">
        <v>-4.7333333277492801E-3</v>
      </c>
    </row>
    <row r="68" spans="1:28">
      <c r="A68" s="195">
        <v>57</v>
      </c>
      <c r="B68" s="192" t="s">
        <v>334</v>
      </c>
      <c r="C68" s="192">
        <v>315372.07500000001</v>
      </c>
      <c r="D68" s="192">
        <v>12</v>
      </c>
      <c r="E68" s="192">
        <v>3784464.9</v>
      </c>
      <c r="I68" s="192">
        <v>3784464.9</v>
      </c>
      <c r="J68" s="192">
        <v>200000</v>
      </c>
      <c r="K68" s="192">
        <v>0.2</v>
      </c>
      <c r="L68" s="192">
        <v>756892.98</v>
      </c>
      <c r="M68" s="192">
        <v>956892.98</v>
      </c>
      <c r="N68" s="192">
        <v>956892.98</v>
      </c>
      <c r="O68" s="192">
        <v>2827571.92</v>
      </c>
      <c r="P68" s="192">
        <v>21000</v>
      </c>
      <c r="Q68" s="192">
        <v>33000</v>
      </c>
      <c r="R68" s="192">
        <v>75000</v>
      </c>
      <c r="S68" s="192">
        <v>95000</v>
      </c>
      <c r="T68" s="192">
        <v>257790.10320000001</v>
      </c>
      <c r="V68" s="192">
        <v>481790.10320000001</v>
      </c>
      <c r="W68" s="192">
        <v>12</v>
      </c>
      <c r="X68" s="192">
        <v>40149.175266666702</v>
      </c>
      <c r="Z68" s="192">
        <v>40149.175266666702</v>
      </c>
      <c r="AA68" s="192">
        <v>40149.18</v>
      </c>
      <c r="AB68" s="192">
        <v>-4.7333333277492801E-3</v>
      </c>
    </row>
    <row r="69" spans="1:28">
      <c r="A69" s="195">
        <v>58</v>
      </c>
      <c r="B69" s="192" t="s">
        <v>335</v>
      </c>
      <c r="C69" s="192">
        <v>322454.07400000002</v>
      </c>
      <c r="D69" s="192">
        <v>12</v>
      </c>
      <c r="E69" s="192">
        <v>3869448.8879999998</v>
      </c>
      <c r="I69" s="192">
        <v>3869448.8879999998</v>
      </c>
      <c r="J69" s="192">
        <v>200000</v>
      </c>
      <c r="K69" s="192">
        <v>0.2</v>
      </c>
      <c r="L69" s="192">
        <v>773889.77760000003</v>
      </c>
      <c r="M69" s="192">
        <v>973889.77760000003</v>
      </c>
      <c r="N69" s="192">
        <v>973889.77760000003</v>
      </c>
      <c r="O69" s="192">
        <v>2895559.1104000001</v>
      </c>
      <c r="P69" s="192">
        <v>21000</v>
      </c>
      <c r="Q69" s="192">
        <v>33000</v>
      </c>
      <c r="R69" s="192">
        <v>75000</v>
      </c>
      <c r="S69" s="192">
        <v>95000</v>
      </c>
      <c r="T69" s="192">
        <v>272067.413184</v>
      </c>
      <c r="V69" s="192">
        <v>496067.413184</v>
      </c>
      <c r="W69" s="192">
        <v>12</v>
      </c>
      <c r="X69" s="192">
        <v>41338.951098666701</v>
      </c>
      <c r="Z69" s="192">
        <v>41338.951098666701</v>
      </c>
      <c r="AA69" s="192">
        <v>41829.147126666699</v>
      </c>
      <c r="AB69" s="192">
        <v>-490.19602799999802</v>
      </c>
    </row>
    <row r="70" spans="1:28">
      <c r="A70" s="195">
        <v>59</v>
      </c>
      <c r="B70" s="192" t="s">
        <v>1115</v>
      </c>
      <c r="C70" s="192">
        <v>273169.11749999999</v>
      </c>
      <c r="D70" s="192">
        <v>12</v>
      </c>
      <c r="E70" s="192">
        <v>3278029.41</v>
      </c>
      <c r="I70" s="192">
        <v>3278029.41</v>
      </c>
      <c r="J70" s="192">
        <v>200000</v>
      </c>
      <c r="K70" s="192">
        <v>0.2</v>
      </c>
      <c r="L70" s="192">
        <v>655605.88199999998</v>
      </c>
      <c r="M70" s="192">
        <v>855605.88199999998</v>
      </c>
      <c r="N70" s="192">
        <v>855605.88199999998</v>
      </c>
      <c r="O70" s="192">
        <v>2422423.5279999999</v>
      </c>
      <c r="P70" s="192">
        <v>21000</v>
      </c>
      <c r="Q70" s="192">
        <v>33000</v>
      </c>
      <c r="R70" s="192">
        <v>75000</v>
      </c>
      <c r="S70" s="192">
        <v>95000</v>
      </c>
      <c r="T70" s="192">
        <v>172708.94088000001</v>
      </c>
      <c r="V70" s="192">
        <v>396708.94088000001</v>
      </c>
      <c r="W70" s="192">
        <v>12</v>
      </c>
      <c r="X70" s="192">
        <v>33059.078406666697</v>
      </c>
      <c r="Z70" s="192">
        <v>33059.078406666697</v>
      </c>
      <c r="AA70" s="192">
        <v>32291.82</v>
      </c>
      <c r="AB70" s="192">
        <v>767.25840666666795</v>
      </c>
    </row>
    <row r="71" spans="1:28">
      <c r="A71" s="195">
        <v>60</v>
      </c>
      <c r="B71" s="192" t="s">
        <v>281</v>
      </c>
      <c r="C71" s="192">
        <v>249356.04725</v>
      </c>
      <c r="D71" s="192">
        <v>12</v>
      </c>
      <c r="E71" s="192">
        <v>2992272.5669999998</v>
      </c>
      <c r="I71" s="192">
        <v>2992272.5669999998</v>
      </c>
      <c r="J71" s="192">
        <v>200000</v>
      </c>
      <c r="K71" s="192">
        <v>0.2</v>
      </c>
      <c r="L71" s="192">
        <v>598454.51340000005</v>
      </c>
      <c r="M71" s="192">
        <v>798454.51340000005</v>
      </c>
      <c r="N71" s="192">
        <v>798454.51340000005</v>
      </c>
      <c r="O71" s="192">
        <v>2193818.0536000002</v>
      </c>
      <c r="P71" s="192">
        <v>21000</v>
      </c>
      <c r="Q71" s="192">
        <v>33000</v>
      </c>
      <c r="R71" s="192">
        <v>75000</v>
      </c>
      <c r="S71" s="192">
        <v>95000</v>
      </c>
      <c r="T71" s="192">
        <v>124701.791256</v>
      </c>
      <c r="V71" s="192">
        <v>348701.791256</v>
      </c>
      <c r="W71" s="192">
        <v>12</v>
      </c>
      <c r="X71" s="192">
        <v>29058.4826046667</v>
      </c>
      <c r="Z71" s="192">
        <v>29058.4826046667</v>
      </c>
      <c r="AA71" s="192">
        <v>24685.95</v>
      </c>
      <c r="AB71" s="192">
        <v>4372.5326046666596</v>
      </c>
    </row>
    <row r="72" spans="1:28">
      <c r="A72" s="195">
        <v>61</v>
      </c>
      <c r="B72" s="192" t="s">
        <v>272</v>
      </c>
      <c r="C72" s="192">
        <v>226816.1</v>
      </c>
      <c r="D72" s="192">
        <v>12</v>
      </c>
      <c r="E72" s="192">
        <v>2721793.2</v>
      </c>
      <c r="I72" s="192">
        <v>2721793.2</v>
      </c>
      <c r="J72" s="192">
        <v>200000</v>
      </c>
      <c r="K72" s="192">
        <v>0.2</v>
      </c>
      <c r="L72" s="192">
        <v>544358.64</v>
      </c>
      <c r="M72" s="192">
        <v>744358.64</v>
      </c>
      <c r="N72" s="192">
        <v>744358.64</v>
      </c>
      <c r="O72" s="192">
        <v>1977434.56</v>
      </c>
      <c r="P72" s="192">
        <v>21000</v>
      </c>
      <c r="Q72" s="192">
        <v>33000</v>
      </c>
      <c r="R72" s="192">
        <v>75000</v>
      </c>
      <c r="S72" s="192">
        <v>95000</v>
      </c>
      <c r="T72" s="192">
        <v>79261.257599999997</v>
      </c>
      <c r="V72" s="192">
        <v>303261.25760000001</v>
      </c>
      <c r="W72" s="192">
        <v>12</v>
      </c>
      <c r="X72" s="192">
        <v>25271.771466666702</v>
      </c>
      <c r="Z72" s="192">
        <v>25271.771466666702</v>
      </c>
      <c r="AA72" s="192">
        <v>24685.95</v>
      </c>
      <c r="AB72" s="192">
        <v>585.82146666666802</v>
      </c>
    </row>
    <row r="73" spans="1:28">
      <c r="A73" s="195"/>
    </row>
    <row r="74" spans="1:28">
      <c r="A74" s="195"/>
    </row>
    <row r="75" spans="1:28">
      <c r="A75" s="195">
        <v>62</v>
      </c>
      <c r="B75" s="192" t="s">
        <v>338</v>
      </c>
      <c r="C75" s="192">
        <v>1050209.0634999999</v>
      </c>
      <c r="D75" s="192">
        <v>12</v>
      </c>
      <c r="E75" s="192">
        <v>12602508.762</v>
      </c>
      <c r="I75" s="192">
        <v>12602508.762</v>
      </c>
      <c r="J75" s="192">
        <v>200000</v>
      </c>
      <c r="K75" s="192">
        <v>0.2</v>
      </c>
      <c r="L75" s="192">
        <v>2520501.7524000001</v>
      </c>
      <c r="M75" s="192">
        <v>2720501.7524000001</v>
      </c>
      <c r="N75" s="192">
        <v>2720501.7524000001</v>
      </c>
      <c r="O75" s="192">
        <v>9882007.0096000005</v>
      </c>
      <c r="P75" s="192">
        <v>21000</v>
      </c>
      <c r="Q75" s="192">
        <v>33000</v>
      </c>
      <c r="R75" s="192">
        <v>75000</v>
      </c>
      <c r="S75" s="192">
        <v>95000</v>
      </c>
      <c r="T75" s="192">
        <v>336000</v>
      </c>
      <c r="U75" s="192">
        <v>1603681.682304</v>
      </c>
      <c r="V75" s="192">
        <v>2163681.682304</v>
      </c>
      <c r="W75" s="192">
        <v>12</v>
      </c>
      <c r="X75" s="192">
        <v>180306.806858667</v>
      </c>
      <c r="Z75" s="192">
        <v>180306.806858667</v>
      </c>
      <c r="AA75" s="192">
        <v>180306.81</v>
      </c>
      <c r="AB75" s="192">
        <v>-3.14133329084143E-3</v>
      </c>
    </row>
    <row r="76" spans="1:28">
      <c r="A76" s="195">
        <v>63</v>
      </c>
      <c r="B76" s="192" t="s">
        <v>220</v>
      </c>
      <c r="C76" s="192">
        <v>504720.04700000002</v>
      </c>
      <c r="D76" s="192">
        <v>12</v>
      </c>
      <c r="E76" s="192">
        <v>6056640.5640000002</v>
      </c>
      <c r="I76" s="192">
        <v>6056640.5640000002</v>
      </c>
      <c r="J76" s="192">
        <v>200000</v>
      </c>
      <c r="K76" s="192">
        <v>0.2</v>
      </c>
      <c r="L76" s="192">
        <v>1211328.1128</v>
      </c>
      <c r="M76" s="192">
        <v>1411328.1128</v>
      </c>
      <c r="N76" s="192">
        <v>1411328.1128</v>
      </c>
      <c r="O76" s="192">
        <v>4645312.4512</v>
      </c>
      <c r="P76" s="192">
        <v>21000</v>
      </c>
      <c r="Q76" s="192">
        <v>33000</v>
      </c>
      <c r="R76" s="192">
        <v>75000</v>
      </c>
      <c r="S76" s="192">
        <v>95000</v>
      </c>
      <c r="T76" s="192">
        <v>336000</v>
      </c>
      <c r="U76" s="192">
        <v>346874.98828799999</v>
      </c>
      <c r="V76" s="192">
        <v>906874.98828799999</v>
      </c>
      <c r="W76" s="192">
        <v>12</v>
      </c>
      <c r="X76" s="192">
        <v>75572.915690666705</v>
      </c>
      <c r="Z76" s="192">
        <v>75572.915690666705</v>
      </c>
      <c r="AA76" s="192">
        <v>75572.92</v>
      </c>
      <c r="AB76" s="192">
        <v>-4.3093333370052304E-3</v>
      </c>
    </row>
    <row r="77" spans="1:28">
      <c r="A77" s="195">
        <v>64</v>
      </c>
      <c r="B77" s="192" t="s">
        <v>1116</v>
      </c>
      <c r="C77" s="192">
        <v>504720.04700000002</v>
      </c>
      <c r="D77" s="192">
        <v>12</v>
      </c>
      <c r="E77" s="192">
        <v>6056640.5640000002</v>
      </c>
      <c r="I77" s="192">
        <v>6056640.5640000002</v>
      </c>
      <c r="J77" s="192">
        <v>200000</v>
      </c>
      <c r="K77" s="192">
        <v>0.2</v>
      </c>
      <c r="L77" s="192">
        <v>1211328.1128</v>
      </c>
      <c r="M77" s="192">
        <v>1411328.1128</v>
      </c>
      <c r="N77" s="192">
        <v>1411328.1128</v>
      </c>
      <c r="O77" s="192">
        <v>4645312.4512</v>
      </c>
      <c r="P77" s="192">
        <v>21000</v>
      </c>
      <c r="Q77" s="192">
        <v>33000</v>
      </c>
      <c r="R77" s="192">
        <v>75000</v>
      </c>
      <c r="S77" s="192">
        <v>95000</v>
      </c>
      <c r="T77" s="192">
        <v>336000</v>
      </c>
      <c r="U77" s="192">
        <v>346874.98828799999</v>
      </c>
      <c r="V77" s="192">
        <v>906874.98828799999</v>
      </c>
      <c r="W77" s="192">
        <v>12</v>
      </c>
      <c r="X77" s="192">
        <v>75572.915690666705</v>
      </c>
      <c r="Z77" s="192">
        <v>75572.915690666705</v>
      </c>
      <c r="AA77" s="192">
        <v>75572.92</v>
      </c>
      <c r="AB77" s="192">
        <v>-4.3093333370052304E-3</v>
      </c>
    </row>
    <row r="78" spans="1:28">
      <c r="A78" s="195">
        <v>65</v>
      </c>
      <c r="B78" s="192" t="s">
        <v>340</v>
      </c>
      <c r="C78" s="192">
        <v>369177.65375</v>
      </c>
      <c r="D78" s="192">
        <v>12</v>
      </c>
      <c r="E78" s="192">
        <v>4430131.8449999997</v>
      </c>
      <c r="I78" s="192">
        <v>4430131.8449999997</v>
      </c>
      <c r="J78" s="192">
        <v>200000</v>
      </c>
      <c r="K78" s="192">
        <v>0.2</v>
      </c>
      <c r="L78" s="192">
        <v>886026.36899999995</v>
      </c>
      <c r="M78" s="192">
        <v>1086026.3689999999</v>
      </c>
      <c r="N78" s="192">
        <v>1086026.3689999999</v>
      </c>
      <c r="O78" s="192">
        <v>3344105.4759999998</v>
      </c>
      <c r="P78" s="192">
        <v>21000</v>
      </c>
      <c r="Q78" s="192">
        <v>33000</v>
      </c>
      <c r="R78" s="192">
        <v>75000</v>
      </c>
      <c r="S78" s="192">
        <v>95000</v>
      </c>
      <c r="T78" s="192">
        <v>336000</v>
      </c>
      <c r="U78" s="192">
        <v>34585.314239999898</v>
      </c>
      <c r="V78" s="192">
        <v>594585.31423999998</v>
      </c>
      <c r="W78" s="192">
        <v>12</v>
      </c>
      <c r="X78" s="192">
        <v>49548.776186666699</v>
      </c>
      <c r="Z78" s="192">
        <v>49548.776186666699</v>
      </c>
      <c r="AA78" s="192">
        <v>48170.87</v>
      </c>
      <c r="AB78" s="192">
        <v>1377.90618666666</v>
      </c>
    </row>
    <row r="79" spans="1:28">
      <c r="A79" s="195"/>
      <c r="B79" s="192" t="s">
        <v>343</v>
      </c>
      <c r="C79" s="192">
        <v>273169.11749999999</v>
      </c>
      <c r="D79" s="192">
        <v>12</v>
      </c>
      <c r="E79" s="192">
        <v>3278029.41</v>
      </c>
      <c r="I79" s="192">
        <v>3278029.41</v>
      </c>
      <c r="J79" s="192">
        <v>200000</v>
      </c>
      <c r="K79" s="192">
        <v>0.2</v>
      </c>
      <c r="L79" s="192">
        <v>655605.88199999998</v>
      </c>
      <c r="M79" s="192">
        <v>855605.88199999998</v>
      </c>
      <c r="N79" s="192">
        <v>855605.88199999998</v>
      </c>
      <c r="O79" s="192">
        <v>2422423.5279999999</v>
      </c>
      <c r="P79" s="192">
        <v>21000</v>
      </c>
      <c r="Q79" s="192">
        <v>33000</v>
      </c>
      <c r="R79" s="192">
        <v>75000</v>
      </c>
      <c r="S79" s="192">
        <v>95000</v>
      </c>
      <c r="T79" s="192">
        <v>172708.94088000001</v>
      </c>
      <c r="U79" s="192">
        <v>0</v>
      </c>
      <c r="V79" s="192">
        <v>396708.94088000001</v>
      </c>
      <c r="W79" s="192">
        <v>12</v>
      </c>
      <c r="X79" s="192">
        <v>33059.078406666697</v>
      </c>
      <c r="Z79" s="192">
        <v>33059.078406666697</v>
      </c>
      <c r="AA79" s="192">
        <v>32291.82</v>
      </c>
      <c r="AB79" s="192">
        <v>767.25840666666795</v>
      </c>
    </row>
    <row r="80" spans="1:28">
      <c r="A80" s="195"/>
    </row>
    <row r="81" spans="1:28">
      <c r="A81" s="195"/>
    </row>
    <row r="82" spans="1:28">
      <c r="A82" s="195">
        <v>66</v>
      </c>
      <c r="B82" s="192" t="s">
        <v>1133</v>
      </c>
      <c r="C82" s="192">
        <v>631465.02474999998</v>
      </c>
      <c r="D82" s="192">
        <v>12</v>
      </c>
      <c r="E82" s="192">
        <v>7577580.2970000003</v>
      </c>
      <c r="I82" s="192">
        <v>7577580.2970000003</v>
      </c>
      <c r="J82" s="192">
        <v>200000</v>
      </c>
      <c r="K82" s="192">
        <v>0.2</v>
      </c>
      <c r="L82" s="192">
        <v>1515516.0593999999</v>
      </c>
      <c r="M82" s="192">
        <v>1715516.0593999999</v>
      </c>
      <c r="N82" s="192">
        <v>1715516.0593999999</v>
      </c>
      <c r="O82" s="192">
        <v>5862064.2375999996</v>
      </c>
      <c r="P82" s="192">
        <v>21000</v>
      </c>
      <c r="Q82" s="192">
        <v>33000</v>
      </c>
      <c r="R82" s="192">
        <v>75000</v>
      </c>
      <c r="S82" s="192">
        <v>95000</v>
      </c>
      <c r="T82" s="192">
        <v>336000</v>
      </c>
      <c r="U82" s="192">
        <v>638895.41702399997</v>
      </c>
      <c r="V82" s="192">
        <v>1198895.4170240001</v>
      </c>
      <c r="W82" s="192">
        <v>12</v>
      </c>
      <c r="X82" s="192">
        <v>99907.951418666693</v>
      </c>
      <c r="Z82" s="192">
        <v>99907.951418666693</v>
      </c>
      <c r="AA82" s="192">
        <v>97273.51</v>
      </c>
      <c r="AB82" s="192">
        <v>2634.44141866668</v>
      </c>
    </row>
    <row r="83" spans="1:28">
      <c r="A83" s="195">
        <v>67</v>
      </c>
      <c r="B83" s="192" t="s">
        <v>349</v>
      </c>
      <c r="C83" s="192">
        <v>527553.50249999994</v>
      </c>
      <c r="D83" s="192">
        <v>12</v>
      </c>
      <c r="E83" s="192">
        <v>6330642.0300000003</v>
      </c>
      <c r="I83" s="192">
        <v>6330642.0300000003</v>
      </c>
      <c r="J83" s="192">
        <v>200000</v>
      </c>
      <c r="K83" s="192">
        <v>0.2</v>
      </c>
      <c r="L83" s="192">
        <v>1266128.406</v>
      </c>
      <c r="M83" s="192">
        <v>1466128.406</v>
      </c>
      <c r="N83" s="192">
        <v>1466128.406</v>
      </c>
      <c r="O83" s="192">
        <v>4864513.6239999998</v>
      </c>
      <c r="P83" s="192">
        <v>21000</v>
      </c>
      <c r="Q83" s="192">
        <v>33000</v>
      </c>
      <c r="R83" s="192">
        <v>75000</v>
      </c>
      <c r="S83" s="192">
        <v>95000</v>
      </c>
      <c r="T83" s="192">
        <v>336000</v>
      </c>
      <c r="U83" s="192">
        <v>399483.26976</v>
      </c>
      <c r="V83" s="192">
        <v>959483.26976000005</v>
      </c>
      <c r="W83" s="192">
        <v>12</v>
      </c>
      <c r="X83" s="192">
        <v>79956.9391466667</v>
      </c>
      <c r="Z83" s="192">
        <v>79956.9391466667</v>
      </c>
      <c r="AA83" s="192">
        <v>79956.94</v>
      </c>
      <c r="AB83" s="192">
        <v>-8.5333334573078901E-4</v>
      </c>
    </row>
    <row r="84" spans="1:28">
      <c r="A84" s="195">
        <v>68</v>
      </c>
      <c r="B84" s="192" t="s">
        <v>350</v>
      </c>
      <c r="C84" s="192">
        <v>527553.50249999994</v>
      </c>
      <c r="D84" s="192">
        <v>12</v>
      </c>
      <c r="E84" s="192">
        <v>6330642.0300000003</v>
      </c>
      <c r="F84" s="192">
        <v>10052.25</v>
      </c>
      <c r="I84" s="192">
        <v>6320589.7800000003</v>
      </c>
      <c r="J84" s="192">
        <v>200000</v>
      </c>
      <c r="K84" s="192">
        <v>0.2</v>
      </c>
      <c r="L84" s="192">
        <v>1264117.956</v>
      </c>
      <c r="M84" s="192">
        <v>1464117.956</v>
      </c>
      <c r="N84" s="192">
        <v>1474170.206</v>
      </c>
      <c r="O84" s="192">
        <v>4856471.824</v>
      </c>
      <c r="P84" s="192">
        <v>21000</v>
      </c>
      <c r="Q84" s="192">
        <v>33000</v>
      </c>
      <c r="R84" s="192">
        <v>75000</v>
      </c>
      <c r="S84" s="192">
        <v>95000</v>
      </c>
      <c r="T84" s="192">
        <v>336000</v>
      </c>
      <c r="U84" s="192">
        <v>397553.23775999999</v>
      </c>
      <c r="V84" s="192">
        <v>957553.23776000005</v>
      </c>
      <c r="W84" s="192">
        <v>12</v>
      </c>
      <c r="X84" s="192">
        <v>79796.103146666603</v>
      </c>
      <c r="Z84" s="192">
        <v>79796.103146666603</v>
      </c>
      <c r="AA84" s="192">
        <v>79796.100000000006</v>
      </c>
      <c r="AB84" s="192">
        <v>3.1466666405322E-3</v>
      </c>
    </row>
    <row r="85" spans="1:28">
      <c r="A85" s="195">
        <v>69</v>
      </c>
      <c r="B85" s="192" t="s">
        <v>386</v>
      </c>
      <c r="C85" s="192">
        <v>421394.00675</v>
      </c>
      <c r="D85" s="192">
        <v>12</v>
      </c>
      <c r="E85" s="192">
        <v>5056728.0810000002</v>
      </c>
      <c r="F85" s="192">
        <v>8283.3700000000008</v>
      </c>
      <c r="I85" s="192">
        <v>5048444.7110000001</v>
      </c>
      <c r="J85" s="192">
        <v>200000</v>
      </c>
      <c r="K85" s="192">
        <v>0.2</v>
      </c>
      <c r="L85" s="192">
        <v>1009688.9422</v>
      </c>
      <c r="M85" s="192">
        <v>1209688.9421999999</v>
      </c>
      <c r="N85" s="192">
        <v>1217972.3122</v>
      </c>
      <c r="O85" s="192">
        <v>3838755.7688000002</v>
      </c>
      <c r="P85" s="192">
        <v>21000</v>
      </c>
      <c r="Q85" s="192">
        <v>33000</v>
      </c>
      <c r="R85" s="192">
        <v>75000</v>
      </c>
      <c r="S85" s="192">
        <v>95000</v>
      </c>
      <c r="T85" s="192">
        <v>336000</v>
      </c>
      <c r="U85" s="192">
        <v>153301.38451199999</v>
      </c>
      <c r="V85" s="192">
        <v>713301.38451200002</v>
      </c>
      <c r="W85" s="192">
        <v>12</v>
      </c>
      <c r="X85" s="192">
        <v>59441.782042666702</v>
      </c>
      <c r="Z85" s="192">
        <v>59441.782042666702</v>
      </c>
      <c r="AA85" s="192">
        <v>57894.080000000002</v>
      </c>
      <c r="AB85" s="192">
        <v>1547.70204266666</v>
      </c>
    </row>
    <row r="86" spans="1:28">
      <c r="A86" s="195">
        <v>70</v>
      </c>
      <c r="B86" s="192" t="s">
        <v>351</v>
      </c>
      <c r="C86" s="192">
        <v>413333.03525000002</v>
      </c>
      <c r="D86" s="192">
        <v>12</v>
      </c>
      <c r="E86" s="192">
        <v>4959996.4230000004</v>
      </c>
      <c r="I86" s="192">
        <v>4959996.4230000004</v>
      </c>
      <c r="J86" s="192">
        <v>200000</v>
      </c>
      <c r="K86" s="192">
        <v>0.2</v>
      </c>
      <c r="L86" s="192">
        <v>991999.28460000001</v>
      </c>
      <c r="M86" s="192">
        <v>1191999.2845999999</v>
      </c>
      <c r="N86" s="192">
        <v>1191999.2845999999</v>
      </c>
      <c r="O86" s="192">
        <v>3767997.1384000001</v>
      </c>
      <c r="P86" s="192">
        <v>21000</v>
      </c>
      <c r="Q86" s="192">
        <v>33000</v>
      </c>
      <c r="R86" s="192">
        <v>75000</v>
      </c>
      <c r="S86" s="192">
        <v>95000</v>
      </c>
      <c r="T86" s="192">
        <v>336000</v>
      </c>
      <c r="U86" s="192">
        <v>136319.31321600001</v>
      </c>
      <c r="V86" s="192">
        <v>696319.31321599998</v>
      </c>
      <c r="W86" s="192">
        <v>12</v>
      </c>
      <c r="X86" s="192">
        <v>58026.609434666701</v>
      </c>
      <c r="Z86" s="192">
        <v>58026.609434666701</v>
      </c>
      <c r="AA86" s="192">
        <v>56478.9</v>
      </c>
      <c r="AB86" s="192">
        <v>1547.7094346666699</v>
      </c>
    </row>
    <row r="87" spans="1:28">
      <c r="A87" s="195">
        <v>71</v>
      </c>
      <c r="B87" s="192" t="s">
        <v>352</v>
      </c>
      <c r="C87" s="192">
        <v>369177.65375</v>
      </c>
      <c r="D87" s="192">
        <v>12</v>
      </c>
      <c r="E87" s="192">
        <v>4430131.8449999997</v>
      </c>
      <c r="I87" s="192">
        <v>4430131.8449999997</v>
      </c>
      <c r="J87" s="192">
        <v>200000</v>
      </c>
      <c r="K87" s="192">
        <v>0.2</v>
      </c>
      <c r="L87" s="192">
        <v>886026.36899999995</v>
      </c>
      <c r="M87" s="192">
        <v>1086026.3689999999</v>
      </c>
      <c r="N87" s="192">
        <v>1086026.3689999999</v>
      </c>
      <c r="O87" s="192">
        <v>3344105.4759999998</v>
      </c>
      <c r="P87" s="192">
        <v>21000</v>
      </c>
      <c r="Q87" s="192">
        <v>33000</v>
      </c>
      <c r="R87" s="192">
        <v>75000</v>
      </c>
      <c r="S87" s="192">
        <v>95000</v>
      </c>
      <c r="T87" s="192">
        <v>336000</v>
      </c>
      <c r="U87" s="192">
        <v>34585.314239999898</v>
      </c>
      <c r="V87" s="192">
        <v>594585.31423999998</v>
      </c>
      <c r="W87" s="192">
        <v>12</v>
      </c>
      <c r="X87" s="192">
        <v>49548.776186666699</v>
      </c>
      <c r="Z87" s="192">
        <v>49548.776186666699</v>
      </c>
      <c r="AA87" s="192">
        <v>48170.87</v>
      </c>
      <c r="AB87" s="192">
        <v>1377.90618666666</v>
      </c>
    </row>
    <row r="88" spans="1:28">
      <c r="A88" s="195">
        <v>72</v>
      </c>
      <c r="B88" s="192" t="s">
        <v>354</v>
      </c>
      <c r="C88" s="192">
        <v>362001.06050000002</v>
      </c>
      <c r="D88" s="192">
        <v>12</v>
      </c>
      <c r="E88" s="192">
        <v>4344012.7259999998</v>
      </c>
      <c r="I88" s="192">
        <v>4344012.7259999998</v>
      </c>
      <c r="J88" s="192">
        <v>200000</v>
      </c>
      <c r="K88" s="192">
        <v>0.2</v>
      </c>
      <c r="L88" s="192">
        <v>868802.54520000005</v>
      </c>
      <c r="M88" s="192">
        <v>1068802.5452000001</v>
      </c>
      <c r="N88" s="192">
        <v>1068802.5452000001</v>
      </c>
      <c r="O88" s="192">
        <v>3275210.1808000002</v>
      </c>
      <c r="P88" s="192">
        <v>21000</v>
      </c>
      <c r="Q88" s="192">
        <v>33000</v>
      </c>
      <c r="R88" s="192">
        <v>75000</v>
      </c>
      <c r="S88" s="192">
        <v>95000</v>
      </c>
      <c r="T88" s="192">
        <v>336000</v>
      </c>
      <c r="U88" s="192">
        <v>18050.443391999899</v>
      </c>
      <c r="V88" s="192">
        <v>578050.44339200004</v>
      </c>
      <c r="W88" s="192">
        <v>12</v>
      </c>
      <c r="X88" s="192">
        <v>48170.870282666699</v>
      </c>
      <c r="Z88" s="192">
        <v>48170.870282666699</v>
      </c>
      <c r="AA88" s="192">
        <v>46673.26</v>
      </c>
      <c r="AB88" s="192">
        <v>1497.6102826666599</v>
      </c>
    </row>
    <row r="89" spans="1:28">
      <c r="A89" s="195">
        <v>73</v>
      </c>
      <c r="B89" s="192" t="s">
        <v>355</v>
      </c>
      <c r="C89" s="192">
        <v>362001.06050000002</v>
      </c>
      <c r="D89" s="192">
        <v>12</v>
      </c>
      <c r="E89" s="192">
        <v>4344012.7259999998</v>
      </c>
      <c r="I89" s="192">
        <v>4344012.7259999998</v>
      </c>
      <c r="J89" s="192">
        <v>200000</v>
      </c>
      <c r="K89" s="192">
        <v>0.2</v>
      </c>
      <c r="L89" s="192">
        <v>868802.54520000005</v>
      </c>
      <c r="M89" s="192">
        <v>1068802.5452000001</v>
      </c>
      <c r="N89" s="192">
        <v>1068802.5452000001</v>
      </c>
      <c r="O89" s="192">
        <v>3275210.1808000002</v>
      </c>
      <c r="P89" s="192">
        <v>21000</v>
      </c>
      <c r="Q89" s="192">
        <v>33000</v>
      </c>
      <c r="R89" s="192">
        <v>75000</v>
      </c>
      <c r="S89" s="192">
        <v>95000</v>
      </c>
      <c r="T89" s="192">
        <v>336000</v>
      </c>
      <c r="U89" s="192">
        <v>18050.443391999899</v>
      </c>
      <c r="V89" s="192">
        <v>578050.44339200004</v>
      </c>
      <c r="W89" s="192">
        <v>12</v>
      </c>
      <c r="X89" s="192">
        <v>48170.870282666699</v>
      </c>
      <c r="Z89" s="192">
        <v>48170.870282666699</v>
      </c>
      <c r="AA89" s="192">
        <v>46673.26</v>
      </c>
      <c r="AB89" s="192">
        <v>1497.6102826666599</v>
      </c>
    </row>
    <row r="90" spans="1:28">
      <c r="A90" s="195">
        <v>74</v>
      </c>
      <c r="B90" s="192" t="s">
        <v>357</v>
      </c>
      <c r="C90" s="192">
        <v>315372.07500000001</v>
      </c>
      <c r="D90" s="192">
        <v>12</v>
      </c>
      <c r="E90" s="192">
        <v>3784464.9</v>
      </c>
      <c r="I90" s="192">
        <v>3784464.9</v>
      </c>
      <c r="J90" s="192">
        <v>200000</v>
      </c>
      <c r="K90" s="192">
        <v>0.2</v>
      </c>
      <c r="L90" s="192">
        <v>756892.98</v>
      </c>
      <c r="M90" s="192">
        <v>956892.98</v>
      </c>
      <c r="N90" s="192">
        <v>956892.98</v>
      </c>
      <c r="O90" s="192">
        <v>2827571.92</v>
      </c>
      <c r="P90" s="192">
        <v>21000</v>
      </c>
      <c r="Q90" s="192">
        <v>33000</v>
      </c>
      <c r="R90" s="192">
        <v>75000</v>
      </c>
      <c r="S90" s="192">
        <v>95000</v>
      </c>
      <c r="T90" s="192">
        <v>257790.10320000001</v>
      </c>
      <c r="U90" s="192">
        <v>0</v>
      </c>
      <c r="V90" s="192">
        <v>481790.10320000001</v>
      </c>
      <c r="W90" s="192">
        <v>12</v>
      </c>
      <c r="X90" s="192">
        <v>40149.175266666702</v>
      </c>
      <c r="Z90" s="192">
        <v>40149.175266666702</v>
      </c>
      <c r="AA90" s="192">
        <v>40149.18</v>
      </c>
      <c r="AB90" s="192">
        <v>-4.7333333277492801E-3</v>
      </c>
    </row>
    <row r="91" spans="1:28">
      <c r="A91" s="195">
        <v>75</v>
      </c>
      <c r="B91" s="192" t="s">
        <v>359</v>
      </c>
      <c r="C91" s="192">
        <v>0</v>
      </c>
      <c r="D91" s="192">
        <v>12</v>
      </c>
      <c r="E91" s="192">
        <v>0</v>
      </c>
      <c r="I91" s="192">
        <v>0</v>
      </c>
      <c r="J91" s="192">
        <v>200000</v>
      </c>
      <c r="K91" s="192">
        <v>0.2</v>
      </c>
      <c r="L91" s="192">
        <v>0</v>
      </c>
      <c r="M91" s="192">
        <v>200000</v>
      </c>
      <c r="N91" s="192">
        <v>200000</v>
      </c>
      <c r="O91" s="192">
        <v>0</v>
      </c>
      <c r="P91" s="192">
        <v>0</v>
      </c>
      <c r="Q91" s="192">
        <v>0</v>
      </c>
      <c r="R91" s="192">
        <v>0</v>
      </c>
      <c r="S91" s="192">
        <v>0</v>
      </c>
      <c r="T91" s="192">
        <v>0</v>
      </c>
      <c r="V91" s="192">
        <v>0</v>
      </c>
      <c r="W91" s="192">
        <v>12</v>
      </c>
      <c r="X91" s="192">
        <v>0</v>
      </c>
      <c r="Z91" s="192">
        <v>0</v>
      </c>
      <c r="AA91" s="192">
        <v>0</v>
      </c>
      <c r="AB91" s="192">
        <v>0</v>
      </c>
    </row>
    <row r="92" spans="1:28">
      <c r="A92" s="195">
        <v>76</v>
      </c>
      <c r="B92" s="192" t="s">
        <v>361</v>
      </c>
      <c r="C92" s="192">
        <v>223709.10949999999</v>
      </c>
      <c r="D92" s="192">
        <v>12</v>
      </c>
      <c r="E92" s="192">
        <v>2684509.3139999998</v>
      </c>
      <c r="I92" s="192">
        <v>2684509.3139999998</v>
      </c>
      <c r="J92" s="192">
        <v>200000</v>
      </c>
      <c r="K92" s="192">
        <v>0.2</v>
      </c>
      <c r="L92" s="192">
        <v>536901.8628</v>
      </c>
      <c r="M92" s="192">
        <v>736901.8628</v>
      </c>
      <c r="N92" s="192">
        <v>736901.8628</v>
      </c>
      <c r="O92" s="192">
        <v>1947607.4512</v>
      </c>
      <c r="P92" s="192">
        <v>21000</v>
      </c>
      <c r="Q92" s="192">
        <v>33000</v>
      </c>
      <c r="R92" s="192">
        <v>75000</v>
      </c>
      <c r="S92" s="192">
        <v>95000</v>
      </c>
      <c r="T92" s="192">
        <v>72997.564751999904</v>
      </c>
      <c r="V92" s="192">
        <v>296997.56475199998</v>
      </c>
      <c r="W92" s="192">
        <v>12</v>
      </c>
      <c r="X92" s="192">
        <v>24749.797062666701</v>
      </c>
      <c r="Z92" s="192">
        <v>24749.797062666701</v>
      </c>
      <c r="AA92" s="192">
        <v>24685.95</v>
      </c>
      <c r="AB92" s="192">
        <v>63.8470626666603</v>
      </c>
    </row>
    <row r="93" spans="1:28">
      <c r="A93" s="195"/>
    </row>
    <row r="94" spans="1:28">
      <c r="A94" s="195"/>
    </row>
    <row r="95" spans="1:28">
      <c r="A95" s="195"/>
    </row>
    <row r="96" spans="1:28">
      <c r="A96" s="195">
        <v>78</v>
      </c>
      <c r="B96" s="192" t="s">
        <v>232</v>
      </c>
      <c r="C96" s="192">
        <v>527743.99575</v>
      </c>
      <c r="D96" s="192">
        <v>12</v>
      </c>
      <c r="E96" s="192">
        <v>6332927.949</v>
      </c>
      <c r="I96" s="192">
        <v>6332927.949</v>
      </c>
      <c r="J96" s="192">
        <v>200000</v>
      </c>
      <c r="K96" s="192">
        <v>0.2</v>
      </c>
      <c r="L96" s="192">
        <v>1266585.5898</v>
      </c>
      <c r="M96" s="192">
        <v>1466585.5898</v>
      </c>
      <c r="N96" s="192">
        <v>1466585.5898</v>
      </c>
      <c r="O96" s="192">
        <v>4866342.3591999998</v>
      </c>
      <c r="P96" s="192">
        <v>21000</v>
      </c>
      <c r="Q96" s="192">
        <v>33000</v>
      </c>
      <c r="R96" s="192">
        <v>75000</v>
      </c>
      <c r="S96" s="192">
        <v>95000</v>
      </c>
      <c r="T96" s="192">
        <v>336000</v>
      </c>
      <c r="U96" s="192">
        <v>399922.16620799998</v>
      </c>
      <c r="V96" s="192">
        <v>959922.16620800004</v>
      </c>
      <c r="W96" s="192">
        <v>12</v>
      </c>
      <c r="X96" s="192">
        <v>79993.513850666699</v>
      </c>
      <c r="Z96" s="192">
        <v>79993.513850666699</v>
      </c>
      <c r="AA96" s="192">
        <v>79993.509999999995</v>
      </c>
      <c r="AB96" s="192">
        <v>3.8506666605826502E-3</v>
      </c>
    </row>
    <row r="97" spans="1:28">
      <c r="A97" s="195">
        <v>79</v>
      </c>
      <c r="B97" s="192" t="s">
        <v>250</v>
      </c>
      <c r="C97" s="192">
        <v>343333.03525000002</v>
      </c>
      <c r="D97" s="192">
        <v>12</v>
      </c>
      <c r="E97" s="192">
        <v>4119996.423</v>
      </c>
      <c r="F97" s="192">
        <v>8019.8</v>
      </c>
      <c r="I97" s="192">
        <v>4111976.6230000001</v>
      </c>
      <c r="J97" s="192">
        <v>200000</v>
      </c>
      <c r="K97" s="192">
        <v>0.2</v>
      </c>
      <c r="L97" s="192">
        <v>822395.32460000005</v>
      </c>
      <c r="M97" s="192">
        <v>1022395.3246000001</v>
      </c>
      <c r="N97" s="192">
        <v>1030415.1246</v>
      </c>
      <c r="O97" s="192">
        <v>3089581.2984000002</v>
      </c>
      <c r="P97" s="192">
        <v>21000</v>
      </c>
      <c r="Q97" s="192">
        <v>33000</v>
      </c>
      <c r="R97" s="192">
        <v>75000</v>
      </c>
      <c r="S97" s="192">
        <v>95000</v>
      </c>
      <c r="T97" s="192">
        <v>312812.07266399998</v>
      </c>
      <c r="V97" s="192">
        <v>536812.07266399998</v>
      </c>
      <c r="W97" s="192">
        <v>12</v>
      </c>
      <c r="X97" s="192">
        <v>44734.339388666704</v>
      </c>
      <c r="Z97" s="192">
        <v>44734.339388666704</v>
      </c>
      <c r="AA97" s="192">
        <v>43380.1</v>
      </c>
      <c r="AB97" s="192">
        <v>1354.23938866668</v>
      </c>
    </row>
    <row r="98" spans="1:28">
      <c r="A98" s="195">
        <v>80</v>
      </c>
      <c r="B98" s="192" t="s">
        <v>1135</v>
      </c>
      <c r="C98" s="192">
        <v>312001.06050000002</v>
      </c>
      <c r="D98" s="192">
        <v>12</v>
      </c>
      <c r="E98" s="192">
        <v>3744012.7259999998</v>
      </c>
      <c r="I98" s="192">
        <v>3744012.7259999998</v>
      </c>
      <c r="J98" s="192">
        <v>200000</v>
      </c>
      <c r="K98" s="192">
        <v>0.2</v>
      </c>
      <c r="L98" s="192">
        <v>748802.54520000005</v>
      </c>
      <c r="M98" s="192">
        <v>948802.54520000005</v>
      </c>
      <c r="N98" s="192">
        <v>948802.54520000005</v>
      </c>
      <c r="O98" s="192">
        <v>2795210.1808000002</v>
      </c>
      <c r="P98" s="192">
        <v>21000</v>
      </c>
      <c r="Q98" s="192">
        <v>33000</v>
      </c>
      <c r="R98" s="192">
        <v>75000</v>
      </c>
      <c r="S98" s="192">
        <v>95000</v>
      </c>
      <c r="T98" s="192">
        <v>250994.137968</v>
      </c>
      <c r="V98" s="192">
        <v>474994.13796800002</v>
      </c>
      <c r="W98" s="192">
        <v>12</v>
      </c>
      <c r="X98" s="192">
        <v>39582.844830666698</v>
      </c>
      <c r="Z98" s="192">
        <v>39582.844830666698</v>
      </c>
      <c r="AA98" s="192">
        <v>38272.44</v>
      </c>
      <c r="AB98" s="192">
        <v>1310.40483066666</v>
      </c>
    </row>
    <row r="99" spans="1:28">
      <c r="A99" s="195">
        <v>81</v>
      </c>
      <c r="B99" s="192" t="s">
        <v>368</v>
      </c>
      <c r="C99" s="192">
        <v>267454.07400000002</v>
      </c>
      <c r="D99" s="192">
        <v>12</v>
      </c>
      <c r="E99" s="192">
        <v>3209448.8879999998</v>
      </c>
      <c r="I99" s="192">
        <v>3209448.8879999998</v>
      </c>
      <c r="J99" s="192">
        <v>200000</v>
      </c>
      <c r="K99" s="192">
        <v>0.2</v>
      </c>
      <c r="L99" s="192">
        <v>641889.77760000003</v>
      </c>
      <c r="M99" s="192">
        <v>841889.77760000003</v>
      </c>
      <c r="N99" s="192">
        <v>841889.77760000003</v>
      </c>
      <c r="O99" s="192">
        <v>2367559.1104000001</v>
      </c>
      <c r="P99" s="192">
        <v>21000</v>
      </c>
      <c r="Q99" s="192">
        <v>33000</v>
      </c>
      <c r="R99" s="192">
        <v>75000</v>
      </c>
      <c r="S99" s="192">
        <v>95000</v>
      </c>
      <c r="T99" s="192">
        <v>161187.413184</v>
      </c>
      <c r="V99" s="192">
        <v>385187.413184</v>
      </c>
      <c r="W99" s="192">
        <v>12</v>
      </c>
      <c r="X99" s="192">
        <v>32098.951098666701</v>
      </c>
      <c r="Z99" s="192">
        <v>32098.951098666701</v>
      </c>
      <c r="AA99" s="192">
        <v>31749.136836666701</v>
      </c>
      <c r="AB99" s="192">
        <v>349.81426200001403</v>
      </c>
    </row>
    <row r="100" spans="1:28">
      <c r="A100" s="195"/>
    </row>
    <row r="101" spans="1:28">
      <c r="A101" s="195"/>
    </row>
    <row r="102" spans="1:28">
      <c r="A102" s="195">
        <v>83</v>
      </c>
      <c r="B102" s="192" t="s">
        <v>373</v>
      </c>
      <c r="C102" s="192">
        <v>1050209.0634999999</v>
      </c>
      <c r="D102" s="192">
        <v>12</v>
      </c>
      <c r="E102" s="192">
        <v>12602508.762</v>
      </c>
      <c r="F102" s="192">
        <v>10052.25</v>
      </c>
      <c r="I102" s="192">
        <v>12592456.512</v>
      </c>
      <c r="J102" s="192">
        <v>200000</v>
      </c>
      <c r="K102" s="192">
        <v>0.2</v>
      </c>
      <c r="L102" s="192">
        <v>2518491.3023999999</v>
      </c>
      <c r="M102" s="192">
        <v>2718491.3023999999</v>
      </c>
      <c r="N102" s="192">
        <v>2728543.5523999999</v>
      </c>
      <c r="O102" s="192">
        <v>9873965.2095999997</v>
      </c>
      <c r="P102" s="192">
        <v>21000</v>
      </c>
      <c r="Q102" s="192">
        <v>33000</v>
      </c>
      <c r="R102" s="192">
        <v>75000</v>
      </c>
      <c r="S102" s="192">
        <v>95000</v>
      </c>
      <c r="T102" s="192">
        <v>336000</v>
      </c>
      <c r="U102" s="192">
        <v>1601751.6503039999</v>
      </c>
      <c r="V102" s="192">
        <v>2161751.6503039999</v>
      </c>
      <c r="W102" s="192">
        <v>12</v>
      </c>
      <c r="X102" s="192">
        <v>180145.97085866699</v>
      </c>
      <c r="Z102" s="192">
        <v>180145.97085866699</v>
      </c>
      <c r="AA102" s="192">
        <v>180306.81</v>
      </c>
      <c r="AB102" s="192">
        <v>-160.839141333301</v>
      </c>
    </row>
    <row r="103" spans="1:28">
      <c r="A103" s="195">
        <v>84</v>
      </c>
      <c r="B103" s="192" t="s">
        <v>375</v>
      </c>
      <c r="C103" s="192">
        <v>617743.99575</v>
      </c>
      <c r="D103" s="192">
        <v>12</v>
      </c>
      <c r="E103" s="192">
        <v>7412927.949</v>
      </c>
      <c r="F103" s="192">
        <v>7901.79</v>
      </c>
      <c r="I103" s="192">
        <v>7405026.159</v>
      </c>
      <c r="J103" s="192">
        <v>200000</v>
      </c>
      <c r="K103" s="192">
        <v>0.2</v>
      </c>
      <c r="L103" s="192">
        <v>1481005.2318</v>
      </c>
      <c r="M103" s="192">
        <v>1681005.2318</v>
      </c>
      <c r="N103" s="192">
        <v>1688907.0218</v>
      </c>
      <c r="O103" s="192">
        <v>5724020.9271999998</v>
      </c>
      <c r="P103" s="192">
        <v>21000</v>
      </c>
      <c r="Q103" s="192">
        <v>33000</v>
      </c>
      <c r="R103" s="192">
        <v>75000</v>
      </c>
      <c r="S103" s="192">
        <v>95000</v>
      </c>
      <c r="T103" s="192">
        <v>336000</v>
      </c>
      <c r="U103" s="192">
        <v>605765.02252799994</v>
      </c>
      <c r="V103" s="192">
        <v>1165765.0225279999</v>
      </c>
      <c r="W103" s="192">
        <v>12</v>
      </c>
      <c r="X103" s="192">
        <v>97147.085210666701</v>
      </c>
      <c r="Z103" s="192">
        <v>97147.085210666701</v>
      </c>
      <c r="AA103" s="192">
        <v>94478.373866666603</v>
      </c>
      <c r="AB103" s="192">
        <v>2668.7113440000098</v>
      </c>
    </row>
    <row r="104" spans="1:28">
      <c r="A104" s="195">
        <v>85</v>
      </c>
      <c r="B104" s="192" t="s">
        <v>377</v>
      </c>
      <c r="C104" s="192">
        <v>418096.01602500002</v>
      </c>
      <c r="D104" s="192">
        <v>12</v>
      </c>
      <c r="E104" s="192">
        <v>5017152.1923000002</v>
      </c>
      <c r="I104" s="192">
        <v>5017152.1923000002</v>
      </c>
      <c r="J104" s="192">
        <v>200000</v>
      </c>
      <c r="K104" s="192">
        <v>0.2</v>
      </c>
      <c r="L104" s="192">
        <v>1003430.43846</v>
      </c>
      <c r="M104" s="192">
        <v>1203430.4384600001</v>
      </c>
      <c r="N104" s="192">
        <v>1203430.4384600001</v>
      </c>
      <c r="O104" s="192">
        <v>3813721.7538399999</v>
      </c>
      <c r="P104" s="192">
        <v>21000</v>
      </c>
      <c r="Q104" s="192">
        <v>33000</v>
      </c>
      <c r="R104" s="192">
        <v>75000</v>
      </c>
      <c r="S104" s="192">
        <v>95000</v>
      </c>
      <c r="T104" s="192">
        <v>336000</v>
      </c>
      <c r="U104" s="192">
        <v>147293.2209216</v>
      </c>
      <c r="V104" s="192">
        <v>707293.2209216</v>
      </c>
      <c r="W104" s="192">
        <v>12</v>
      </c>
      <c r="X104" s="192">
        <v>58941.101743466701</v>
      </c>
      <c r="Z104" s="192">
        <v>58941.101743466701</v>
      </c>
      <c r="AA104" s="192">
        <v>58814.67</v>
      </c>
      <c r="AB104" s="192">
        <v>126.431743466659</v>
      </c>
    </row>
    <row r="105" spans="1:28">
      <c r="A105" s="195">
        <v>86</v>
      </c>
      <c r="B105" s="192" t="s">
        <v>379</v>
      </c>
      <c r="C105" s="192">
        <v>416483.19415499998</v>
      </c>
      <c r="D105" s="192">
        <v>12</v>
      </c>
      <c r="E105" s="192">
        <v>4997798.3298599999</v>
      </c>
      <c r="I105" s="192">
        <v>4997798.3298599999</v>
      </c>
      <c r="J105" s="192">
        <v>200000</v>
      </c>
      <c r="K105" s="192">
        <v>0.2</v>
      </c>
      <c r="L105" s="192">
        <v>999559.66597199999</v>
      </c>
      <c r="M105" s="192">
        <v>1199559.665972</v>
      </c>
      <c r="N105" s="192">
        <v>1199559.665972</v>
      </c>
      <c r="O105" s="192">
        <v>3798238.663888</v>
      </c>
      <c r="P105" s="192">
        <v>21000</v>
      </c>
      <c r="Q105" s="192">
        <v>33000</v>
      </c>
      <c r="R105" s="192">
        <v>75000</v>
      </c>
      <c r="S105" s="192">
        <v>95000</v>
      </c>
      <c r="T105" s="192">
        <v>336000</v>
      </c>
      <c r="U105" s="192">
        <v>143577.27933312001</v>
      </c>
      <c r="V105" s="192">
        <v>703577.27933311998</v>
      </c>
      <c r="W105" s="192">
        <v>12</v>
      </c>
      <c r="X105" s="192">
        <v>58631.439944426696</v>
      </c>
      <c r="Z105" s="192">
        <v>58631.439944426696</v>
      </c>
      <c r="AA105" s="192">
        <v>57194.239999999998</v>
      </c>
      <c r="AB105" s="192">
        <v>1437.1999444266701</v>
      </c>
    </row>
    <row r="106" spans="1:28">
      <c r="A106" s="195">
        <v>87</v>
      </c>
      <c r="B106" s="192" t="s">
        <v>380</v>
      </c>
      <c r="C106" s="192">
        <v>262612.71747999999</v>
      </c>
      <c r="D106" s="192">
        <v>12</v>
      </c>
      <c r="E106" s="192">
        <v>3151352.6097599999</v>
      </c>
      <c r="I106" s="192">
        <v>3151352.6097599999</v>
      </c>
      <c r="J106" s="192">
        <v>200000</v>
      </c>
      <c r="K106" s="192">
        <v>0.2</v>
      </c>
      <c r="L106" s="192">
        <v>630270.52195199998</v>
      </c>
      <c r="M106" s="192">
        <v>830270.52195199998</v>
      </c>
      <c r="N106" s="192">
        <v>830270.52195199998</v>
      </c>
      <c r="O106" s="192">
        <v>2321082.0878079999</v>
      </c>
      <c r="P106" s="192">
        <v>21000</v>
      </c>
      <c r="Q106" s="192">
        <v>33000</v>
      </c>
      <c r="R106" s="192">
        <v>75000</v>
      </c>
      <c r="S106" s="192">
        <v>95000</v>
      </c>
      <c r="T106" s="192">
        <v>151427.23843967999</v>
      </c>
      <c r="V106" s="192">
        <v>375427.23843968002</v>
      </c>
      <c r="W106" s="192">
        <v>12</v>
      </c>
      <c r="X106" s="192">
        <v>31285.603203306699</v>
      </c>
      <c r="Z106" s="192">
        <v>31285.603203306699</v>
      </c>
      <c r="AA106" s="192">
        <v>30699.58</v>
      </c>
      <c r="AB106" s="192">
        <v>586.02320330665998</v>
      </c>
    </row>
    <row r="107" spans="1:28">
      <c r="A107" s="195">
        <v>88</v>
      </c>
      <c r="B107" s="192" t="s">
        <v>383</v>
      </c>
      <c r="C107" s="192">
        <v>258740.79775</v>
      </c>
      <c r="D107" s="192">
        <v>12</v>
      </c>
      <c r="E107" s="192">
        <v>3104889.5729999999</v>
      </c>
      <c r="I107" s="192">
        <v>3104889.5729999999</v>
      </c>
      <c r="J107" s="192">
        <v>200000</v>
      </c>
      <c r="K107" s="192">
        <v>0.2</v>
      </c>
      <c r="L107" s="192">
        <v>620977.91460000002</v>
      </c>
      <c r="M107" s="192">
        <v>820977.91460000002</v>
      </c>
      <c r="N107" s="192">
        <v>820977.91460000002</v>
      </c>
      <c r="O107" s="192">
        <v>2283911.6584000001</v>
      </c>
      <c r="P107" s="192">
        <v>21000</v>
      </c>
      <c r="Q107" s="192">
        <v>33000</v>
      </c>
      <c r="R107" s="192">
        <v>75000</v>
      </c>
      <c r="S107" s="192">
        <v>95000</v>
      </c>
      <c r="T107" s="192">
        <v>143621.44826400001</v>
      </c>
      <c r="V107" s="192">
        <v>367621.44826400001</v>
      </c>
      <c r="W107" s="192">
        <v>12</v>
      </c>
      <c r="X107" s="192">
        <v>30635.120688666699</v>
      </c>
      <c r="Z107" s="192">
        <v>30635.120688666699</v>
      </c>
      <c r="AA107" s="192">
        <v>30049.31</v>
      </c>
      <c r="AB107" s="192">
        <v>585.81068866666499</v>
      </c>
    </row>
    <row r="108" spans="1:28">
      <c r="A108" s="195">
        <v>89</v>
      </c>
      <c r="B108" s="192" t="s">
        <v>385</v>
      </c>
      <c r="C108" s="192">
        <v>251382.295445</v>
      </c>
      <c r="D108" s="192">
        <v>12</v>
      </c>
      <c r="E108" s="192">
        <v>3016587.5453400002</v>
      </c>
      <c r="I108" s="192">
        <v>2992065.5353399999</v>
      </c>
      <c r="J108" s="192">
        <v>200000</v>
      </c>
      <c r="K108" s="192">
        <v>0.2</v>
      </c>
      <c r="L108" s="192">
        <v>598413.10706800001</v>
      </c>
      <c r="M108" s="192">
        <v>798413.10706800001</v>
      </c>
      <c r="N108" s="192">
        <v>822935.11706800002</v>
      </c>
      <c r="O108" s="192">
        <v>2193652.428272</v>
      </c>
      <c r="P108" s="192">
        <v>21000</v>
      </c>
      <c r="Q108" s="192">
        <v>33000</v>
      </c>
      <c r="R108" s="192">
        <v>75000</v>
      </c>
      <c r="S108" s="192">
        <v>95000</v>
      </c>
      <c r="T108" s="192">
        <v>124667.00993712</v>
      </c>
      <c r="U108" s="192">
        <v>0</v>
      </c>
      <c r="V108" s="192">
        <v>348667.00993712002</v>
      </c>
      <c r="W108" s="192">
        <v>12</v>
      </c>
      <c r="X108" s="192">
        <v>29055.584161426701</v>
      </c>
      <c r="Z108" s="192">
        <v>29055.584161426701</v>
      </c>
      <c r="AA108" s="192">
        <v>28813.07</v>
      </c>
      <c r="AB108" s="192">
        <v>242.51416142665801</v>
      </c>
    </row>
    <row r="109" spans="1:28">
      <c r="A109" s="195"/>
      <c r="O109" s="192">
        <v>0</v>
      </c>
      <c r="P109" s="192">
        <v>0</v>
      </c>
      <c r="T109" s="192">
        <v>0</v>
      </c>
    </row>
    <row r="110" spans="1:28">
      <c r="A110" s="195"/>
      <c r="O110" s="192">
        <v>0</v>
      </c>
      <c r="P110" s="192">
        <v>0</v>
      </c>
      <c r="T110" s="192">
        <v>0</v>
      </c>
    </row>
    <row r="111" spans="1:28">
      <c r="A111" s="195"/>
      <c r="B111" s="192" t="s">
        <v>392</v>
      </c>
      <c r="C111" s="192">
        <v>1050209.0634999999</v>
      </c>
      <c r="D111" s="192">
        <v>12</v>
      </c>
      <c r="E111" s="192">
        <v>12602508.762</v>
      </c>
      <c r="F111" s="192">
        <v>24522.01</v>
      </c>
      <c r="I111" s="192">
        <v>12577986.752</v>
      </c>
      <c r="J111" s="192">
        <v>200000</v>
      </c>
      <c r="K111" s="192">
        <v>0.2</v>
      </c>
      <c r="L111" s="192">
        <v>2515597.3503999999</v>
      </c>
      <c r="M111" s="192">
        <v>2715597.3503999999</v>
      </c>
      <c r="N111" s="192">
        <v>2740119.3604000001</v>
      </c>
      <c r="O111" s="192">
        <v>9862389.4015999995</v>
      </c>
      <c r="P111" s="192">
        <v>21000</v>
      </c>
      <c r="Q111" s="192">
        <v>33000</v>
      </c>
      <c r="R111" s="192">
        <v>75000</v>
      </c>
      <c r="S111" s="192">
        <v>95000</v>
      </c>
      <c r="T111" s="192">
        <v>336000</v>
      </c>
      <c r="U111" s="192">
        <v>1598973.4563839999</v>
      </c>
      <c r="V111" s="192">
        <v>2158973.4563839999</v>
      </c>
      <c r="W111" s="192">
        <v>12</v>
      </c>
      <c r="X111" s="192">
        <v>179914.45469866699</v>
      </c>
      <c r="Z111" s="192">
        <v>179914.45469866699</v>
      </c>
      <c r="AA111" s="192">
        <v>179914.45</v>
      </c>
      <c r="AB111" s="192">
        <v>4.6986666857264901E-3</v>
      </c>
    </row>
    <row r="112" spans="1:28">
      <c r="A112" s="195">
        <v>90</v>
      </c>
      <c r="B112" s="192" t="s">
        <v>1138</v>
      </c>
      <c r="C112" s="192">
        <v>641465.02474999998</v>
      </c>
      <c r="D112" s="192">
        <v>12</v>
      </c>
      <c r="E112" s="192">
        <v>7697580.2970000003</v>
      </c>
      <c r="I112" s="192">
        <v>7697580.2970000003</v>
      </c>
      <c r="J112" s="192">
        <v>200000</v>
      </c>
      <c r="K112" s="192">
        <v>0.2</v>
      </c>
      <c r="L112" s="192">
        <v>1539516.0593999999</v>
      </c>
      <c r="M112" s="192">
        <v>1739516.0593999999</v>
      </c>
      <c r="N112" s="192">
        <v>1739516.0593999999</v>
      </c>
      <c r="O112" s="192">
        <v>5958064.2375999996</v>
      </c>
      <c r="P112" s="192">
        <v>21000</v>
      </c>
      <c r="Q112" s="192">
        <v>33000</v>
      </c>
      <c r="R112" s="192">
        <v>75000</v>
      </c>
      <c r="S112" s="192">
        <v>95000</v>
      </c>
      <c r="T112" s="192">
        <v>336000</v>
      </c>
      <c r="U112" s="192">
        <v>661935.41702399997</v>
      </c>
      <c r="V112" s="192">
        <v>1221935.4170240001</v>
      </c>
      <c r="W112" s="192">
        <v>12</v>
      </c>
      <c r="X112" s="192">
        <v>101827.951418667</v>
      </c>
      <c r="Z112" s="192">
        <v>101827.951418667</v>
      </c>
      <c r="AA112" s="192">
        <v>101827.95</v>
      </c>
      <c r="AB112" s="192">
        <v>1.41866668127477E-3</v>
      </c>
    </row>
    <row r="113" spans="1:28">
      <c r="A113" s="195">
        <v>91</v>
      </c>
      <c r="B113" s="192" t="s">
        <v>130</v>
      </c>
      <c r="C113" s="192">
        <v>547553.50249999994</v>
      </c>
      <c r="D113" s="192">
        <v>12</v>
      </c>
      <c r="E113" s="192">
        <v>6570642.0300000003</v>
      </c>
      <c r="F113" s="192">
        <v>10052.25</v>
      </c>
      <c r="I113" s="192">
        <v>6560589.7800000003</v>
      </c>
      <c r="J113" s="192">
        <v>200000</v>
      </c>
      <c r="K113" s="192">
        <v>0.2</v>
      </c>
      <c r="L113" s="192">
        <v>1312117.956</v>
      </c>
      <c r="M113" s="192">
        <v>1512117.956</v>
      </c>
      <c r="N113" s="192">
        <v>1522170.206</v>
      </c>
      <c r="O113" s="192">
        <v>5048471.824</v>
      </c>
      <c r="P113" s="192">
        <v>21000</v>
      </c>
      <c r="Q113" s="192">
        <v>33000</v>
      </c>
      <c r="R113" s="192">
        <v>75000</v>
      </c>
      <c r="S113" s="192">
        <v>95000</v>
      </c>
      <c r="T113" s="192">
        <v>336000</v>
      </c>
      <c r="U113" s="192">
        <v>443633.23775999999</v>
      </c>
      <c r="V113" s="192">
        <v>1003633.23776</v>
      </c>
      <c r="W113" s="192">
        <v>12</v>
      </c>
      <c r="X113" s="192">
        <v>83636.103146666603</v>
      </c>
      <c r="Z113" s="192">
        <v>83636.103146666603</v>
      </c>
      <c r="AA113" s="192">
        <v>83636.100000000006</v>
      </c>
      <c r="AB113" s="192">
        <v>3.1466666405322E-3</v>
      </c>
    </row>
    <row r="114" spans="1:28">
      <c r="A114" s="195">
        <v>92</v>
      </c>
      <c r="B114" s="192" t="s">
        <v>395</v>
      </c>
      <c r="C114" s="192">
        <v>447553.5025</v>
      </c>
      <c r="D114" s="192">
        <v>12</v>
      </c>
      <c r="E114" s="192">
        <v>5370642.0300000003</v>
      </c>
      <c r="F114" s="192">
        <v>10052.25</v>
      </c>
      <c r="I114" s="192">
        <v>5360589.78</v>
      </c>
      <c r="J114" s="192">
        <v>200000</v>
      </c>
      <c r="K114" s="192">
        <v>0.2</v>
      </c>
      <c r="L114" s="192">
        <v>1072117.956</v>
      </c>
      <c r="M114" s="192">
        <v>1272117.956</v>
      </c>
      <c r="N114" s="192">
        <v>1282170.206</v>
      </c>
      <c r="O114" s="192">
        <v>4088471.824</v>
      </c>
      <c r="P114" s="192">
        <v>21000</v>
      </c>
      <c r="Q114" s="192">
        <v>33000</v>
      </c>
      <c r="R114" s="192">
        <v>75000</v>
      </c>
      <c r="S114" s="192">
        <v>95000</v>
      </c>
      <c r="T114" s="192">
        <v>336000</v>
      </c>
      <c r="U114" s="192">
        <v>213233.23775999999</v>
      </c>
      <c r="V114" s="192">
        <v>773233.23776000005</v>
      </c>
      <c r="W114" s="192">
        <v>12</v>
      </c>
      <c r="X114" s="192">
        <v>64436.103146666697</v>
      </c>
      <c r="Z114" s="192">
        <v>64436.103146666697</v>
      </c>
      <c r="AA114" s="192">
        <v>64436.1</v>
      </c>
      <c r="AB114" s="192">
        <v>3.1466666623600802E-3</v>
      </c>
    </row>
    <row r="115" spans="1:28">
      <c r="A115" s="195">
        <v>93</v>
      </c>
      <c r="B115" s="192" t="s">
        <v>226</v>
      </c>
      <c r="C115" s="192">
        <v>424720.04700000002</v>
      </c>
      <c r="D115" s="192">
        <v>12</v>
      </c>
      <c r="E115" s="192">
        <v>5096640.5640000002</v>
      </c>
      <c r="I115" s="192">
        <v>5096640.5640000002</v>
      </c>
      <c r="J115" s="192">
        <v>200000</v>
      </c>
      <c r="K115" s="192">
        <v>0.2</v>
      </c>
      <c r="L115" s="192">
        <v>1019328.1128</v>
      </c>
      <c r="M115" s="192">
        <v>1219328.1128</v>
      </c>
      <c r="N115" s="192">
        <v>1219328.1128</v>
      </c>
      <c r="O115" s="192">
        <v>3877312.4512</v>
      </c>
      <c r="P115" s="192">
        <v>21000</v>
      </c>
      <c r="Q115" s="192">
        <v>33000</v>
      </c>
      <c r="R115" s="192">
        <v>75000</v>
      </c>
      <c r="S115" s="192">
        <v>95000</v>
      </c>
      <c r="T115" s="192">
        <v>336000</v>
      </c>
      <c r="U115" s="192">
        <v>162554.98828799999</v>
      </c>
      <c r="V115" s="192">
        <v>722554.98828799999</v>
      </c>
      <c r="W115" s="192">
        <v>12</v>
      </c>
      <c r="X115" s="192">
        <v>60212.915690666698</v>
      </c>
      <c r="Z115" s="192">
        <v>60212.915690666698</v>
      </c>
      <c r="AA115" s="192">
        <v>60212.92</v>
      </c>
      <c r="AB115" s="192">
        <v>-4.3093333297292702E-3</v>
      </c>
    </row>
    <row r="116" spans="1:28">
      <c r="A116" s="195">
        <v>94</v>
      </c>
      <c r="B116" s="192" t="s">
        <v>396</v>
      </c>
      <c r="C116" s="192">
        <v>330272.06374999997</v>
      </c>
      <c r="D116" s="192">
        <v>12</v>
      </c>
      <c r="E116" s="192">
        <v>3963264.7650000001</v>
      </c>
      <c r="I116" s="192">
        <v>3963264.7650000001</v>
      </c>
      <c r="J116" s="192">
        <v>200000</v>
      </c>
      <c r="K116" s="192">
        <v>0.2</v>
      </c>
      <c r="L116" s="192">
        <v>792652.95299999998</v>
      </c>
      <c r="M116" s="192">
        <v>992652.95299999998</v>
      </c>
      <c r="N116" s="192">
        <v>992652.95299999998</v>
      </c>
      <c r="O116" s="192">
        <v>2970611.8119999999</v>
      </c>
      <c r="P116" s="192">
        <v>21000</v>
      </c>
      <c r="Q116" s="192">
        <v>33000</v>
      </c>
      <c r="R116" s="192">
        <v>75000</v>
      </c>
      <c r="S116" s="192">
        <v>95000</v>
      </c>
      <c r="T116" s="192">
        <v>287828.48051999998</v>
      </c>
      <c r="V116" s="192">
        <v>511828.48051999998</v>
      </c>
      <c r="W116" s="192">
        <v>12</v>
      </c>
      <c r="X116" s="192">
        <v>42652.373376666699</v>
      </c>
      <c r="Z116" s="192">
        <v>42652.373376666699</v>
      </c>
      <c r="AA116" s="192">
        <v>42138.224496666699</v>
      </c>
      <c r="AB116" s="192">
        <v>514.14888000000099</v>
      </c>
    </row>
    <row r="117" spans="1:28">
      <c r="A117" s="195">
        <v>95</v>
      </c>
      <c r="B117" s="192" t="s">
        <v>398</v>
      </c>
      <c r="C117" s="192">
        <v>349177.65375</v>
      </c>
      <c r="D117" s="192">
        <v>12</v>
      </c>
      <c r="E117" s="192">
        <v>4190131.8450000002</v>
      </c>
      <c r="F117" s="192">
        <v>7422.38</v>
      </c>
      <c r="I117" s="192">
        <v>4182709.4649999999</v>
      </c>
      <c r="J117" s="192">
        <v>200000</v>
      </c>
      <c r="K117" s="192">
        <v>0.2</v>
      </c>
      <c r="L117" s="192">
        <v>836541.89300000004</v>
      </c>
      <c r="M117" s="192">
        <v>1036541.893</v>
      </c>
      <c r="N117" s="192">
        <v>1043964.273</v>
      </c>
      <c r="O117" s="192">
        <v>3146167.5720000002</v>
      </c>
      <c r="P117" s="192">
        <v>21000</v>
      </c>
      <c r="Q117" s="192">
        <v>33000</v>
      </c>
      <c r="R117" s="192">
        <v>75000</v>
      </c>
      <c r="S117" s="192">
        <v>95000</v>
      </c>
      <c r="T117" s="192">
        <v>324695.19011999998</v>
      </c>
      <c r="V117" s="192">
        <v>548695.19012000004</v>
      </c>
      <c r="W117" s="192">
        <v>12</v>
      </c>
      <c r="X117" s="192">
        <v>45724.599176666699</v>
      </c>
      <c r="Z117" s="192">
        <v>45724.599176666699</v>
      </c>
      <c r="AA117" s="192">
        <v>44518.93</v>
      </c>
      <c r="AB117" s="192">
        <v>1205.66917666666</v>
      </c>
    </row>
    <row r="118" spans="1:28">
      <c r="A118" s="195">
        <v>96</v>
      </c>
      <c r="B118" s="192" t="s">
        <v>400</v>
      </c>
      <c r="C118" s="192">
        <v>319177.65375</v>
      </c>
      <c r="D118" s="192">
        <v>12</v>
      </c>
      <c r="E118" s="192">
        <v>3830131.8450000002</v>
      </c>
      <c r="F118" s="192">
        <v>7422.38</v>
      </c>
      <c r="I118" s="192">
        <v>3822709.4649999999</v>
      </c>
      <c r="J118" s="192">
        <v>200000</v>
      </c>
      <c r="K118" s="192">
        <v>0.2</v>
      </c>
      <c r="L118" s="192">
        <v>764541.89300000004</v>
      </c>
      <c r="M118" s="192">
        <v>964541.89300000004</v>
      </c>
      <c r="N118" s="192">
        <v>971964.27300000004</v>
      </c>
      <c r="O118" s="192">
        <v>2858167.5720000002</v>
      </c>
      <c r="P118" s="192">
        <v>21000</v>
      </c>
      <c r="Q118" s="192">
        <v>33000</v>
      </c>
      <c r="R118" s="192">
        <v>75000</v>
      </c>
      <c r="S118" s="192">
        <v>95000</v>
      </c>
      <c r="T118" s="192">
        <v>264215.19011999998</v>
      </c>
      <c r="V118" s="192">
        <v>488215.19011999998</v>
      </c>
      <c r="W118" s="192">
        <v>12</v>
      </c>
      <c r="X118" s="192">
        <v>40684.599176666699</v>
      </c>
      <c r="Z118" s="192">
        <v>40684.599176666699</v>
      </c>
      <c r="AA118" s="192">
        <v>39478.93</v>
      </c>
      <c r="AB118" s="192">
        <v>1205.66917666666</v>
      </c>
    </row>
    <row r="119" spans="1:28">
      <c r="A119" s="195">
        <v>97</v>
      </c>
      <c r="B119" s="192" t="s">
        <v>1140</v>
      </c>
      <c r="C119" s="192">
        <v>312001.06050000002</v>
      </c>
      <c r="D119" s="192">
        <v>12</v>
      </c>
      <c r="E119" s="192">
        <v>3744012.7259999998</v>
      </c>
      <c r="I119" s="192">
        <v>3744012.7259999998</v>
      </c>
      <c r="J119" s="192">
        <v>200000</v>
      </c>
      <c r="K119" s="192">
        <v>0.2</v>
      </c>
      <c r="L119" s="192">
        <v>748802.54520000005</v>
      </c>
      <c r="M119" s="192">
        <v>948802.54520000005</v>
      </c>
      <c r="N119" s="192">
        <v>948802.54520000005</v>
      </c>
      <c r="O119" s="192">
        <v>2795210.1808000002</v>
      </c>
      <c r="P119" s="192">
        <v>21000</v>
      </c>
      <c r="Q119" s="192">
        <v>33000</v>
      </c>
      <c r="R119" s="192">
        <v>75000</v>
      </c>
      <c r="S119" s="192">
        <v>95000</v>
      </c>
      <c r="T119" s="192">
        <v>250994.137968</v>
      </c>
      <c r="V119" s="192">
        <v>474994.13796800002</v>
      </c>
      <c r="W119" s="192">
        <v>12</v>
      </c>
      <c r="X119" s="192">
        <v>39582.844830666698</v>
      </c>
      <c r="Z119" s="192">
        <v>39582.844830666698</v>
      </c>
      <c r="AA119" s="192">
        <v>38272.44</v>
      </c>
      <c r="AB119" s="192">
        <v>1310.40483066666</v>
      </c>
    </row>
    <row r="120" spans="1:28">
      <c r="A120" s="195">
        <v>98</v>
      </c>
      <c r="B120" s="192" t="s">
        <v>401</v>
      </c>
      <c r="C120" s="192">
        <v>209356.04725</v>
      </c>
      <c r="D120" s="192">
        <v>12</v>
      </c>
      <c r="E120" s="192">
        <v>2512272.5669999998</v>
      </c>
      <c r="I120" s="192">
        <v>2512272.5669999998</v>
      </c>
      <c r="J120" s="192">
        <v>200000</v>
      </c>
      <c r="K120" s="192">
        <v>0.2</v>
      </c>
      <c r="L120" s="192">
        <v>502454.5134</v>
      </c>
      <c r="M120" s="192">
        <v>702454.51340000005</v>
      </c>
      <c r="N120" s="192">
        <v>702454.51340000005</v>
      </c>
      <c r="O120" s="192">
        <v>1809818.0536</v>
      </c>
      <c r="P120" s="192">
        <v>21000</v>
      </c>
      <c r="Q120" s="192">
        <v>33000</v>
      </c>
      <c r="R120" s="192">
        <v>75000</v>
      </c>
      <c r="S120" s="192">
        <v>95000</v>
      </c>
      <c r="T120" s="192">
        <v>44061.791255999902</v>
      </c>
      <c r="V120" s="192">
        <v>268061.791256</v>
      </c>
      <c r="W120" s="192">
        <v>12</v>
      </c>
      <c r="X120" s="192">
        <v>22338.4826046667</v>
      </c>
      <c r="Z120" s="192">
        <v>22338.4826046667</v>
      </c>
      <c r="AA120" s="192">
        <v>21640.95</v>
      </c>
      <c r="AB120" s="192">
        <v>697.53260466665995</v>
      </c>
    </row>
    <row r="121" spans="1:28">
      <c r="A121" s="195">
        <v>99</v>
      </c>
      <c r="B121" s="192" t="s">
        <v>403</v>
      </c>
      <c r="C121" s="192">
        <v>176816.1</v>
      </c>
      <c r="D121" s="192">
        <v>12</v>
      </c>
      <c r="E121" s="192">
        <v>2121793.2000000002</v>
      </c>
      <c r="I121" s="192">
        <v>2121793.2000000002</v>
      </c>
      <c r="J121" s="192">
        <v>200000</v>
      </c>
      <c r="K121" s="192">
        <v>0.2</v>
      </c>
      <c r="L121" s="192">
        <v>424358.64</v>
      </c>
      <c r="M121" s="192">
        <v>624358.64</v>
      </c>
      <c r="N121" s="192">
        <v>624358.64</v>
      </c>
      <c r="O121" s="192">
        <v>1497434.56</v>
      </c>
      <c r="P121" s="192">
        <v>21000</v>
      </c>
      <c r="Q121" s="192">
        <v>33000</v>
      </c>
      <c r="R121" s="192">
        <v>75000</v>
      </c>
      <c r="S121" s="192">
        <v>75512.566399999996</v>
      </c>
      <c r="T121" s="192">
        <v>0</v>
      </c>
      <c r="V121" s="192">
        <v>204512.56640000001</v>
      </c>
      <c r="W121" s="192">
        <v>12</v>
      </c>
      <c r="X121" s="192">
        <v>17042.713866666702</v>
      </c>
      <c r="Z121" s="192">
        <v>17042.713866666702</v>
      </c>
      <c r="AA121" s="192">
        <v>25245.23</v>
      </c>
      <c r="AB121" s="192">
        <v>-8202.5161333333399</v>
      </c>
    </row>
    <row r="122" spans="1:28">
      <c r="A122" s="195"/>
    </row>
    <row r="123" spans="1:28">
      <c r="A123" s="195"/>
    </row>
    <row r="124" spans="1:28">
      <c r="A124" s="195">
        <v>101</v>
      </c>
      <c r="B124" s="192" t="s">
        <v>407</v>
      </c>
      <c r="C124" s="192">
        <v>950209.06350000005</v>
      </c>
      <c r="D124" s="192">
        <v>12</v>
      </c>
      <c r="E124" s="192">
        <v>11402508.762</v>
      </c>
      <c r="I124" s="192">
        <v>11402508.762</v>
      </c>
      <c r="J124" s="192">
        <v>200000</v>
      </c>
      <c r="K124" s="192">
        <v>0.2</v>
      </c>
      <c r="L124" s="192">
        <v>2280501.7524000001</v>
      </c>
      <c r="M124" s="192">
        <v>2480501.7524000001</v>
      </c>
      <c r="N124" s="192">
        <v>2480501.7524000001</v>
      </c>
      <c r="O124" s="192">
        <v>8922007.0096000005</v>
      </c>
      <c r="P124" s="192">
        <v>21000</v>
      </c>
      <c r="Q124" s="192">
        <v>33000</v>
      </c>
      <c r="R124" s="192">
        <v>75000</v>
      </c>
      <c r="S124" s="192">
        <v>95000</v>
      </c>
      <c r="T124" s="192">
        <v>336000</v>
      </c>
      <c r="U124" s="192">
        <v>1373281.682304</v>
      </c>
      <c r="V124" s="192">
        <v>1933281.682304</v>
      </c>
      <c r="W124" s="192">
        <v>12</v>
      </c>
      <c r="X124" s="192">
        <v>161106.806858667</v>
      </c>
      <c r="Z124" s="192">
        <v>161106.806858667</v>
      </c>
      <c r="AA124" s="192">
        <v>161106.81</v>
      </c>
      <c r="AB124" s="192">
        <v>-3.14133331994526E-3</v>
      </c>
    </row>
    <row r="125" spans="1:28">
      <c r="A125" s="195">
        <v>103</v>
      </c>
      <c r="B125" s="192" t="s">
        <v>229</v>
      </c>
      <c r="C125" s="192">
        <v>541465.02474999998</v>
      </c>
      <c r="D125" s="192">
        <v>12</v>
      </c>
      <c r="E125" s="192">
        <v>6497580.2970000003</v>
      </c>
      <c r="F125" s="192">
        <v>10052.25</v>
      </c>
      <c r="I125" s="192">
        <v>6487528.0470000003</v>
      </c>
      <c r="J125" s="192">
        <v>200000</v>
      </c>
      <c r="K125" s="192">
        <v>0.2</v>
      </c>
      <c r="L125" s="192">
        <v>1297505.6094</v>
      </c>
      <c r="M125" s="192">
        <v>1497505.6094</v>
      </c>
      <c r="N125" s="192">
        <v>1507557.8594</v>
      </c>
      <c r="O125" s="192">
        <v>4990022.4375999998</v>
      </c>
      <c r="P125" s="192">
        <v>21000</v>
      </c>
      <c r="Q125" s="192">
        <v>33000</v>
      </c>
      <c r="R125" s="192">
        <v>75000</v>
      </c>
      <c r="S125" s="192">
        <v>95000</v>
      </c>
      <c r="T125" s="192">
        <v>336000</v>
      </c>
      <c r="U125" s="192">
        <v>429605.38502400002</v>
      </c>
      <c r="V125" s="192">
        <v>989605.38502399996</v>
      </c>
      <c r="W125" s="192">
        <v>12</v>
      </c>
      <c r="X125" s="192">
        <v>82467.115418666697</v>
      </c>
      <c r="Z125" s="192">
        <v>82467.115418666697</v>
      </c>
      <c r="AA125" s="192">
        <v>82627.95</v>
      </c>
      <c r="AB125" s="192">
        <v>-160.834581333329</v>
      </c>
    </row>
    <row r="126" spans="1:28">
      <c r="A126" s="195">
        <v>105</v>
      </c>
      <c r="B126" s="192" t="s">
        <v>409</v>
      </c>
      <c r="C126" s="192">
        <v>577743.99575</v>
      </c>
      <c r="D126" s="192">
        <v>12</v>
      </c>
      <c r="E126" s="192">
        <v>6932927.949</v>
      </c>
      <c r="F126" s="192">
        <v>8019.8</v>
      </c>
      <c r="I126" s="192">
        <v>6924908.1490000002</v>
      </c>
      <c r="J126" s="192">
        <v>200000</v>
      </c>
      <c r="K126" s="192">
        <v>0.2</v>
      </c>
      <c r="L126" s="192">
        <v>1384981.6298</v>
      </c>
      <c r="M126" s="192">
        <v>1584981.6298</v>
      </c>
      <c r="N126" s="192">
        <v>1593001.4298</v>
      </c>
      <c r="O126" s="192">
        <v>5339926.5192</v>
      </c>
      <c r="P126" s="192">
        <v>21000</v>
      </c>
      <c r="Q126" s="192">
        <v>33000</v>
      </c>
      <c r="R126" s="192">
        <v>75000</v>
      </c>
      <c r="S126" s="192">
        <v>95000</v>
      </c>
      <c r="T126" s="192">
        <v>336000</v>
      </c>
      <c r="U126" s="192">
        <v>513582.36460799997</v>
      </c>
      <c r="V126" s="192">
        <v>1073582.364608</v>
      </c>
      <c r="W126" s="192">
        <v>12</v>
      </c>
      <c r="X126" s="192">
        <v>89465.197050666698</v>
      </c>
      <c r="Z126" s="192">
        <v>89465.197050666698</v>
      </c>
      <c r="AA126" s="192">
        <v>86798.373866666705</v>
      </c>
      <c r="AB126" s="192">
        <v>2666.8231839999798</v>
      </c>
    </row>
    <row r="127" spans="1:28">
      <c r="A127" s="195">
        <v>106</v>
      </c>
      <c r="B127" s="192" t="s">
        <v>411</v>
      </c>
      <c r="C127" s="192">
        <v>343333.03525000002</v>
      </c>
      <c r="D127" s="192">
        <v>12</v>
      </c>
      <c r="E127" s="192">
        <v>4119996.423</v>
      </c>
      <c r="F127" s="192">
        <v>8019.8</v>
      </c>
      <c r="I127" s="192">
        <v>4111976.6230000001</v>
      </c>
      <c r="J127" s="192">
        <v>200000</v>
      </c>
      <c r="K127" s="192">
        <v>0.2</v>
      </c>
      <c r="L127" s="192">
        <v>822395.32460000005</v>
      </c>
      <c r="M127" s="192">
        <v>1022395.3246000001</v>
      </c>
      <c r="N127" s="192">
        <v>1030415.1246</v>
      </c>
      <c r="O127" s="192">
        <v>3089581.2984000002</v>
      </c>
      <c r="P127" s="192">
        <v>21000</v>
      </c>
      <c r="Q127" s="192">
        <v>33000</v>
      </c>
      <c r="R127" s="192">
        <v>75000</v>
      </c>
      <c r="S127" s="192">
        <v>95000</v>
      </c>
      <c r="T127" s="192">
        <v>312812.07266399998</v>
      </c>
      <c r="V127" s="192">
        <v>536812.07266399998</v>
      </c>
      <c r="W127" s="192">
        <v>12</v>
      </c>
      <c r="X127" s="192">
        <v>44734.339388666704</v>
      </c>
      <c r="Z127" s="192">
        <v>44734.339388666704</v>
      </c>
      <c r="AA127" s="192">
        <v>43380.1</v>
      </c>
      <c r="AB127" s="192">
        <v>1354.23938866668</v>
      </c>
    </row>
    <row r="128" spans="1:28">
      <c r="A128" s="195">
        <v>107</v>
      </c>
      <c r="B128" s="192" t="s">
        <v>413</v>
      </c>
      <c r="C128" s="192">
        <v>343333.03525000002</v>
      </c>
      <c r="D128" s="192">
        <v>12</v>
      </c>
      <c r="E128" s="192">
        <v>4119996.423</v>
      </c>
      <c r="I128" s="192">
        <v>4119996.423</v>
      </c>
      <c r="J128" s="192">
        <v>200000</v>
      </c>
      <c r="K128" s="192">
        <v>0.2</v>
      </c>
      <c r="L128" s="192">
        <v>823999.28460000001</v>
      </c>
      <c r="M128" s="192">
        <v>1023999.2846</v>
      </c>
      <c r="N128" s="192">
        <v>1023999.2846</v>
      </c>
      <c r="O128" s="192">
        <v>3095997.1384000001</v>
      </c>
      <c r="P128" s="192">
        <v>21000</v>
      </c>
      <c r="Q128" s="192">
        <v>33000</v>
      </c>
      <c r="R128" s="192">
        <v>75000</v>
      </c>
      <c r="S128" s="192">
        <v>95000</v>
      </c>
      <c r="T128" s="192">
        <v>314159.399064</v>
      </c>
      <c r="V128" s="192">
        <v>538159.399064</v>
      </c>
      <c r="W128" s="192">
        <v>12</v>
      </c>
      <c r="X128" s="192">
        <v>44846.6165886667</v>
      </c>
      <c r="Z128" s="192">
        <v>44846.6165886667</v>
      </c>
      <c r="AA128" s="192">
        <v>43380.1</v>
      </c>
      <c r="AB128" s="192">
        <v>1466.51658866668</v>
      </c>
    </row>
    <row r="129" spans="1:28">
      <c r="A129" s="195">
        <v>108</v>
      </c>
      <c r="B129" s="192" t="s">
        <v>366</v>
      </c>
      <c r="C129" s="192">
        <v>319177.65375</v>
      </c>
      <c r="D129" s="192">
        <v>12</v>
      </c>
      <c r="E129" s="192">
        <v>3830131.8450000002</v>
      </c>
      <c r="F129" s="192">
        <v>6456.26</v>
      </c>
      <c r="I129" s="192">
        <v>3823675.585</v>
      </c>
      <c r="J129" s="192">
        <v>200000</v>
      </c>
      <c r="K129" s="192">
        <v>0.2</v>
      </c>
      <c r="L129" s="192">
        <v>764735.11699999997</v>
      </c>
      <c r="M129" s="192">
        <v>964735.11699999997</v>
      </c>
      <c r="N129" s="192">
        <v>971191.37699999998</v>
      </c>
      <c r="O129" s="192">
        <v>2858940.4679999999</v>
      </c>
      <c r="P129" s="192">
        <v>21000</v>
      </c>
      <c r="Q129" s="192">
        <v>33000</v>
      </c>
      <c r="R129" s="192">
        <v>75000</v>
      </c>
      <c r="S129" s="192">
        <v>95000</v>
      </c>
      <c r="T129" s="192">
        <v>264377.49828</v>
      </c>
      <c r="V129" s="192">
        <v>488377.49828</v>
      </c>
      <c r="W129" s="192">
        <v>12</v>
      </c>
      <c r="X129" s="192">
        <v>40698.124856666698</v>
      </c>
      <c r="Z129" s="192">
        <v>40698.124856666698</v>
      </c>
      <c r="AA129" s="192">
        <v>39582.839999999997</v>
      </c>
      <c r="AB129" s="192">
        <v>1115.2848566666601</v>
      </c>
    </row>
    <row r="130" spans="1:28">
      <c r="A130" s="195">
        <v>109</v>
      </c>
      <c r="B130" s="192" t="s">
        <v>416</v>
      </c>
      <c r="C130" s="192">
        <v>284536.99849999999</v>
      </c>
      <c r="D130" s="192">
        <v>12</v>
      </c>
      <c r="E130" s="192">
        <v>3414443.9819999998</v>
      </c>
      <c r="I130" s="192">
        <v>3414443.9819999998</v>
      </c>
      <c r="J130" s="192">
        <v>200000</v>
      </c>
      <c r="K130" s="192">
        <v>0.2</v>
      </c>
      <c r="L130" s="192">
        <v>682888.79639999999</v>
      </c>
      <c r="M130" s="192">
        <v>882888.79639999999</v>
      </c>
      <c r="N130" s="192">
        <v>882888.79639999999</v>
      </c>
      <c r="O130" s="192">
        <v>2531555.1856</v>
      </c>
      <c r="P130" s="192">
        <v>21000</v>
      </c>
      <c r="Q130" s="192">
        <v>33000</v>
      </c>
      <c r="R130" s="192">
        <v>75000</v>
      </c>
      <c r="S130" s="192">
        <v>95000</v>
      </c>
      <c r="T130" s="192">
        <v>195626.588976</v>
      </c>
      <c r="V130" s="192">
        <v>419626.58897600003</v>
      </c>
      <c r="W130" s="192">
        <v>12</v>
      </c>
      <c r="X130" s="192">
        <v>34968.882414666703</v>
      </c>
      <c r="Z130" s="192">
        <v>34968.882414666703</v>
      </c>
      <c r="AA130" s="192">
        <v>32848.559999999998</v>
      </c>
      <c r="AB130" s="192">
        <v>2120.3224146666698</v>
      </c>
    </row>
    <row r="131" spans="1:28">
      <c r="A131" s="195">
        <v>110</v>
      </c>
      <c r="B131" s="192" t="s">
        <v>418</v>
      </c>
      <c r="C131" s="192">
        <v>284536.99849999999</v>
      </c>
      <c r="D131" s="192">
        <v>12</v>
      </c>
      <c r="E131" s="192">
        <v>3414443.9819999998</v>
      </c>
      <c r="I131" s="192">
        <v>3414443.9819999998</v>
      </c>
      <c r="J131" s="192">
        <v>200000</v>
      </c>
      <c r="K131" s="192">
        <v>0.2</v>
      </c>
      <c r="L131" s="192">
        <v>682888.79639999999</v>
      </c>
      <c r="M131" s="192">
        <v>882888.79639999999</v>
      </c>
      <c r="N131" s="192">
        <v>882888.79639999999</v>
      </c>
      <c r="O131" s="192">
        <v>2531555.1856</v>
      </c>
      <c r="P131" s="192">
        <v>21000</v>
      </c>
      <c r="Q131" s="192">
        <v>33000</v>
      </c>
      <c r="R131" s="192">
        <v>75000</v>
      </c>
      <c r="S131" s="192">
        <v>95000</v>
      </c>
      <c r="T131" s="192">
        <v>195626.588976</v>
      </c>
      <c r="V131" s="192">
        <v>419626.58897600003</v>
      </c>
      <c r="W131" s="192">
        <v>12</v>
      </c>
      <c r="X131" s="192">
        <v>34968.882414666703</v>
      </c>
      <c r="Z131" s="192">
        <v>34968.882414666703</v>
      </c>
      <c r="AA131" s="192">
        <v>32938.949999999997</v>
      </c>
      <c r="AB131" s="192">
        <v>2029.93241466667</v>
      </c>
    </row>
    <row r="132" spans="1:28">
      <c r="A132" s="195">
        <v>111</v>
      </c>
      <c r="B132" s="192" t="s">
        <v>419</v>
      </c>
      <c r="C132" s="192">
        <v>284536.99849999999</v>
      </c>
      <c r="D132" s="192">
        <v>12</v>
      </c>
      <c r="E132" s="192">
        <v>3414443.9819999998</v>
      </c>
      <c r="I132" s="192">
        <v>3414443.9819999998</v>
      </c>
      <c r="J132" s="192">
        <v>200000</v>
      </c>
      <c r="K132" s="192">
        <v>0.2</v>
      </c>
      <c r="L132" s="192">
        <v>682888.79639999999</v>
      </c>
      <c r="M132" s="192">
        <v>882888.79639999999</v>
      </c>
      <c r="N132" s="192">
        <v>882888.79639999999</v>
      </c>
      <c r="O132" s="192">
        <v>2531555.1856</v>
      </c>
      <c r="P132" s="192">
        <v>21000</v>
      </c>
      <c r="Q132" s="192">
        <v>33000</v>
      </c>
      <c r="R132" s="192">
        <v>75000</v>
      </c>
      <c r="S132" s="192">
        <v>95000</v>
      </c>
      <c r="T132" s="192">
        <v>195626.588976</v>
      </c>
      <c r="V132" s="192">
        <v>419626.58897600003</v>
      </c>
      <c r="W132" s="192">
        <v>12</v>
      </c>
      <c r="X132" s="192">
        <v>34968.882414666703</v>
      </c>
      <c r="Z132" s="192">
        <v>34968.882414666703</v>
      </c>
      <c r="AA132" s="192">
        <v>32938.949999999997</v>
      </c>
      <c r="AB132" s="192">
        <v>2029.93241466667</v>
      </c>
    </row>
    <row r="133" spans="1:28">
      <c r="A133" s="195">
        <v>112</v>
      </c>
      <c r="B133" s="192" t="s">
        <v>421</v>
      </c>
      <c r="C133" s="192">
        <v>267454.07400000002</v>
      </c>
      <c r="D133" s="192">
        <v>12</v>
      </c>
      <c r="E133" s="192">
        <v>3209448.8879999998</v>
      </c>
      <c r="F133" s="192">
        <v>5484.49</v>
      </c>
      <c r="I133" s="192">
        <v>3203964.398</v>
      </c>
      <c r="J133" s="192">
        <v>200000</v>
      </c>
      <c r="K133" s="192">
        <v>0.2</v>
      </c>
      <c r="L133" s="192">
        <v>640792.87959999999</v>
      </c>
      <c r="M133" s="192">
        <v>840792.87959999999</v>
      </c>
      <c r="N133" s="192">
        <v>846277.36959999998</v>
      </c>
      <c r="O133" s="192">
        <v>2363171.5183999999</v>
      </c>
      <c r="P133" s="192">
        <v>21000</v>
      </c>
      <c r="Q133" s="192">
        <v>33000</v>
      </c>
      <c r="R133" s="192">
        <v>75000</v>
      </c>
      <c r="S133" s="192">
        <v>95000</v>
      </c>
      <c r="T133" s="192">
        <v>160266.01886400001</v>
      </c>
      <c r="V133" s="192">
        <v>384266.01886399998</v>
      </c>
      <c r="W133" s="192">
        <v>12</v>
      </c>
      <c r="X133" s="192">
        <v>32022.168238666702</v>
      </c>
      <c r="Z133" s="192">
        <v>32022.168238666702</v>
      </c>
      <c r="AA133" s="192">
        <v>31749.189126666701</v>
      </c>
      <c r="AB133" s="192">
        <v>272.97911200001198</v>
      </c>
    </row>
    <row r="134" spans="1:28">
      <c r="A134" s="195">
        <v>113</v>
      </c>
      <c r="B134" s="192" t="s">
        <v>423</v>
      </c>
      <c r="C134" s="192">
        <v>242300.07750000001</v>
      </c>
      <c r="D134" s="192">
        <v>12</v>
      </c>
      <c r="E134" s="192">
        <v>2907600.93</v>
      </c>
      <c r="F134" s="192">
        <v>5633.79</v>
      </c>
      <c r="I134" s="192">
        <v>2901967.14</v>
      </c>
      <c r="J134" s="192">
        <v>200000</v>
      </c>
      <c r="K134" s="192">
        <v>0.2</v>
      </c>
      <c r="L134" s="192">
        <v>580393.42799999996</v>
      </c>
      <c r="M134" s="192">
        <v>780393.42799999996</v>
      </c>
      <c r="N134" s="192">
        <v>786027.21799999999</v>
      </c>
      <c r="O134" s="192">
        <v>2121573.7119999998</v>
      </c>
      <c r="P134" s="192">
        <v>21000</v>
      </c>
      <c r="Q134" s="192">
        <v>33000</v>
      </c>
      <c r="R134" s="192">
        <v>75000</v>
      </c>
      <c r="S134" s="192">
        <v>95000</v>
      </c>
      <c r="T134" s="192">
        <v>109530.47951999999</v>
      </c>
      <c r="V134" s="192">
        <v>333530.47951999999</v>
      </c>
      <c r="W134" s="192">
        <v>12</v>
      </c>
      <c r="X134" s="192">
        <v>27794.206626666699</v>
      </c>
      <c r="Z134" s="192">
        <v>27794.206626666699</v>
      </c>
      <c r="AA134" s="192">
        <v>27029.200000000001</v>
      </c>
      <c r="AB134" s="192">
        <v>765.00662666666199</v>
      </c>
    </row>
    <row r="135" spans="1:28">
      <c r="A135" s="195">
        <v>114</v>
      </c>
      <c r="B135" s="192" t="s">
        <v>425</v>
      </c>
      <c r="C135" s="192">
        <v>279536.99849999999</v>
      </c>
      <c r="D135" s="192">
        <v>12</v>
      </c>
      <c r="E135" s="192">
        <v>3354443.9819999998</v>
      </c>
      <c r="I135" s="192">
        <v>3354443.9819999998</v>
      </c>
      <c r="J135" s="192">
        <v>200000</v>
      </c>
      <c r="K135" s="192">
        <v>0.2</v>
      </c>
      <c r="L135" s="192">
        <v>670888.79639999999</v>
      </c>
      <c r="M135" s="192">
        <v>870888.79639999999</v>
      </c>
      <c r="N135" s="192">
        <v>870888.79639999999</v>
      </c>
      <c r="O135" s="192">
        <v>2483555.1856</v>
      </c>
      <c r="P135" s="192">
        <v>21000</v>
      </c>
      <c r="Q135" s="192">
        <v>33000</v>
      </c>
      <c r="R135" s="192">
        <v>75000</v>
      </c>
      <c r="S135" s="192">
        <v>95000</v>
      </c>
      <c r="T135" s="192">
        <v>185546.588976</v>
      </c>
      <c r="V135" s="192">
        <v>409546.58897600003</v>
      </c>
      <c r="W135" s="192">
        <v>12</v>
      </c>
      <c r="X135" s="192">
        <v>34128.882414666703</v>
      </c>
      <c r="Z135" s="192">
        <v>34128.882414666703</v>
      </c>
      <c r="AA135" s="192">
        <v>31670.316066666699</v>
      </c>
      <c r="AB135" s="192">
        <v>2458.5663479999998</v>
      </c>
    </row>
    <row r="136" spans="1:28">
      <c r="A136" s="195">
        <v>115</v>
      </c>
      <c r="B136" s="192" t="s">
        <v>429</v>
      </c>
      <c r="C136" s="192">
        <v>237734.04699999999</v>
      </c>
      <c r="D136" s="192">
        <v>12</v>
      </c>
      <c r="E136" s="192">
        <v>2852808.5639999998</v>
      </c>
      <c r="F136" s="192">
        <v>5335.23</v>
      </c>
      <c r="I136" s="192">
        <v>2847473.3339999998</v>
      </c>
      <c r="J136" s="192">
        <v>200000</v>
      </c>
      <c r="K136" s="192">
        <v>0.2</v>
      </c>
      <c r="L136" s="192">
        <v>569494.66680000001</v>
      </c>
      <c r="M136" s="192">
        <v>769494.66680000001</v>
      </c>
      <c r="N136" s="192">
        <v>774829.89679999999</v>
      </c>
      <c r="O136" s="192">
        <v>2077978.6672</v>
      </c>
      <c r="P136" s="192">
        <v>21000</v>
      </c>
      <c r="Q136" s="192">
        <v>33000</v>
      </c>
      <c r="R136" s="192">
        <v>75000</v>
      </c>
      <c r="S136" s="192">
        <v>95000</v>
      </c>
      <c r="T136" s="192">
        <v>100375.520112</v>
      </c>
      <c r="V136" s="192">
        <v>324375.520112</v>
      </c>
      <c r="W136" s="192">
        <v>12</v>
      </c>
      <c r="X136" s="192">
        <v>27031.2933426667</v>
      </c>
      <c r="Z136" s="192">
        <v>27031.2933426667</v>
      </c>
      <c r="AA136" s="192">
        <v>26339.08</v>
      </c>
      <c r="AB136" s="192">
        <v>692.21334266665895</v>
      </c>
    </row>
    <row r="137" spans="1:28">
      <c r="A137" s="195">
        <v>116</v>
      </c>
      <c r="B137" s="192" t="s">
        <v>431</v>
      </c>
      <c r="C137" s="192">
        <v>237734.04699999999</v>
      </c>
      <c r="D137" s="192">
        <v>12</v>
      </c>
      <c r="E137" s="192">
        <v>2852808.5639999998</v>
      </c>
      <c r="I137" s="192">
        <v>2852808.5639999998</v>
      </c>
      <c r="J137" s="192">
        <v>200000</v>
      </c>
      <c r="K137" s="192">
        <v>0.2</v>
      </c>
      <c r="L137" s="192">
        <v>570561.71279999998</v>
      </c>
      <c r="M137" s="192">
        <v>770561.71279999998</v>
      </c>
      <c r="N137" s="192">
        <v>770561.71279999998</v>
      </c>
      <c r="O137" s="192">
        <v>2082246.8511999999</v>
      </c>
      <c r="P137" s="192">
        <v>21000</v>
      </c>
      <c r="Q137" s="192">
        <v>33000</v>
      </c>
      <c r="R137" s="192">
        <v>75000</v>
      </c>
      <c r="S137" s="192">
        <v>95000</v>
      </c>
      <c r="T137" s="192">
        <v>101271.838752</v>
      </c>
      <c r="V137" s="192">
        <v>325271.83875200001</v>
      </c>
      <c r="W137" s="192">
        <v>12</v>
      </c>
      <c r="X137" s="192">
        <v>27105.986562666702</v>
      </c>
      <c r="Z137" s="192">
        <v>27105.986562666702</v>
      </c>
      <c r="AA137" s="192">
        <v>26264.39</v>
      </c>
      <c r="AB137" s="192">
        <v>841.59656266665797</v>
      </c>
    </row>
    <row r="138" spans="1:28">
      <c r="A138" s="195">
        <v>117</v>
      </c>
      <c r="B138" s="192" t="s">
        <v>433</v>
      </c>
      <c r="C138" s="192">
        <v>237734.04699999999</v>
      </c>
      <c r="D138" s="192">
        <v>12</v>
      </c>
      <c r="E138" s="192">
        <v>2852808.5639999998</v>
      </c>
      <c r="I138" s="192">
        <v>2852808.5639999998</v>
      </c>
      <c r="J138" s="192">
        <v>200000</v>
      </c>
      <c r="K138" s="192">
        <v>0.2</v>
      </c>
      <c r="L138" s="192">
        <v>570561.71279999998</v>
      </c>
      <c r="M138" s="192">
        <v>770561.71279999998</v>
      </c>
      <c r="N138" s="192">
        <v>770561.71279999998</v>
      </c>
      <c r="O138" s="192">
        <v>2082246.8511999999</v>
      </c>
      <c r="P138" s="192">
        <v>21000</v>
      </c>
      <c r="Q138" s="192">
        <v>33000</v>
      </c>
      <c r="R138" s="192">
        <v>75000</v>
      </c>
      <c r="S138" s="192">
        <v>95000</v>
      </c>
      <c r="T138" s="192">
        <v>101271.838752</v>
      </c>
      <c r="V138" s="192">
        <v>325271.83875200001</v>
      </c>
      <c r="W138" s="192">
        <v>12</v>
      </c>
      <c r="X138" s="192">
        <v>27105.986562666702</v>
      </c>
      <c r="Z138" s="192">
        <v>27105.986562666702</v>
      </c>
      <c r="AA138" s="192">
        <v>26339.08</v>
      </c>
      <c r="AB138" s="192">
        <v>766.90656266665599</v>
      </c>
    </row>
    <row r="139" spans="1:28">
      <c r="A139" s="195">
        <v>118</v>
      </c>
      <c r="B139" s="192" t="s">
        <v>434</v>
      </c>
      <c r="C139" s="192">
        <v>228602.07775</v>
      </c>
      <c r="D139" s="192">
        <v>12</v>
      </c>
      <c r="E139" s="192">
        <v>2743224.9330000002</v>
      </c>
      <c r="I139" s="192">
        <v>2743224.9330000002</v>
      </c>
      <c r="J139" s="192">
        <v>200000</v>
      </c>
      <c r="K139" s="192">
        <v>0.2</v>
      </c>
      <c r="L139" s="192">
        <v>548644.98659999995</v>
      </c>
      <c r="M139" s="192">
        <v>748644.98659999995</v>
      </c>
      <c r="N139" s="192">
        <v>748644.98659999995</v>
      </c>
      <c r="O139" s="192">
        <v>1994579.9464</v>
      </c>
      <c r="P139" s="192">
        <v>21000</v>
      </c>
      <c r="Q139" s="192">
        <v>33000</v>
      </c>
      <c r="R139" s="192">
        <v>75000</v>
      </c>
      <c r="S139" s="192">
        <v>95000</v>
      </c>
      <c r="T139" s="192">
        <v>82861.788744000005</v>
      </c>
      <c r="V139" s="192">
        <v>306861.78874400002</v>
      </c>
      <c r="W139" s="192">
        <v>12</v>
      </c>
      <c r="X139" s="192">
        <v>25571.815728666701</v>
      </c>
      <c r="Z139" s="192">
        <v>25571.815728666701</v>
      </c>
      <c r="AA139" s="192">
        <v>25571.82</v>
      </c>
      <c r="AB139" s="192">
        <v>-4.2713333314168302E-3</v>
      </c>
    </row>
    <row r="140" spans="1:28">
      <c r="A140" s="195">
        <v>119</v>
      </c>
      <c r="B140" s="192" t="s">
        <v>953</v>
      </c>
      <c r="C140" s="192">
        <v>205204.0845</v>
      </c>
      <c r="D140" s="192">
        <v>12</v>
      </c>
      <c r="E140" s="192">
        <v>2462449.014</v>
      </c>
      <c r="I140" s="192">
        <v>2462449.014</v>
      </c>
      <c r="J140" s="192">
        <v>200000</v>
      </c>
      <c r="K140" s="192">
        <v>0.2</v>
      </c>
      <c r="L140" s="192">
        <v>492489.8028</v>
      </c>
      <c r="M140" s="192">
        <v>692489.80279999995</v>
      </c>
      <c r="N140" s="192">
        <v>692489.80279999995</v>
      </c>
      <c r="O140" s="192">
        <v>1769959.2112</v>
      </c>
      <c r="P140" s="192">
        <v>21000</v>
      </c>
      <c r="Q140" s="192">
        <v>33000</v>
      </c>
      <c r="R140" s="192">
        <v>75000</v>
      </c>
      <c r="S140" s="192">
        <v>95000</v>
      </c>
      <c r="T140" s="192">
        <v>35691.434351999997</v>
      </c>
      <c r="V140" s="192">
        <v>259691.43435200001</v>
      </c>
      <c r="W140" s="192">
        <v>12</v>
      </c>
      <c r="X140" s="192">
        <v>21640.952862666702</v>
      </c>
      <c r="Z140" s="192">
        <v>21640.952862666702</v>
      </c>
      <c r="AA140" s="192">
        <v>21640.95</v>
      </c>
      <c r="AB140" s="192">
        <v>2.86266666807933E-3</v>
      </c>
    </row>
    <row r="141" spans="1:28">
      <c r="A141" s="195">
        <v>120</v>
      </c>
      <c r="B141" s="192" t="s">
        <v>438</v>
      </c>
      <c r="C141" s="192">
        <v>237734.04699999999</v>
      </c>
      <c r="D141" s="192">
        <v>12</v>
      </c>
      <c r="E141" s="192">
        <v>2852808.5639999998</v>
      </c>
      <c r="I141" s="192">
        <v>2852808.5639999998</v>
      </c>
      <c r="J141" s="192">
        <v>200000</v>
      </c>
      <c r="K141" s="192">
        <v>0.2</v>
      </c>
      <c r="L141" s="192">
        <v>570561.71279999998</v>
      </c>
      <c r="M141" s="192">
        <v>770561.71279999998</v>
      </c>
      <c r="N141" s="192">
        <v>770561.71279999998</v>
      </c>
      <c r="O141" s="192">
        <v>2082246.8511999999</v>
      </c>
      <c r="P141" s="192">
        <v>21000</v>
      </c>
      <c r="Q141" s="192">
        <v>33000</v>
      </c>
      <c r="R141" s="192">
        <v>75000</v>
      </c>
      <c r="S141" s="192">
        <v>95000</v>
      </c>
      <c r="T141" s="192">
        <v>101271.838752</v>
      </c>
      <c r="V141" s="192">
        <v>325271.83875200001</v>
      </c>
      <c r="W141" s="192">
        <v>12</v>
      </c>
      <c r="X141" s="192">
        <v>27105.986562666702</v>
      </c>
      <c r="Z141" s="192">
        <v>27105.986562666702</v>
      </c>
      <c r="AA141" s="192">
        <v>25571.708040666701</v>
      </c>
      <c r="AB141" s="192">
        <v>1534.2785220000001</v>
      </c>
    </row>
    <row r="142" spans="1:28">
      <c r="A142" s="195">
        <v>121</v>
      </c>
      <c r="B142" s="192" t="s">
        <v>440</v>
      </c>
      <c r="C142" s="192">
        <v>209356.04725</v>
      </c>
      <c r="D142" s="192">
        <v>12</v>
      </c>
      <c r="E142" s="192">
        <v>2512272.5669999998</v>
      </c>
      <c r="F142" s="192">
        <v>4047.66</v>
      </c>
      <c r="I142" s="192">
        <v>2508224.9070000001</v>
      </c>
      <c r="J142" s="192">
        <v>200000</v>
      </c>
      <c r="K142" s="192">
        <v>0.2</v>
      </c>
      <c r="L142" s="192">
        <v>501644.98139999999</v>
      </c>
      <c r="M142" s="192">
        <v>701644.98140000005</v>
      </c>
      <c r="N142" s="192">
        <v>705692.64139999996</v>
      </c>
      <c r="O142" s="192">
        <v>1806579.9256</v>
      </c>
      <c r="P142" s="192">
        <v>21000</v>
      </c>
      <c r="Q142" s="192">
        <v>33000</v>
      </c>
      <c r="R142" s="192">
        <v>75000</v>
      </c>
      <c r="S142" s="192">
        <v>95000</v>
      </c>
      <c r="T142" s="192">
        <v>43381.784375999901</v>
      </c>
      <c r="V142" s="192">
        <v>267381.784376</v>
      </c>
      <c r="W142" s="192">
        <v>12</v>
      </c>
      <c r="X142" s="192">
        <v>22281.815364666701</v>
      </c>
      <c r="Z142" s="192">
        <v>22281.815364666701</v>
      </c>
      <c r="AA142" s="192">
        <v>21640.95</v>
      </c>
      <c r="AB142" s="192">
        <v>640.86536466666098</v>
      </c>
    </row>
    <row r="143" spans="1:28">
      <c r="A143" s="195">
        <v>122</v>
      </c>
      <c r="B143" s="192" t="s">
        <v>442</v>
      </c>
      <c r="C143" s="192">
        <v>237734.04699999999</v>
      </c>
      <c r="D143" s="192">
        <v>12</v>
      </c>
      <c r="E143" s="192">
        <v>2852808.5639999998</v>
      </c>
      <c r="I143" s="192">
        <v>2852808.5639999998</v>
      </c>
      <c r="J143" s="192">
        <v>200000</v>
      </c>
      <c r="K143" s="192">
        <v>0.2</v>
      </c>
      <c r="L143" s="192">
        <v>570561.71279999998</v>
      </c>
      <c r="M143" s="192">
        <v>770561.71279999998</v>
      </c>
      <c r="N143" s="192">
        <v>770561.71279999998</v>
      </c>
      <c r="O143" s="192">
        <v>2082246.8511999999</v>
      </c>
      <c r="P143" s="192">
        <v>21000</v>
      </c>
      <c r="Q143" s="192">
        <v>33000</v>
      </c>
      <c r="R143" s="192">
        <v>75000</v>
      </c>
      <c r="S143" s="192">
        <v>95000</v>
      </c>
      <c r="T143" s="192">
        <v>101271.838752</v>
      </c>
      <c r="V143" s="192">
        <v>325271.83875200001</v>
      </c>
      <c r="W143" s="192">
        <v>12</v>
      </c>
      <c r="X143" s="192">
        <v>27105.986562666702</v>
      </c>
      <c r="Z143" s="192">
        <v>27105.986562666702</v>
      </c>
      <c r="AA143" s="192">
        <v>25571.708040666701</v>
      </c>
      <c r="AB143" s="192">
        <v>1534.2785220000001</v>
      </c>
    </row>
    <row r="144" spans="1:28">
      <c r="A144" s="195">
        <v>123</v>
      </c>
      <c r="B144" s="192" t="s">
        <v>444</v>
      </c>
      <c r="C144" s="192">
        <v>209356.04725</v>
      </c>
      <c r="D144" s="192">
        <v>12</v>
      </c>
      <c r="E144" s="192">
        <v>2512272.5669999998</v>
      </c>
      <c r="I144" s="192">
        <v>2512272.5669999998</v>
      </c>
      <c r="J144" s="192">
        <v>200000</v>
      </c>
      <c r="K144" s="192">
        <v>0.2</v>
      </c>
      <c r="L144" s="192">
        <v>502454.5134</v>
      </c>
      <c r="M144" s="192">
        <v>702454.51340000005</v>
      </c>
      <c r="N144" s="192">
        <v>702454.51340000005</v>
      </c>
      <c r="O144" s="192">
        <v>1809818.0536</v>
      </c>
      <c r="P144" s="192">
        <v>21000</v>
      </c>
      <c r="Q144" s="192">
        <v>33000</v>
      </c>
      <c r="R144" s="192">
        <v>75000</v>
      </c>
      <c r="S144" s="192">
        <v>95000</v>
      </c>
      <c r="T144" s="192">
        <v>44061.791255999902</v>
      </c>
      <c r="V144" s="192">
        <v>268061.791256</v>
      </c>
      <c r="W144" s="192">
        <v>12</v>
      </c>
      <c r="X144" s="192">
        <v>22338.4826046667</v>
      </c>
      <c r="Z144" s="192">
        <v>22338.4826046667</v>
      </c>
      <c r="AA144" s="192">
        <v>21640.95</v>
      </c>
      <c r="AB144" s="192">
        <v>697.53260466665995</v>
      </c>
    </row>
    <row r="145" spans="1:28">
      <c r="A145" s="195">
        <v>124</v>
      </c>
      <c r="B145" s="192" t="s">
        <v>446</v>
      </c>
      <c r="C145" s="192">
        <v>183791.02674999999</v>
      </c>
      <c r="D145" s="192">
        <v>12</v>
      </c>
      <c r="E145" s="192">
        <v>2205492.321</v>
      </c>
      <c r="I145" s="192">
        <v>2205492.321</v>
      </c>
      <c r="J145" s="192">
        <v>200000</v>
      </c>
      <c r="K145" s="192">
        <v>0.2</v>
      </c>
      <c r="L145" s="192">
        <v>441098.46419999999</v>
      </c>
      <c r="M145" s="192">
        <v>641098.46420000005</v>
      </c>
      <c r="N145" s="192">
        <v>641098.46420000005</v>
      </c>
      <c r="O145" s="192">
        <v>1564393.8568</v>
      </c>
      <c r="P145" s="192">
        <v>21000</v>
      </c>
      <c r="Q145" s="192">
        <v>33000</v>
      </c>
      <c r="R145" s="192">
        <v>75000</v>
      </c>
      <c r="S145" s="192">
        <v>88234.832792000001</v>
      </c>
      <c r="T145" s="192">
        <v>0</v>
      </c>
      <c r="V145" s="192">
        <v>217234.832792</v>
      </c>
      <c r="W145" s="192">
        <v>12</v>
      </c>
      <c r="X145" s="192">
        <v>18102.902732666698</v>
      </c>
      <c r="Z145" s="192">
        <v>18102.902732666698</v>
      </c>
      <c r="AA145" s="192">
        <v>17572.89</v>
      </c>
      <c r="AB145" s="192">
        <v>530.01273266666601</v>
      </c>
    </row>
    <row r="146" spans="1:28">
      <c r="A146" s="195">
        <v>125</v>
      </c>
      <c r="B146" s="192" t="s">
        <v>1143</v>
      </c>
      <c r="C146" s="192">
        <v>176816.1</v>
      </c>
      <c r="D146" s="192">
        <v>12</v>
      </c>
      <c r="E146" s="192">
        <v>2121793.2000000002</v>
      </c>
      <c r="I146" s="192">
        <v>2121793.2000000002</v>
      </c>
      <c r="J146" s="192">
        <v>200000</v>
      </c>
      <c r="K146" s="192">
        <v>0.2</v>
      </c>
      <c r="L146" s="192">
        <v>424358.64</v>
      </c>
      <c r="M146" s="192">
        <v>624358.64</v>
      </c>
      <c r="N146" s="192">
        <v>624358.64</v>
      </c>
      <c r="O146" s="192">
        <v>1497434.56</v>
      </c>
      <c r="P146" s="192">
        <v>21000</v>
      </c>
      <c r="Q146" s="192">
        <v>33000</v>
      </c>
      <c r="R146" s="192">
        <v>75000</v>
      </c>
      <c r="S146" s="192">
        <v>75512.566399999996</v>
      </c>
      <c r="T146" s="192">
        <v>0</v>
      </c>
      <c r="V146" s="192">
        <v>204512.56640000001</v>
      </c>
      <c r="W146" s="192">
        <v>12</v>
      </c>
      <c r="X146" s="192">
        <v>17042.713866666702</v>
      </c>
      <c r="Z146" s="192">
        <v>17042.713866666702</v>
      </c>
      <c r="AA146" s="192">
        <v>16512.68</v>
      </c>
      <c r="AB146" s="192">
        <v>530.03386666666097</v>
      </c>
    </row>
    <row r="147" spans="1:28">
      <c r="A147" s="195">
        <v>126</v>
      </c>
      <c r="B147" s="192" t="s">
        <v>448</v>
      </c>
      <c r="C147" s="192">
        <v>173329.04949999999</v>
      </c>
      <c r="D147" s="192">
        <v>12</v>
      </c>
      <c r="E147" s="192">
        <v>2079948.594</v>
      </c>
      <c r="I147" s="192">
        <v>2079948.594</v>
      </c>
      <c r="J147" s="192">
        <v>200000</v>
      </c>
      <c r="K147" s="192">
        <v>0.2</v>
      </c>
      <c r="L147" s="192">
        <v>415989.71879999997</v>
      </c>
      <c r="M147" s="192">
        <v>615989.71880000003</v>
      </c>
      <c r="N147" s="192">
        <v>615989.71880000003</v>
      </c>
      <c r="O147" s="192">
        <v>1463958.8751999999</v>
      </c>
      <c r="P147" s="192">
        <v>21000</v>
      </c>
      <c r="Q147" s="192">
        <v>33000</v>
      </c>
      <c r="R147" s="192">
        <v>75000</v>
      </c>
      <c r="S147" s="192">
        <v>69152.186287999997</v>
      </c>
      <c r="T147" s="192">
        <v>0</v>
      </c>
      <c r="V147" s="192">
        <v>198152.186288</v>
      </c>
      <c r="W147" s="192">
        <v>12</v>
      </c>
      <c r="X147" s="192">
        <v>16512.682190666699</v>
      </c>
      <c r="Z147" s="192">
        <v>16512.682190666699</v>
      </c>
      <c r="AA147" s="192">
        <v>16512.68</v>
      </c>
      <c r="AB147" s="192">
        <v>2.1906666697759599E-3</v>
      </c>
    </row>
    <row r="148" spans="1:28">
      <c r="A148" s="195">
        <v>127</v>
      </c>
      <c r="B148" s="192" t="s">
        <v>450</v>
      </c>
      <c r="C148" s="192">
        <v>173339.22450000001</v>
      </c>
      <c r="D148" s="192">
        <v>12</v>
      </c>
      <c r="E148" s="192">
        <v>2080070.6939999999</v>
      </c>
      <c r="I148" s="192">
        <v>2080070.6939999999</v>
      </c>
      <c r="J148" s="192">
        <v>200000</v>
      </c>
      <c r="K148" s="192">
        <v>0.2</v>
      </c>
      <c r="L148" s="192">
        <v>416014.13880000002</v>
      </c>
      <c r="M148" s="192">
        <v>616014.13879999996</v>
      </c>
      <c r="N148" s="192">
        <v>616014.13879999996</v>
      </c>
      <c r="O148" s="192">
        <v>1464056.5552000001</v>
      </c>
      <c r="P148" s="192">
        <v>21000</v>
      </c>
      <c r="Q148" s="192">
        <v>33000</v>
      </c>
      <c r="R148" s="192">
        <v>75000</v>
      </c>
      <c r="S148" s="192">
        <v>69170.745488</v>
      </c>
      <c r="T148" s="192">
        <v>0</v>
      </c>
      <c r="V148" s="192">
        <v>198170.74548799999</v>
      </c>
      <c r="W148" s="192">
        <v>12</v>
      </c>
      <c r="X148" s="192">
        <v>16514.228790666701</v>
      </c>
      <c r="Z148" s="192">
        <v>16514.228790666701</v>
      </c>
      <c r="AA148" s="192">
        <v>16512.68</v>
      </c>
      <c r="AB148" s="192">
        <v>1.5487906666676301</v>
      </c>
    </row>
    <row r="149" spans="1:28">
      <c r="A149" s="195">
        <v>128</v>
      </c>
      <c r="B149" s="192" t="s">
        <v>452</v>
      </c>
      <c r="C149" s="192">
        <v>176818.1</v>
      </c>
      <c r="D149" s="192">
        <v>12</v>
      </c>
      <c r="E149" s="192">
        <v>2121817.2000000002</v>
      </c>
      <c r="I149" s="192">
        <v>2121817.2000000002</v>
      </c>
      <c r="J149" s="192">
        <v>200000</v>
      </c>
      <c r="K149" s="192">
        <v>0.2</v>
      </c>
      <c r="L149" s="192">
        <v>424363.44</v>
      </c>
      <c r="M149" s="192">
        <v>624363.43999999994</v>
      </c>
      <c r="N149" s="192">
        <v>624363.43999999994</v>
      </c>
      <c r="O149" s="192">
        <v>1497453.76</v>
      </c>
      <c r="P149" s="192">
        <v>21000</v>
      </c>
      <c r="Q149" s="192">
        <v>33000</v>
      </c>
      <c r="R149" s="192">
        <v>75000</v>
      </c>
      <c r="S149" s="192">
        <v>75516.214399999997</v>
      </c>
      <c r="T149" s="192">
        <v>0</v>
      </c>
      <c r="V149" s="192">
        <v>204516.2144</v>
      </c>
      <c r="W149" s="192">
        <v>12</v>
      </c>
      <c r="X149" s="192">
        <v>17043.017866666702</v>
      </c>
      <c r="Z149" s="192">
        <v>17043.017866666702</v>
      </c>
      <c r="AA149" s="192">
        <v>16512.68</v>
      </c>
      <c r="AB149" s="192">
        <v>530.33786666666094</v>
      </c>
    </row>
    <row r="150" spans="1:28">
      <c r="A150" s="195">
        <v>129</v>
      </c>
      <c r="B150" s="192" t="s">
        <v>454</v>
      </c>
      <c r="C150" s="192">
        <v>176816.1</v>
      </c>
      <c r="D150" s="192">
        <v>12</v>
      </c>
      <c r="E150" s="192">
        <v>2121793.2000000002</v>
      </c>
      <c r="F150" s="192">
        <v>2715.04</v>
      </c>
      <c r="I150" s="192">
        <v>2119078.16</v>
      </c>
      <c r="J150" s="192">
        <v>200000</v>
      </c>
      <c r="K150" s="192">
        <v>0.2</v>
      </c>
      <c r="L150" s="192">
        <v>423815.63199999998</v>
      </c>
      <c r="M150" s="192">
        <v>623815.63199999998</v>
      </c>
      <c r="N150" s="192">
        <v>626530.67200000002</v>
      </c>
      <c r="O150" s="192">
        <v>1495262.5279999999</v>
      </c>
      <c r="P150" s="192">
        <v>21000</v>
      </c>
      <c r="Q150" s="192">
        <v>33000</v>
      </c>
      <c r="R150" s="192">
        <v>75000</v>
      </c>
      <c r="S150" s="192">
        <v>75099.880319999895</v>
      </c>
      <c r="T150" s="192">
        <v>0</v>
      </c>
      <c r="V150" s="192">
        <v>204099.88032</v>
      </c>
      <c r="W150" s="192">
        <v>12</v>
      </c>
      <c r="X150" s="192">
        <v>17008.323359999999</v>
      </c>
      <c r="Z150" s="192">
        <v>17008.323359999999</v>
      </c>
      <c r="AA150" s="192">
        <v>16512.68</v>
      </c>
      <c r="AB150" s="192">
        <v>495.64335999999503</v>
      </c>
    </row>
    <row r="151" spans="1:28">
      <c r="A151" s="195">
        <v>130</v>
      </c>
      <c r="B151" s="192" t="s">
        <v>457</v>
      </c>
      <c r="C151" s="192">
        <v>135590.73000000001</v>
      </c>
      <c r="D151" s="192">
        <v>12</v>
      </c>
      <c r="E151" s="192">
        <v>1627088.76</v>
      </c>
      <c r="I151" s="192">
        <v>1627088.76</v>
      </c>
      <c r="J151" s="192">
        <v>200000</v>
      </c>
      <c r="K151" s="192">
        <v>0.2</v>
      </c>
      <c r="L151" s="192">
        <v>325417.75199999998</v>
      </c>
      <c r="M151" s="192">
        <v>525417.75199999998</v>
      </c>
      <c r="N151" s="192">
        <v>525417.75199999998</v>
      </c>
      <c r="O151" s="192">
        <v>1101671.0079999999</v>
      </c>
      <c r="P151" s="192">
        <v>21000</v>
      </c>
      <c r="Q151" s="192">
        <v>33000</v>
      </c>
      <c r="R151" s="192">
        <v>75000</v>
      </c>
      <c r="S151" s="192">
        <v>317.49151999998401</v>
      </c>
      <c r="T151" s="192">
        <v>0</v>
      </c>
      <c r="V151" s="192">
        <v>129317.49152</v>
      </c>
      <c r="W151" s="192">
        <v>12</v>
      </c>
      <c r="X151" s="192">
        <v>10776.457626666701</v>
      </c>
      <c r="Z151" s="192">
        <v>10776.457626666701</v>
      </c>
      <c r="AA151" s="192">
        <v>9117.0499999999993</v>
      </c>
      <c r="AB151" s="192">
        <v>1659.40762666667</v>
      </c>
    </row>
    <row r="152" spans="1:28">
      <c r="A152" s="195">
        <v>131</v>
      </c>
      <c r="B152" s="192" t="s">
        <v>460</v>
      </c>
      <c r="C152" s="192">
        <v>138590.73000000001</v>
      </c>
      <c r="D152" s="192">
        <v>12</v>
      </c>
      <c r="E152" s="192">
        <v>1663088.76</v>
      </c>
      <c r="I152" s="192">
        <v>1663088.76</v>
      </c>
      <c r="J152" s="192">
        <v>200000</v>
      </c>
      <c r="K152" s="192">
        <v>0.2</v>
      </c>
      <c r="L152" s="192">
        <v>332617.75199999998</v>
      </c>
      <c r="M152" s="192">
        <v>532617.75199999998</v>
      </c>
      <c r="N152" s="192">
        <v>532617.75199999998</v>
      </c>
      <c r="O152" s="192">
        <v>1130471.0079999999</v>
      </c>
      <c r="P152" s="192">
        <v>21000</v>
      </c>
      <c r="Q152" s="192">
        <v>33000</v>
      </c>
      <c r="R152" s="192">
        <v>75000</v>
      </c>
      <c r="S152" s="192">
        <v>5789.4915199999796</v>
      </c>
      <c r="T152" s="192">
        <v>0</v>
      </c>
      <c r="V152" s="192">
        <v>134789.49152000001</v>
      </c>
      <c r="W152" s="192">
        <v>12</v>
      </c>
      <c r="X152" s="192">
        <v>11232.457626666701</v>
      </c>
      <c r="Z152" s="192">
        <v>11232.457626666701</v>
      </c>
      <c r="AA152" s="192">
        <v>9504.2000000000007</v>
      </c>
      <c r="AB152" s="192">
        <v>1728.2576266666599</v>
      </c>
    </row>
    <row r="153" spans="1:28">
      <c r="A153" s="195">
        <v>132</v>
      </c>
      <c r="B153" s="192" t="s">
        <v>461</v>
      </c>
      <c r="C153" s="192">
        <v>135590.73000000001</v>
      </c>
      <c r="D153" s="192">
        <v>12</v>
      </c>
      <c r="E153" s="192">
        <v>1627088.76</v>
      </c>
      <c r="I153" s="192">
        <v>1627088.76</v>
      </c>
      <c r="J153" s="192">
        <v>200000</v>
      </c>
      <c r="K153" s="192">
        <v>0.2</v>
      </c>
      <c r="L153" s="192">
        <v>325417.75199999998</v>
      </c>
      <c r="M153" s="192">
        <v>525417.75199999998</v>
      </c>
      <c r="N153" s="192">
        <v>525417.75199999998</v>
      </c>
      <c r="O153" s="192">
        <v>1101671.0079999999</v>
      </c>
      <c r="P153" s="192">
        <v>21000</v>
      </c>
      <c r="Q153" s="192">
        <v>33000</v>
      </c>
      <c r="R153" s="192">
        <v>75000</v>
      </c>
      <c r="S153" s="192">
        <v>317.49151999998401</v>
      </c>
      <c r="T153" s="192">
        <v>0</v>
      </c>
      <c r="V153" s="192">
        <v>129317.49152</v>
      </c>
      <c r="W153" s="192">
        <v>12</v>
      </c>
      <c r="X153" s="192">
        <v>10776.457626666701</v>
      </c>
      <c r="Z153" s="192">
        <v>10776.457626666701</v>
      </c>
      <c r="AA153" s="192">
        <v>9144.2000000000007</v>
      </c>
      <c r="AB153" s="192">
        <v>1632.2576266666599</v>
      </c>
    </row>
    <row r="154" spans="1:28">
      <c r="A154" s="195">
        <v>133</v>
      </c>
      <c r="B154" s="192" t="s">
        <v>662</v>
      </c>
      <c r="C154" s="192">
        <v>135590.73000000001</v>
      </c>
      <c r="D154" s="192">
        <v>12</v>
      </c>
      <c r="E154" s="192">
        <v>1627088.76</v>
      </c>
      <c r="I154" s="192">
        <v>1627088.76</v>
      </c>
      <c r="J154" s="192">
        <v>200000</v>
      </c>
      <c r="K154" s="192">
        <v>0.2</v>
      </c>
      <c r="L154" s="192">
        <v>325417.75199999998</v>
      </c>
      <c r="M154" s="192">
        <v>525417.75199999998</v>
      </c>
      <c r="N154" s="192">
        <v>525417.75199999998</v>
      </c>
      <c r="O154" s="192">
        <v>1101671.0079999999</v>
      </c>
      <c r="P154" s="192">
        <v>21000</v>
      </c>
      <c r="Q154" s="192">
        <v>33000</v>
      </c>
      <c r="R154" s="192">
        <v>75000</v>
      </c>
      <c r="S154" s="192">
        <v>317.49151999998401</v>
      </c>
      <c r="T154" s="192">
        <v>0</v>
      </c>
      <c r="V154" s="192">
        <v>129317.49152</v>
      </c>
      <c r="W154" s="192">
        <v>12</v>
      </c>
      <c r="X154" s="192">
        <v>10776.457626666701</v>
      </c>
      <c r="Z154" s="192">
        <v>10776.457626666701</v>
      </c>
      <c r="AA154" s="192">
        <v>9144.2000000000007</v>
      </c>
      <c r="AB154" s="192">
        <v>1632.2576266666599</v>
      </c>
    </row>
    <row r="155" spans="1:28">
      <c r="A155" s="195">
        <v>134</v>
      </c>
      <c r="B155" s="192" t="s">
        <v>462</v>
      </c>
      <c r="C155" s="192">
        <v>135590.73000000001</v>
      </c>
      <c r="D155" s="192">
        <v>12</v>
      </c>
      <c r="E155" s="192">
        <v>1627088.76</v>
      </c>
      <c r="F155" s="192">
        <v>2715.04</v>
      </c>
      <c r="I155" s="192">
        <v>1624373.72</v>
      </c>
      <c r="J155" s="192">
        <v>200000</v>
      </c>
      <c r="K155" s="192">
        <v>0.2</v>
      </c>
      <c r="L155" s="192">
        <v>324874.74400000001</v>
      </c>
      <c r="M155" s="192">
        <v>524874.74399999995</v>
      </c>
      <c r="N155" s="192">
        <v>527589.78399999999</v>
      </c>
      <c r="O155" s="192">
        <v>1099498.976</v>
      </c>
      <c r="P155" s="192">
        <v>21000</v>
      </c>
      <c r="Q155" s="192">
        <v>33000</v>
      </c>
      <c r="R155" s="192">
        <v>74924.846399999995</v>
      </c>
      <c r="S155" s="192">
        <v>0</v>
      </c>
      <c r="T155" s="192">
        <v>0</v>
      </c>
      <c r="V155" s="192">
        <v>128924.84639999999</v>
      </c>
      <c r="W155" s="192">
        <v>12</v>
      </c>
      <c r="X155" s="192">
        <v>10743.7372</v>
      </c>
      <c r="Z155" s="192">
        <v>10743.7372</v>
      </c>
      <c r="AA155" s="192">
        <v>9117.0499999999993</v>
      </c>
      <c r="AB155" s="192">
        <v>1626.6872000000001</v>
      </c>
    </row>
    <row r="156" spans="1:28">
      <c r="A156" s="195">
        <v>135</v>
      </c>
      <c r="B156" s="192" t="s">
        <v>463</v>
      </c>
      <c r="C156" s="192">
        <v>135590.73000000001</v>
      </c>
      <c r="D156" s="192">
        <v>12</v>
      </c>
      <c r="E156" s="192">
        <v>1627088.76</v>
      </c>
      <c r="I156" s="192">
        <v>1627088.76</v>
      </c>
      <c r="J156" s="192">
        <v>200000</v>
      </c>
      <c r="K156" s="192">
        <v>0.2</v>
      </c>
      <c r="L156" s="192">
        <v>325417.75199999998</v>
      </c>
      <c r="M156" s="192">
        <v>525417.75199999998</v>
      </c>
      <c r="N156" s="192">
        <v>525417.75199999998</v>
      </c>
      <c r="O156" s="192">
        <v>1101671.0079999999</v>
      </c>
      <c r="P156" s="192">
        <v>21000</v>
      </c>
      <c r="Q156" s="192">
        <v>33000</v>
      </c>
      <c r="R156" s="192">
        <v>75000</v>
      </c>
      <c r="S156" s="192">
        <v>317.49151999998401</v>
      </c>
      <c r="T156" s="192">
        <v>0</v>
      </c>
      <c r="V156" s="192">
        <v>129317.49152</v>
      </c>
      <c r="W156" s="192">
        <v>12</v>
      </c>
      <c r="X156" s="192">
        <v>10776.457626666701</v>
      </c>
      <c r="Z156" s="192">
        <v>10776.457626666701</v>
      </c>
      <c r="AA156" s="192">
        <v>9144.2000000000007</v>
      </c>
      <c r="AB156" s="192">
        <v>1632.2576266666599</v>
      </c>
    </row>
    <row r="157" spans="1:28">
      <c r="A157" s="195">
        <v>136</v>
      </c>
      <c r="B157" s="192" t="s">
        <v>464</v>
      </c>
      <c r="C157" s="192">
        <v>125035.03449999999</v>
      </c>
      <c r="D157" s="192">
        <v>12</v>
      </c>
      <c r="E157" s="192">
        <v>1500420.4140000001</v>
      </c>
      <c r="I157" s="192">
        <v>1500420.4140000001</v>
      </c>
      <c r="J157" s="192">
        <v>200000</v>
      </c>
      <c r="K157" s="192">
        <v>0.2</v>
      </c>
      <c r="L157" s="192">
        <v>300084.08279999997</v>
      </c>
      <c r="M157" s="192">
        <v>500084.08279999997</v>
      </c>
      <c r="N157" s="192">
        <v>500084.08279999997</v>
      </c>
      <c r="O157" s="192">
        <v>1000336.3312</v>
      </c>
      <c r="P157" s="192">
        <v>21000</v>
      </c>
      <c r="Q157" s="192">
        <v>33000</v>
      </c>
      <c r="R157" s="192">
        <v>60050.449679999998</v>
      </c>
      <c r="S157" s="192">
        <v>0</v>
      </c>
      <c r="T157" s="192">
        <v>0</v>
      </c>
      <c r="V157" s="192">
        <v>114050.44968000001</v>
      </c>
      <c r="W157" s="192">
        <v>12</v>
      </c>
      <c r="X157" s="192">
        <v>9504.2041399999998</v>
      </c>
      <c r="Z157" s="192">
        <v>9504.2041399999998</v>
      </c>
      <c r="AA157" s="192">
        <v>9152.6</v>
      </c>
      <c r="AB157" s="192">
        <v>351.60413999999901</v>
      </c>
    </row>
    <row r="158" spans="1:28">
      <c r="A158" s="195">
        <v>137</v>
      </c>
      <c r="B158" s="192" t="s">
        <v>466</v>
      </c>
      <c r="C158" s="192">
        <v>122035.03449999999</v>
      </c>
      <c r="D158" s="192">
        <v>12</v>
      </c>
      <c r="E158" s="192">
        <v>1464420.4140000001</v>
      </c>
      <c r="I158" s="192">
        <v>1464420.4140000001</v>
      </c>
      <c r="J158" s="192">
        <v>200000</v>
      </c>
      <c r="K158" s="192">
        <v>0.2</v>
      </c>
      <c r="L158" s="192">
        <v>292884.08279999997</v>
      </c>
      <c r="M158" s="192">
        <v>492884.08279999997</v>
      </c>
      <c r="N158" s="192">
        <v>492884.08279999997</v>
      </c>
      <c r="O158" s="192">
        <v>971536.33120000002</v>
      </c>
      <c r="P158" s="192">
        <v>21000</v>
      </c>
      <c r="Q158" s="192">
        <v>33000</v>
      </c>
      <c r="R158" s="192">
        <v>55730.449679999998</v>
      </c>
      <c r="S158" s="192">
        <v>0</v>
      </c>
      <c r="T158" s="192">
        <v>0</v>
      </c>
      <c r="V158" s="192">
        <v>109730.44968000001</v>
      </c>
      <c r="W158" s="192">
        <v>12</v>
      </c>
      <c r="X158" s="192">
        <v>9144.2041399999998</v>
      </c>
      <c r="Z158" s="192">
        <v>9144.2041399999998</v>
      </c>
      <c r="AA158" s="192">
        <v>8792.6</v>
      </c>
      <c r="AB158" s="192">
        <v>351.60413999999901</v>
      </c>
    </row>
    <row r="159" spans="1:28">
      <c r="A159" s="195">
        <v>138</v>
      </c>
      <c r="B159" s="192" t="s">
        <v>1121</v>
      </c>
      <c r="C159" s="192">
        <v>122035.03449999999</v>
      </c>
      <c r="D159" s="192">
        <v>12</v>
      </c>
      <c r="E159" s="192">
        <v>1464420.4140000001</v>
      </c>
      <c r="I159" s="192">
        <v>1464420.4140000001</v>
      </c>
      <c r="J159" s="192">
        <v>200000</v>
      </c>
      <c r="K159" s="192">
        <v>0.2</v>
      </c>
      <c r="L159" s="192">
        <v>292884.08279999997</v>
      </c>
      <c r="M159" s="192">
        <v>492884.08279999997</v>
      </c>
      <c r="N159" s="192">
        <v>492884.08279999997</v>
      </c>
      <c r="O159" s="192">
        <v>971536.33120000002</v>
      </c>
      <c r="P159" s="192">
        <v>21000</v>
      </c>
      <c r="Q159" s="192">
        <v>33000</v>
      </c>
      <c r="R159" s="192">
        <v>55730.449679999998</v>
      </c>
      <c r="S159" s="192">
        <v>0</v>
      </c>
      <c r="T159" s="192">
        <v>0</v>
      </c>
      <c r="V159" s="192">
        <v>109730.44968000001</v>
      </c>
      <c r="W159" s="192">
        <v>12</v>
      </c>
      <c r="X159" s="192">
        <v>9144.2041399999998</v>
      </c>
      <c r="Z159" s="192">
        <v>9144.2041399999998</v>
      </c>
      <c r="AA159" s="192">
        <v>8792.6</v>
      </c>
      <c r="AB159" s="192">
        <v>351.60413999999901</v>
      </c>
    </row>
    <row r="160" spans="1:28">
      <c r="A160" s="195">
        <v>139</v>
      </c>
      <c r="B160" s="192" t="s">
        <v>467</v>
      </c>
      <c r="C160" s="192">
        <v>125035.03449999999</v>
      </c>
      <c r="D160" s="192">
        <v>12</v>
      </c>
      <c r="E160" s="192">
        <v>1500420.4140000001</v>
      </c>
      <c r="I160" s="192">
        <v>1500420.4140000001</v>
      </c>
      <c r="J160" s="192">
        <v>200000</v>
      </c>
      <c r="K160" s="192">
        <v>0.2</v>
      </c>
      <c r="L160" s="192">
        <v>300084.08279999997</v>
      </c>
      <c r="M160" s="192">
        <v>500084.08279999997</v>
      </c>
      <c r="N160" s="192">
        <v>500084.08279999997</v>
      </c>
      <c r="O160" s="192">
        <v>1000336.3312</v>
      </c>
      <c r="P160" s="192">
        <v>21000</v>
      </c>
      <c r="Q160" s="192">
        <v>33000</v>
      </c>
      <c r="R160" s="192">
        <v>60050.449679999998</v>
      </c>
      <c r="S160" s="192">
        <v>0</v>
      </c>
      <c r="T160" s="192">
        <v>0</v>
      </c>
      <c r="V160" s="192">
        <v>114050.44968000001</v>
      </c>
      <c r="W160" s="192">
        <v>12</v>
      </c>
      <c r="X160" s="192">
        <v>9504.2041399999998</v>
      </c>
      <c r="Z160" s="192">
        <v>9504.2041399999998</v>
      </c>
      <c r="AA160" s="192">
        <v>9152.6</v>
      </c>
      <c r="AB160" s="192">
        <v>351.60413999999901</v>
      </c>
    </row>
    <row r="161" spans="1:28">
      <c r="A161" s="195">
        <v>140</v>
      </c>
      <c r="B161" s="192" t="s">
        <v>468</v>
      </c>
      <c r="C161" s="192">
        <v>122035.03449999999</v>
      </c>
      <c r="D161" s="192">
        <v>12</v>
      </c>
      <c r="E161" s="192">
        <v>1464420.4140000001</v>
      </c>
      <c r="I161" s="192">
        <v>1464420.4140000001</v>
      </c>
      <c r="J161" s="192">
        <v>200000</v>
      </c>
      <c r="K161" s="192">
        <v>0.2</v>
      </c>
      <c r="L161" s="192">
        <v>292884.08279999997</v>
      </c>
      <c r="M161" s="192">
        <v>492884.08279999997</v>
      </c>
      <c r="N161" s="192">
        <v>492884.08279999997</v>
      </c>
      <c r="O161" s="192">
        <v>971536.33120000002</v>
      </c>
      <c r="P161" s="192">
        <v>21000</v>
      </c>
      <c r="Q161" s="192">
        <v>33000</v>
      </c>
      <c r="R161" s="192">
        <v>55730.449679999998</v>
      </c>
      <c r="S161" s="192">
        <v>0</v>
      </c>
      <c r="T161" s="192">
        <v>0</v>
      </c>
      <c r="V161" s="192">
        <v>109730.44968000001</v>
      </c>
      <c r="W161" s="192">
        <v>12</v>
      </c>
      <c r="X161" s="192">
        <v>9144.2041399999998</v>
      </c>
      <c r="Z161" s="192">
        <v>9144.2041399999998</v>
      </c>
      <c r="AA161" s="192">
        <v>8792.6</v>
      </c>
      <c r="AB161" s="192">
        <v>351.60413999999901</v>
      </c>
    </row>
    <row r="162" spans="1:28">
      <c r="A162" s="195">
        <v>141</v>
      </c>
      <c r="B162" s="192" t="s">
        <v>469</v>
      </c>
      <c r="C162" s="192">
        <v>122035.03449999999</v>
      </c>
      <c r="D162" s="192">
        <v>12</v>
      </c>
      <c r="E162" s="192">
        <v>1464420.4140000001</v>
      </c>
      <c r="I162" s="192">
        <v>1464420.4140000001</v>
      </c>
      <c r="J162" s="192">
        <v>200000</v>
      </c>
      <c r="K162" s="192">
        <v>0.2</v>
      </c>
      <c r="L162" s="192">
        <v>292884.08279999997</v>
      </c>
      <c r="M162" s="192">
        <v>492884.08279999997</v>
      </c>
      <c r="N162" s="192">
        <v>492884.08279999997</v>
      </c>
      <c r="O162" s="192">
        <v>971536.33120000002</v>
      </c>
      <c r="P162" s="192">
        <v>21000</v>
      </c>
      <c r="Q162" s="192">
        <v>33000</v>
      </c>
      <c r="R162" s="192">
        <v>55730.449679999998</v>
      </c>
      <c r="S162" s="192">
        <v>0</v>
      </c>
      <c r="T162" s="192">
        <v>0</v>
      </c>
      <c r="V162" s="192">
        <v>109730.44968000001</v>
      </c>
      <c r="W162" s="192">
        <v>12</v>
      </c>
      <c r="X162" s="192">
        <v>9144.2041399999998</v>
      </c>
      <c r="Z162" s="192">
        <v>9144.2041399999998</v>
      </c>
      <c r="AA162" s="192">
        <v>8792.6</v>
      </c>
      <c r="AB162" s="192">
        <v>351.60413999999901</v>
      </c>
    </row>
    <row r="163" spans="1:28">
      <c r="A163" s="195">
        <v>142</v>
      </c>
      <c r="B163" s="192" t="s">
        <v>470</v>
      </c>
      <c r="C163" s="192">
        <v>125035.03449999999</v>
      </c>
      <c r="D163" s="192">
        <v>12</v>
      </c>
      <c r="E163" s="192">
        <v>1500420.4140000001</v>
      </c>
      <c r="I163" s="192">
        <v>1500420.4140000001</v>
      </c>
      <c r="J163" s="192">
        <v>200000</v>
      </c>
      <c r="K163" s="192">
        <v>0.2</v>
      </c>
      <c r="L163" s="192">
        <v>300084.08279999997</v>
      </c>
      <c r="M163" s="192">
        <v>500084.08279999997</v>
      </c>
      <c r="N163" s="192">
        <v>500084.08279999997</v>
      </c>
      <c r="O163" s="192">
        <v>1000336.3312</v>
      </c>
      <c r="P163" s="192">
        <v>21000</v>
      </c>
      <c r="Q163" s="192">
        <v>33000</v>
      </c>
      <c r="R163" s="192">
        <v>60050.449679999998</v>
      </c>
      <c r="S163" s="192">
        <v>0</v>
      </c>
      <c r="T163" s="192">
        <v>0</v>
      </c>
      <c r="V163" s="192">
        <v>114050.44968000001</v>
      </c>
      <c r="W163" s="192">
        <v>12</v>
      </c>
      <c r="X163" s="192">
        <v>9504.2041399999998</v>
      </c>
      <c r="Z163" s="192">
        <v>9504.2041399999998</v>
      </c>
      <c r="AA163" s="192">
        <v>9152.6</v>
      </c>
      <c r="AB163" s="192">
        <v>351.60413999999901</v>
      </c>
    </row>
    <row r="164" spans="1:28">
      <c r="A164" s="195">
        <v>143</v>
      </c>
      <c r="B164" s="192" t="s">
        <v>471</v>
      </c>
      <c r="C164" s="192">
        <v>81803.001000000004</v>
      </c>
      <c r="D164" s="192">
        <v>12</v>
      </c>
      <c r="E164" s="192">
        <v>981636.01199999999</v>
      </c>
      <c r="I164" s="192">
        <v>981636.01199999999</v>
      </c>
      <c r="J164" s="192">
        <v>200000</v>
      </c>
      <c r="K164" s="192">
        <v>0.2</v>
      </c>
      <c r="L164" s="192">
        <v>196327.20240000001</v>
      </c>
      <c r="M164" s="192">
        <v>396327.20240000001</v>
      </c>
      <c r="N164" s="192">
        <v>396327.20240000001</v>
      </c>
      <c r="O164" s="192">
        <v>585308.80960000004</v>
      </c>
      <c r="P164" s="192">
        <v>21000</v>
      </c>
      <c r="Q164" s="192">
        <v>31383.969056000002</v>
      </c>
      <c r="R164" s="192">
        <v>0</v>
      </c>
      <c r="S164" s="192">
        <v>0</v>
      </c>
      <c r="T164" s="192">
        <v>0</v>
      </c>
      <c r="V164" s="192">
        <v>52383.969056000002</v>
      </c>
      <c r="W164" s="192">
        <v>12</v>
      </c>
      <c r="X164" s="192">
        <v>4365.3307546666701</v>
      </c>
      <c r="Z164" s="192">
        <v>4365.3307546666701</v>
      </c>
      <c r="AA164" s="192">
        <v>4227.5200000000004</v>
      </c>
      <c r="AB164" s="192">
        <v>137.810754666668</v>
      </c>
    </row>
    <row r="165" spans="1:28">
      <c r="A165" s="195">
        <v>144</v>
      </c>
      <c r="B165" s="192" t="s">
        <v>474</v>
      </c>
      <c r="C165" s="192">
        <v>81803.001000000004</v>
      </c>
      <c r="D165" s="192">
        <v>12</v>
      </c>
      <c r="E165" s="192">
        <v>981636.01199999999</v>
      </c>
      <c r="I165" s="192">
        <v>981636.01199999999</v>
      </c>
      <c r="J165" s="192">
        <v>200000</v>
      </c>
      <c r="K165" s="192">
        <v>0.2</v>
      </c>
      <c r="L165" s="192">
        <v>196327.20240000001</v>
      </c>
      <c r="M165" s="192">
        <v>396327.20240000001</v>
      </c>
      <c r="N165" s="192">
        <v>396327.20240000001</v>
      </c>
      <c r="O165" s="192">
        <v>585308.80960000004</v>
      </c>
      <c r="P165" s="192">
        <v>21000</v>
      </c>
      <c r="Q165" s="192">
        <v>31383.969056000002</v>
      </c>
      <c r="R165" s="192">
        <v>0</v>
      </c>
      <c r="S165" s="192">
        <v>0</v>
      </c>
      <c r="T165" s="192">
        <v>0</v>
      </c>
      <c r="V165" s="192">
        <v>52383.969056000002</v>
      </c>
      <c r="W165" s="192">
        <v>12</v>
      </c>
      <c r="X165" s="192">
        <v>4365.3307546666701</v>
      </c>
      <c r="Z165" s="192">
        <v>4365.3307546666701</v>
      </c>
      <c r="AA165" s="192">
        <v>4227.5200000000004</v>
      </c>
      <c r="AB165" s="192">
        <v>137.810754666668</v>
      </c>
    </row>
    <row r="166" spans="1:28">
      <c r="A166" s="195">
        <v>145</v>
      </c>
      <c r="B166" s="192" t="s">
        <v>475</v>
      </c>
      <c r="C166" s="192">
        <v>83370.091</v>
      </c>
      <c r="D166" s="192">
        <v>12</v>
      </c>
      <c r="E166" s="192">
        <v>1000441.0919999999</v>
      </c>
      <c r="I166" s="192">
        <v>1000441.0919999999</v>
      </c>
      <c r="J166" s="192">
        <v>200000</v>
      </c>
      <c r="K166" s="192">
        <v>0.2</v>
      </c>
      <c r="L166" s="192">
        <v>200088.21840000001</v>
      </c>
      <c r="M166" s="192">
        <v>400088.21840000001</v>
      </c>
      <c r="N166" s="192">
        <v>400088.21840000001</v>
      </c>
      <c r="O166" s="192">
        <v>600352.87360000005</v>
      </c>
      <c r="P166" s="192">
        <v>21000</v>
      </c>
      <c r="Q166" s="192">
        <v>33000</v>
      </c>
      <c r="R166" s="192">
        <v>52.931039999989999</v>
      </c>
      <c r="S166" s="192">
        <v>0</v>
      </c>
      <c r="T166" s="192">
        <v>0</v>
      </c>
      <c r="V166" s="192">
        <v>54052.931040000003</v>
      </c>
      <c r="W166" s="192">
        <v>12</v>
      </c>
      <c r="X166" s="192">
        <v>4504.4109200000003</v>
      </c>
      <c r="Z166" s="192">
        <v>4504.4109200000003</v>
      </c>
      <c r="AA166" s="192">
        <v>4365.33</v>
      </c>
      <c r="AB166" s="192">
        <v>139.080919999999</v>
      </c>
    </row>
    <row r="167" spans="1:28">
      <c r="A167" s="195">
        <v>146</v>
      </c>
      <c r="B167" s="192" t="s">
        <v>477</v>
      </c>
      <c r="C167" s="192">
        <v>80237.012000000002</v>
      </c>
      <c r="D167" s="192">
        <v>12</v>
      </c>
      <c r="E167" s="192">
        <v>962844.14399999997</v>
      </c>
      <c r="I167" s="192">
        <v>962844.14399999997</v>
      </c>
      <c r="J167" s="192">
        <v>200000</v>
      </c>
      <c r="K167" s="192">
        <v>0.2</v>
      </c>
      <c r="L167" s="192">
        <v>192568.82879999999</v>
      </c>
      <c r="M167" s="192">
        <v>392568.82880000002</v>
      </c>
      <c r="N167" s="192">
        <v>392568.82880000002</v>
      </c>
      <c r="O167" s="192">
        <v>570275.31519999995</v>
      </c>
      <c r="P167" s="192">
        <v>21000</v>
      </c>
      <c r="Q167" s="192">
        <v>29730.284672000002</v>
      </c>
      <c r="R167" s="192">
        <v>0</v>
      </c>
      <c r="S167" s="192">
        <v>0</v>
      </c>
      <c r="T167" s="192">
        <v>0</v>
      </c>
      <c r="V167" s="192">
        <v>50730.284672000002</v>
      </c>
      <c r="W167" s="192">
        <v>12</v>
      </c>
      <c r="X167" s="192">
        <v>4227.5237226666704</v>
      </c>
      <c r="Z167" s="192">
        <v>4227.5237226666704</v>
      </c>
      <c r="AA167" s="192">
        <v>4089.72</v>
      </c>
      <c r="AB167" s="192">
        <v>137.80372266666799</v>
      </c>
    </row>
    <row r="168" spans="1:28">
      <c r="A168" s="195">
        <v>147</v>
      </c>
      <c r="B168" s="192" t="s">
        <v>480</v>
      </c>
      <c r="C168" s="192">
        <v>78671.023000000001</v>
      </c>
      <c r="D168" s="192">
        <v>12</v>
      </c>
      <c r="E168" s="192">
        <v>944052.27599999995</v>
      </c>
      <c r="I168" s="192">
        <v>944052.27599999995</v>
      </c>
      <c r="J168" s="192">
        <v>200000</v>
      </c>
      <c r="K168" s="192">
        <v>0.2</v>
      </c>
      <c r="L168" s="192">
        <v>188810.4552</v>
      </c>
      <c r="M168" s="192">
        <v>388810.45520000003</v>
      </c>
      <c r="N168" s="192">
        <v>388810.45520000003</v>
      </c>
      <c r="O168" s="192">
        <v>555241.82079999999</v>
      </c>
      <c r="P168" s="192">
        <v>21000</v>
      </c>
      <c r="Q168" s="192">
        <v>28076.600288000001</v>
      </c>
      <c r="R168" s="192">
        <v>0</v>
      </c>
      <c r="S168" s="192">
        <v>0</v>
      </c>
      <c r="T168" s="192">
        <v>0</v>
      </c>
      <c r="V168" s="192">
        <v>49076.600288000001</v>
      </c>
      <c r="W168" s="192">
        <v>12</v>
      </c>
      <c r="X168" s="192">
        <v>4089.7166906666698</v>
      </c>
      <c r="Z168" s="192">
        <v>4089.7166906666698</v>
      </c>
      <c r="AA168" s="192">
        <v>3951.8</v>
      </c>
      <c r="AB168" s="192">
        <v>137.91669066666799</v>
      </c>
    </row>
    <row r="169" spans="1:28">
      <c r="A169" s="195">
        <v>148</v>
      </c>
      <c r="B169" s="192" t="s">
        <v>483</v>
      </c>
      <c r="C169" s="192">
        <v>75671.023000000001</v>
      </c>
      <c r="D169" s="192">
        <v>12</v>
      </c>
      <c r="E169" s="192">
        <v>908052.27599999995</v>
      </c>
      <c r="I169" s="192">
        <v>908052.27599999995</v>
      </c>
      <c r="J169" s="192">
        <v>200000</v>
      </c>
      <c r="K169" s="192">
        <v>0.2</v>
      </c>
      <c r="L169" s="192">
        <v>181610.4552</v>
      </c>
      <c r="M169" s="192">
        <v>381610.45520000003</v>
      </c>
      <c r="N169" s="192">
        <v>381610.45520000003</v>
      </c>
      <c r="O169" s="192">
        <v>526441.82079999999</v>
      </c>
      <c r="P169" s="192">
        <v>21000</v>
      </c>
      <c r="Q169" s="192">
        <v>24908.600288000001</v>
      </c>
      <c r="R169" s="192">
        <v>0</v>
      </c>
      <c r="S169" s="192">
        <v>0</v>
      </c>
      <c r="T169" s="192">
        <v>0</v>
      </c>
      <c r="V169" s="192">
        <v>45908.600288000001</v>
      </c>
      <c r="W169" s="192">
        <v>12</v>
      </c>
      <c r="X169" s="192">
        <v>3825.7166906666698</v>
      </c>
      <c r="Z169" s="192">
        <v>3825.7166906666698</v>
      </c>
      <c r="AA169" s="192">
        <v>3687.8</v>
      </c>
      <c r="AB169" s="192">
        <v>137.91669066666799</v>
      </c>
    </row>
    <row r="170" spans="1:28">
      <c r="A170" s="195">
        <v>149</v>
      </c>
      <c r="B170" s="192" t="s">
        <v>484</v>
      </c>
      <c r="C170" s="192">
        <v>78671.023000000001</v>
      </c>
      <c r="D170" s="192">
        <v>12</v>
      </c>
      <c r="E170" s="192">
        <v>944052.27599999995</v>
      </c>
      <c r="I170" s="192">
        <v>944052.27599999995</v>
      </c>
      <c r="J170" s="192">
        <v>200000</v>
      </c>
      <c r="K170" s="192">
        <v>0.2</v>
      </c>
      <c r="L170" s="192">
        <v>188810.4552</v>
      </c>
      <c r="M170" s="192">
        <v>388810.45520000003</v>
      </c>
      <c r="N170" s="192">
        <v>388810.45520000003</v>
      </c>
      <c r="O170" s="192">
        <v>555241.82079999999</v>
      </c>
      <c r="P170" s="192">
        <v>21000</v>
      </c>
      <c r="Q170" s="192">
        <v>28076.600288000001</v>
      </c>
      <c r="R170" s="192">
        <v>0</v>
      </c>
      <c r="S170" s="192">
        <v>0</v>
      </c>
      <c r="T170" s="192">
        <v>0</v>
      </c>
      <c r="V170" s="192">
        <v>49076.600288000001</v>
      </c>
      <c r="W170" s="192">
        <v>12</v>
      </c>
      <c r="X170" s="192">
        <v>4089.7166906666698</v>
      </c>
      <c r="Z170" s="192">
        <v>4089.7166906666698</v>
      </c>
      <c r="AA170" s="192">
        <v>3951.8</v>
      </c>
      <c r="AB170" s="192">
        <v>137.91669066666799</v>
      </c>
    </row>
    <row r="171" spans="1:28">
      <c r="A171" s="195">
        <v>150</v>
      </c>
      <c r="B171" s="192" t="s">
        <v>485</v>
      </c>
      <c r="C171" s="192">
        <v>75671.023000000001</v>
      </c>
      <c r="D171" s="192">
        <v>12</v>
      </c>
      <c r="E171" s="192">
        <v>908052.27599999995</v>
      </c>
      <c r="I171" s="192">
        <v>908052.27599999995</v>
      </c>
      <c r="J171" s="192">
        <v>200000</v>
      </c>
      <c r="K171" s="192">
        <v>0.2</v>
      </c>
      <c r="L171" s="192">
        <v>181610.4552</v>
      </c>
      <c r="M171" s="192">
        <v>381610.45520000003</v>
      </c>
      <c r="N171" s="192">
        <v>381610.45520000003</v>
      </c>
      <c r="O171" s="192">
        <v>526441.82079999999</v>
      </c>
      <c r="P171" s="192">
        <v>21000</v>
      </c>
      <c r="Q171" s="192">
        <v>24908.600288000001</v>
      </c>
      <c r="R171" s="192">
        <v>0</v>
      </c>
      <c r="S171" s="192">
        <v>0</v>
      </c>
      <c r="T171" s="192">
        <v>0</v>
      </c>
      <c r="V171" s="192">
        <v>45908.600288000001</v>
      </c>
      <c r="W171" s="192">
        <v>12</v>
      </c>
      <c r="X171" s="192">
        <v>3825.7166906666698</v>
      </c>
      <c r="Z171" s="192">
        <v>3825.7166906666698</v>
      </c>
      <c r="AA171" s="192">
        <v>3687.8</v>
      </c>
      <c r="AB171" s="192">
        <v>137.91669066666799</v>
      </c>
    </row>
    <row r="172" spans="1:28">
      <c r="A172" s="195">
        <v>151</v>
      </c>
      <c r="B172" s="192" t="s">
        <v>486</v>
      </c>
      <c r="C172" s="192">
        <v>78671.023000000001</v>
      </c>
      <c r="D172" s="192">
        <v>12</v>
      </c>
      <c r="E172" s="192">
        <v>944052.27599999995</v>
      </c>
      <c r="I172" s="192">
        <v>944052.27599999995</v>
      </c>
      <c r="J172" s="192">
        <v>200000</v>
      </c>
      <c r="K172" s="192">
        <v>0.2</v>
      </c>
      <c r="L172" s="192">
        <v>188810.4552</v>
      </c>
      <c r="M172" s="192">
        <v>388810.45520000003</v>
      </c>
      <c r="N172" s="192">
        <v>388810.45520000003</v>
      </c>
      <c r="O172" s="192">
        <v>555241.82079999999</v>
      </c>
      <c r="P172" s="192">
        <v>21000</v>
      </c>
      <c r="Q172" s="192">
        <v>28076.600288000001</v>
      </c>
      <c r="R172" s="192">
        <v>0</v>
      </c>
      <c r="S172" s="192">
        <v>0</v>
      </c>
      <c r="T172" s="192">
        <v>0</v>
      </c>
      <c r="V172" s="192">
        <v>49076.600288000001</v>
      </c>
      <c r="W172" s="192">
        <v>12</v>
      </c>
      <c r="X172" s="192">
        <v>4089.7166906666698</v>
      </c>
      <c r="Z172" s="192">
        <v>4089.7166906666698</v>
      </c>
      <c r="AA172" s="192">
        <v>3951.8</v>
      </c>
      <c r="AB172" s="192">
        <v>137.91669066666799</v>
      </c>
    </row>
    <row r="173" spans="1:28">
      <c r="A173" s="195">
        <v>152</v>
      </c>
      <c r="B173" s="192" t="s">
        <v>487</v>
      </c>
      <c r="C173" s="192">
        <v>75671.023000000001</v>
      </c>
      <c r="D173" s="192">
        <v>12</v>
      </c>
      <c r="E173" s="192">
        <v>908052.27599999995</v>
      </c>
      <c r="I173" s="192">
        <v>908052.27599999995</v>
      </c>
      <c r="J173" s="192">
        <v>200000</v>
      </c>
      <c r="K173" s="192">
        <v>0.2</v>
      </c>
      <c r="L173" s="192">
        <v>181610.4552</v>
      </c>
      <c r="M173" s="192">
        <v>381610.45520000003</v>
      </c>
      <c r="N173" s="192">
        <v>381610.45520000003</v>
      </c>
      <c r="O173" s="192">
        <v>526441.82079999999</v>
      </c>
      <c r="P173" s="192">
        <v>21000</v>
      </c>
      <c r="Q173" s="192">
        <v>24908.600288000001</v>
      </c>
      <c r="R173" s="192">
        <v>0</v>
      </c>
      <c r="S173" s="192">
        <v>0</v>
      </c>
      <c r="T173" s="192">
        <v>0</v>
      </c>
      <c r="V173" s="192">
        <v>45908.600288000001</v>
      </c>
      <c r="W173" s="192">
        <v>12</v>
      </c>
      <c r="X173" s="192">
        <v>3825.7166906666698</v>
      </c>
      <c r="Z173" s="192">
        <v>3825.7166906666698</v>
      </c>
      <c r="AA173" s="192">
        <v>3687.8</v>
      </c>
      <c r="AB173" s="192">
        <v>137.91669066666799</v>
      </c>
    </row>
    <row r="174" spans="1:28">
      <c r="A174" s="195">
        <v>153</v>
      </c>
      <c r="B174" s="192" t="s">
        <v>488</v>
      </c>
      <c r="C174" s="192">
        <v>78671.023000000001</v>
      </c>
      <c r="D174" s="192">
        <v>12</v>
      </c>
      <c r="E174" s="192">
        <v>944052.27599999995</v>
      </c>
      <c r="I174" s="192">
        <v>944052.27599999995</v>
      </c>
      <c r="J174" s="192">
        <v>200000</v>
      </c>
      <c r="K174" s="192">
        <v>0.2</v>
      </c>
      <c r="L174" s="192">
        <v>188810.4552</v>
      </c>
      <c r="M174" s="192">
        <v>388810.45520000003</v>
      </c>
      <c r="N174" s="192">
        <v>388810.45520000003</v>
      </c>
      <c r="O174" s="192">
        <v>555241.82079999999</v>
      </c>
      <c r="P174" s="192">
        <v>21000</v>
      </c>
      <c r="Q174" s="192">
        <v>28076.600288000001</v>
      </c>
      <c r="R174" s="192">
        <v>0</v>
      </c>
      <c r="S174" s="192">
        <v>0</v>
      </c>
      <c r="T174" s="192">
        <v>0</v>
      </c>
      <c r="V174" s="192">
        <v>49076.600288000001</v>
      </c>
      <c r="W174" s="192">
        <v>12</v>
      </c>
      <c r="X174" s="192">
        <v>4089.7166906666698</v>
      </c>
      <c r="Z174" s="192">
        <v>4089.7166906666698</v>
      </c>
      <c r="AA174" s="192">
        <v>3951.8</v>
      </c>
      <c r="AB174" s="192">
        <v>137.91669066666799</v>
      </c>
    </row>
    <row r="175" spans="1:28">
      <c r="A175" s="195">
        <v>154</v>
      </c>
      <c r="B175" s="192" t="s">
        <v>489</v>
      </c>
      <c r="C175" s="192">
        <v>78671.023000000001</v>
      </c>
      <c r="D175" s="192">
        <v>12</v>
      </c>
      <c r="E175" s="192">
        <v>944052.27599999995</v>
      </c>
      <c r="I175" s="192">
        <v>944052.27599999995</v>
      </c>
      <c r="J175" s="192">
        <v>200000</v>
      </c>
      <c r="K175" s="192">
        <v>0.2</v>
      </c>
      <c r="L175" s="192">
        <v>188810.4552</v>
      </c>
      <c r="M175" s="192">
        <v>388810.45520000003</v>
      </c>
      <c r="N175" s="192">
        <v>388810.45520000003</v>
      </c>
      <c r="O175" s="192">
        <v>555241.82079999999</v>
      </c>
      <c r="P175" s="192">
        <v>21000</v>
      </c>
      <c r="Q175" s="192">
        <v>28076.600288000001</v>
      </c>
      <c r="R175" s="192">
        <v>0</v>
      </c>
      <c r="S175" s="192">
        <v>0</v>
      </c>
      <c r="T175" s="192">
        <v>0</v>
      </c>
      <c r="V175" s="192">
        <v>49076.600288000001</v>
      </c>
      <c r="W175" s="192">
        <v>12</v>
      </c>
      <c r="X175" s="192">
        <v>4089.7166906666698</v>
      </c>
      <c r="Z175" s="192">
        <v>4089.7166906666698</v>
      </c>
      <c r="AA175" s="192">
        <v>3951.8</v>
      </c>
      <c r="AB175" s="192">
        <v>137.91669066666799</v>
      </c>
    </row>
    <row r="176" spans="1:28">
      <c r="A176" s="195">
        <v>155</v>
      </c>
      <c r="B176" s="192" t="s">
        <v>490</v>
      </c>
      <c r="C176" s="192">
        <v>78671.023000000001</v>
      </c>
      <c r="D176" s="192">
        <v>12</v>
      </c>
      <c r="E176" s="192">
        <v>944052.27599999995</v>
      </c>
      <c r="I176" s="192">
        <v>944052.27599999995</v>
      </c>
      <c r="J176" s="192">
        <v>200000</v>
      </c>
      <c r="K176" s="192">
        <v>0.2</v>
      </c>
      <c r="L176" s="192">
        <v>188810.4552</v>
      </c>
      <c r="M176" s="192">
        <v>388810.45520000003</v>
      </c>
      <c r="N176" s="192">
        <v>388810.45520000003</v>
      </c>
      <c r="O176" s="192">
        <v>555241.82079999999</v>
      </c>
      <c r="P176" s="192">
        <v>21000</v>
      </c>
      <c r="Q176" s="192">
        <v>28076.600288000001</v>
      </c>
      <c r="R176" s="192">
        <v>0</v>
      </c>
      <c r="S176" s="192">
        <v>0</v>
      </c>
      <c r="T176" s="192">
        <v>0</v>
      </c>
      <c r="V176" s="192">
        <v>49076.600288000001</v>
      </c>
      <c r="W176" s="192">
        <v>12</v>
      </c>
      <c r="X176" s="192">
        <v>4089.7166906666698</v>
      </c>
      <c r="Z176" s="192">
        <v>4089.7166906666698</v>
      </c>
      <c r="AA176" s="192">
        <v>3951.8</v>
      </c>
      <c r="AB176" s="192">
        <v>137.91669066666799</v>
      </c>
    </row>
    <row r="177" spans="1:28">
      <c r="A177" s="195">
        <v>156</v>
      </c>
      <c r="B177" s="192" t="s">
        <v>491</v>
      </c>
      <c r="C177" s="192">
        <v>67025.061499999996</v>
      </c>
      <c r="D177" s="192">
        <v>12</v>
      </c>
      <c r="E177" s="192">
        <v>804300.73800000001</v>
      </c>
      <c r="I177" s="192">
        <v>804300.73800000001</v>
      </c>
      <c r="J177" s="192">
        <v>200000</v>
      </c>
      <c r="K177" s="192">
        <v>0.2</v>
      </c>
      <c r="L177" s="192">
        <v>160860.1476</v>
      </c>
      <c r="M177" s="192">
        <v>360860.14760000003</v>
      </c>
      <c r="N177" s="192">
        <v>360860.14760000003</v>
      </c>
      <c r="O177" s="192">
        <v>443440.59039999999</v>
      </c>
      <c r="P177" s="192">
        <v>21000</v>
      </c>
      <c r="Q177" s="192">
        <v>15778.464943999999</v>
      </c>
      <c r="R177" s="192">
        <v>0</v>
      </c>
      <c r="S177" s="192">
        <v>0</v>
      </c>
      <c r="T177" s="192">
        <v>0</v>
      </c>
      <c r="V177" s="192">
        <v>36778.464943999999</v>
      </c>
      <c r="W177" s="192">
        <v>12</v>
      </c>
      <c r="X177" s="192">
        <v>3064.8720786666699</v>
      </c>
      <c r="Z177" s="192">
        <v>3064.8720786666699</v>
      </c>
      <c r="AA177" s="192">
        <v>3183.66</v>
      </c>
      <c r="AB177" s="192">
        <v>-118.787921333334</v>
      </c>
    </row>
    <row r="178" spans="1:28">
      <c r="A178" s="195">
        <v>157</v>
      </c>
      <c r="B178" s="192" t="s">
        <v>493</v>
      </c>
      <c r="C178" s="192">
        <v>67328.070250000004</v>
      </c>
      <c r="D178" s="192">
        <v>12</v>
      </c>
      <c r="E178" s="192">
        <v>807936.84299999999</v>
      </c>
      <c r="I178" s="192">
        <v>807936.84299999999</v>
      </c>
      <c r="J178" s="192">
        <v>200000</v>
      </c>
      <c r="K178" s="192">
        <v>0.2</v>
      </c>
      <c r="L178" s="192">
        <v>161587.36859999999</v>
      </c>
      <c r="M178" s="192">
        <v>361587.36859999999</v>
      </c>
      <c r="N178" s="192">
        <v>361587.36859999999</v>
      </c>
      <c r="O178" s="192">
        <v>446349.47440000001</v>
      </c>
      <c r="P178" s="192">
        <v>21000</v>
      </c>
      <c r="Q178" s="192">
        <v>16098.442184</v>
      </c>
      <c r="R178" s="192">
        <v>0</v>
      </c>
      <c r="S178" s="192">
        <v>0</v>
      </c>
      <c r="T178" s="192">
        <v>0</v>
      </c>
      <c r="V178" s="192">
        <v>37098.442184</v>
      </c>
      <c r="W178" s="192">
        <v>12</v>
      </c>
      <c r="X178" s="192">
        <v>3091.5368486666698</v>
      </c>
      <c r="Z178" s="192">
        <v>3091.5368486666698</v>
      </c>
      <c r="AA178" s="192">
        <v>2972.91</v>
      </c>
      <c r="AB178" s="192">
        <v>118.626848666667</v>
      </c>
    </row>
    <row r="179" spans="1:28">
      <c r="A179" s="195"/>
      <c r="Z179" s="192">
        <v>8914137.5402293094</v>
      </c>
    </row>
    <row r="180" spans="1:28">
      <c r="Z180" s="192">
        <v>1553125.5702293101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796875" defaultRowHeight="20.149999999999999" customHeight="1"/>
  <cols>
    <col min="1" max="1" width="5.453125" style="45" customWidth="1"/>
    <col min="2" max="2" width="41.81640625" style="45" customWidth="1"/>
    <col min="3" max="3" width="41.26953125" style="45" customWidth="1"/>
    <col min="4" max="4" width="14.81640625" style="45" customWidth="1"/>
    <col min="5" max="5" width="18.54296875" style="45" customWidth="1"/>
    <col min="6" max="6" width="18.26953125" style="45" customWidth="1"/>
    <col min="7" max="7" width="19.7265625" style="45" customWidth="1"/>
    <col min="8" max="8" width="18.26953125" style="45" customWidth="1"/>
    <col min="9" max="16384" width="9.1796875" style="45"/>
  </cols>
  <sheetData>
    <row r="1" spans="1:12" ht="29.25" customHeight="1">
      <c r="B1" s="92"/>
      <c r="C1" s="92"/>
      <c r="D1" s="92"/>
      <c r="E1" s="92"/>
      <c r="L1" s="45" t="s">
        <v>1148</v>
      </c>
    </row>
    <row r="2" spans="1:12" ht="5.25" customHeight="1">
      <c r="F2" s="137"/>
      <c r="G2" s="137"/>
    </row>
    <row r="3" spans="1:12" ht="20.149999999999999" customHeight="1">
      <c r="A3" s="93"/>
      <c r="B3" s="800" t="s">
        <v>1149</v>
      </c>
      <c r="C3" s="800"/>
      <c r="D3" s="800"/>
      <c r="E3" s="94"/>
      <c r="F3" s="138"/>
      <c r="G3" s="138"/>
    </row>
    <row r="4" spans="1:12" ht="2.25" customHeight="1">
      <c r="A4" s="93"/>
      <c r="B4" s="93"/>
      <c r="C4" s="93"/>
      <c r="D4" s="93"/>
      <c r="E4" s="93"/>
      <c r="F4" s="139"/>
      <c r="G4" s="139"/>
    </row>
    <row r="5" spans="1:12" ht="20.149999999999999" customHeight="1">
      <c r="A5" s="93"/>
      <c r="B5" s="94" t="s">
        <v>2</v>
      </c>
      <c r="C5" s="97"/>
      <c r="D5" s="97"/>
      <c r="E5" s="97"/>
      <c r="F5" s="801"/>
      <c r="G5" s="801"/>
    </row>
    <row r="6" spans="1:12" ht="26.5" customHeight="1">
      <c r="A6" s="99"/>
      <c r="B6" s="100"/>
      <c r="C6" s="100" t="s">
        <v>3</v>
      </c>
      <c r="D6" s="100" t="s">
        <v>1150</v>
      </c>
      <c r="E6" s="100"/>
      <c r="F6" s="102"/>
      <c r="G6" s="102"/>
    </row>
    <row r="7" spans="1:12" ht="37.15" customHeight="1">
      <c r="A7" s="99"/>
      <c r="B7" s="125"/>
      <c r="C7" s="100"/>
      <c r="D7" s="100" t="s">
        <v>1151</v>
      </c>
      <c r="E7" s="103" t="s">
        <v>1152</v>
      </c>
      <c r="F7" s="103" t="s">
        <v>1153</v>
      </c>
      <c r="G7" s="101" t="s">
        <v>511</v>
      </c>
    </row>
    <row r="8" spans="1:12" ht="20.149999999999999" customHeight="1">
      <c r="A8" s="104" t="s">
        <v>21</v>
      </c>
      <c r="B8" s="161" t="s">
        <v>22</v>
      </c>
      <c r="C8" s="105"/>
      <c r="D8" s="105"/>
      <c r="E8" s="106" t="s">
        <v>20</v>
      </c>
      <c r="F8" s="106" t="s">
        <v>20</v>
      </c>
      <c r="G8" s="106" t="s">
        <v>20</v>
      </c>
    </row>
    <row r="9" spans="1:12" ht="20.149999999999999" customHeight="1">
      <c r="A9" s="107">
        <v>1</v>
      </c>
      <c r="B9" s="162" t="s">
        <v>236</v>
      </c>
      <c r="C9" s="110" t="s">
        <v>237</v>
      </c>
      <c r="D9" s="110" t="s">
        <v>238</v>
      </c>
      <c r="E9" s="163">
        <v>113176.97</v>
      </c>
      <c r="F9" s="111">
        <f>201165.84</f>
        <v>201165.84</v>
      </c>
      <c r="G9" s="111">
        <f>F9-E9</f>
        <v>87988.87</v>
      </c>
      <c r="H9" s="144"/>
    </row>
    <row r="10" spans="1:12" ht="20.149999999999999" customHeight="1">
      <c r="A10" s="107">
        <v>2</v>
      </c>
      <c r="B10" s="162" t="s">
        <v>1154</v>
      </c>
      <c r="C10" s="110" t="s">
        <v>1155</v>
      </c>
      <c r="D10" s="112" t="s">
        <v>297</v>
      </c>
      <c r="E10" s="164">
        <v>52776.63</v>
      </c>
      <c r="F10" s="111">
        <f>0</f>
        <v>0</v>
      </c>
      <c r="G10" s="111">
        <f t="shared" ref="G10:G75" si="0">F10-E10</f>
        <v>-52776.63</v>
      </c>
      <c r="H10" s="144"/>
    </row>
    <row r="11" spans="1:12" ht="20.149999999999999" customHeight="1">
      <c r="A11" s="107">
        <v>3</v>
      </c>
      <c r="B11" s="162" t="s">
        <v>1016</v>
      </c>
      <c r="C11" s="99" t="s">
        <v>1156</v>
      </c>
      <c r="D11" s="107" t="s">
        <v>308</v>
      </c>
      <c r="E11" s="164">
        <v>21618.09</v>
      </c>
      <c r="F11" s="111">
        <f>125875.96</f>
        <v>125875.96</v>
      </c>
      <c r="G11" s="111">
        <f t="shared" si="0"/>
        <v>104257.87</v>
      </c>
      <c r="H11" s="144"/>
    </row>
    <row r="12" spans="1:12" ht="20.149999999999999" customHeight="1">
      <c r="A12" s="107">
        <v>4</v>
      </c>
      <c r="B12" s="165" t="s">
        <v>1107</v>
      </c>
      <c r="C12" s="113" t="s">
        <v>1108</v>
      </c>
      <c r="D12" s="114" t="s">
        <v>308</v>
      </c>
      <c r="E12" s="166">
        <v>21618.09</v>
      </c>
      <c r="F12" s="111">
        <f>116473.51</f>
        <v>116473.51</v>
      </c>
      <c r="G12" s="111">
        <f t="shared" si="0"/>
        <v>94855.42</v>
      </c>
      <c r="H12" s="144"/>
    </row>
    <row r="13" spans="1:12" ht="20.149999999999999" customHeight="1">
      <c r="A13" s="107">
        <v>5</v>
      </c>
      <c r="B13" s="162" t="s">
        <v>239</v>
      </c>
      <c r="C13" s="110" t="s">
        <v>240</v>
      </c>
      <c r="D13" s="107" t="s">
        <v>1157</v>
      </c>
      <c r="E13" s="164">
        <v>21618.09</v>
      </c>
      <c r="F13" s="111">
        <f>79993.51</f>
        <v>79993.509999999995</v>
      </c>
      <c r="G13" s="111">
        <f t="shared" si="0"/>
        <v>58375.42</v>
      </c>
      <c r="H13" s="144"/>
    </row>
    <row r="14" spans="1:12" ht="20.149999999999999" customHeight="1">
      <c r="A14" s="107">
        <v>6</v>
      </c>
      <c r="B14" s="165" t="s">
        <v>241</v>
      </c>
      <c r="C14" s="99" t="s">
        <v>242</v>
      </c>
      <c r="D14" s="112" t="s">
        <v>952</v>
      </c>
      <c r="E14" s="164">
        <v>21618.09</v>
      </c>
      <c r="F14" s="111">
        <f>107095.69</f>
        <v>107095.69</v>
      </c>
      <c r="G14" s="111">
        <f t="shared" si="0"/>
        <v>85477.6</v>
      </c>
      <c r="H14" s="144"/>
    </row>
    <row r="15" spans="1:12" ht="20.149999999999999" customHeight="1">
      <c r="A15" s="107">
        <v>7</v>
      </c>
      <c r="B15" s="165" t="s">
        <v>363</v>
      </c>
      <c r="C15" s="99" t="s">
        <v>1158</v>
      </c>
      <c r="D15" s="117" t="s">
        <v>249</v>
      </c>
      <c r="E15" s="164">
        <v>15548.33</v>
      </c>
      <c r="F15" s="111">
        <f>83636.1</f>
        <v>83636.100000000006</v>
      </c>
      <c r="G15" s="111">
        <f t="shared" si="0"/>
        <v>68087.77</v>
      </c>
      <c r="H15" s="144"/>
    </row>
    <row r="16" spans="1:12" ht="20.149999999999999" customHeight="1">
      <c r="A16" s="107">
        <v>8</v>
      </c>
      <c r="B16" s="167" t="s">
        <v>243</v>
      </c>
      <c r="C16" s="16" t="s">
        <v>326</v>
      </c>
      <c r="D16" s="9" t="s">
        <v>249</v>
      </c>
      <c r="E16" s="168">
        <v>15548.33</v>
      </c>
      <c r="F16" s="71">
        <f>64436.1</f>
        <v>64436.1</v>
      </c>
      <c r="G16" s="111">
        <f t="shared" si="0"/>
        <v>48887.77</v>
      </c>
      <c r="H16" s="144"/>
    </row>
    <row r="17" spans="1:8" ht="20.149999999999999" customHeight="1">
      <c r="A17" s="107">
        <v>9</v>
      </c>
      <c r="B17" s="165" t="s">
        <v>245</v>
      </c>
      <c r="C17" s="99" t="s">
        <v>1159</v>
      </c>
      <c r="D17" s="107" t="s">
        <v>249</v>
      </c>
      <c r="E17" s="164">
        <v>15548.33</v>
      </c>
      <c r="F17" s="111">
        <f>64436.1</f>
        <v>64436.1</v>
      </c>
      <c r="G17" s="111">
        <f t="shared" si="0"/>
        <v>48887.77</v>
      </c>
      <c r="H17" s="144"/>
    </row>
    <row r="18" spans="1:8" ht="20.149999999999999" customHeight="1">
      <c r="A18" s="107">
        <v>10</v>
      </c>
      <c r="B18" s="169" t="s">
        <v>247</v>
      </c>
      <c r="C18" s="110" t="s">
        <v>1160</v>
      </c>
      <c r="D18" s="112" t="s">
        <v>249</v>
      </c>
      <c r="E18" s="164">
        <v>15548.33</v>
      </c>
      <c r="F18" s="111">
        <f>64436.1</f>
        <v>64436.1</v>
      </c>
      <c r="G18" s="111">
        <f t="shared" si="0"/>
        <v>48887.77</v>
      </c>
      <c r="H18" s="144"/>
    </row>
    <row r="19" spans="1:8" ht="20.149999999999999" customHeight="1">
      <c r="A19" s="107">
        <v>11</v>
      </c>
      <c r="B19" s="170" t="s">
        <v>223</v>
      </c>
      <c r="C19" s="110" t="s">
        <v>224</v>
      </c>
      <c r="D19" s="47" t="s">
        <v>952</v>
      </c>
      <c r="E19" s="171">
        <v>15548.33</v>
      </c>
      <c r="F19" s="111">
        <f>60212.92</f>
        <v>60212.92</v>
      </c>
      <c r="G19" s="111">
        <f t="shared" si="0"/>
        <v>44664.59</v>
      </c>
      <c r="H19" s="144"/>
    </row>
    <row r="20" spans="1:8" ht="20.149999999999999" customHeight="1">
      <c r="A20" s="107">
        <v>12</v>
      </c>
      <c r="B20" s="172" t="s">
        <v>1109</v>
      </c>
      <c r="C20" s="113" t="s">
        <v>1110</v>
      </c>
      <c r="D20" s="120" t="s">
        <v>342</v>
      </c>
      <c r="E20" s="166">
        <v>7709.76</v>
      </c>
      <c r="F20" s="115">
        <f>52638.9</f>
        <v>52638.9</v>
      </c>
      <c r="G20" s="111">
        <f t="shared" si="0"/>
        <v>44929.14</v>
      </c>
      <c r="H20" s="144"/>
    </row>
    <row r="21" spans="1:8" ht="19.5" customHeight="1">
      <c r="A21" s="107">
        <v>13</v>
      </c>
      <c r="B21" s="165" t="s">
        <v>1019</v>
      </c>
      <c r="C21" s="113" t="s">
        <v>253</v>
      </c>
      <c r="D21" s="107" t="s">
        <v>342</v>
      </c>
      <c r="E21" s="164">
        <v>7709.76</v>
      </c>
      <c r="F21" s="111">
        <f>43380</f>
        <v>43380</v>
      </c>
      <c r="G21" s="111">
        <f t="shared" si="0"/>
        <v>35670.239999999998</v>
      </c>
      <c r="H21" s="144"/>
    </row>
    <row r="22" spans="1:8" ht="19.5" customHeight="1">
      <c r="A22" s="107">
        <v>14</v>
      </c>
      <c r="B22" s="165" t="s">
        <v>1111</v>
      </c>
      <c r="C22" s="99" t="s">
        <v>1112</v>
      </c>
      <c r="D22" s="107" t="s">
        <v>342</v>
      </c>
      <c r="E22" s="164">
        <v>7709.76</v>
      </c>
      <c r="F22" s="111">
        <f>85278.9</f>
        <v>85278.9</v>
      </c>
      <c r="G22" s="111">
        <f t="shared" si="0"/>
        <v>77569.14</v>
      </c>
      <c r="H22" s="144"/>
    </row>
    <row r="23" spans="1:8" ht="20.149999999999999" customHeight="1">
      <c r="A23" s="107">
        <v>15</v>
      </c>
      <c r="B23" s="162" t="s">
        <v>252</v>
      </c>
      <c r="C23" s="113" t="s">
        <v>1161</v>
      </c>
      <c r="D23" s="112" t="s">
        <v>263</v>
      </c>
      <c r="E23" s="164">
        <v>7709.76</v>
      </c>
      <c r="F23" s="111">
        <f>42046.06</f>
        <v>42046.06</v>
      </c>
      <c r="G23" s="111">
        <f t="shared" si="0"/>
        <v>34336.300000000003</v>
      </c>
      <c r="H23" s="144"/>
    </row>
    <row r="24" spans="1:8" ht="20.149999999999999" customHeight="1">
      <c r="A24" s="107">
        <v>16</v>
      </c>
      <c r="B24" s="169" t="s">
        <v>340</v>
      </c>
      <c r="C24" s="99" t="s">
        <v>968</v>
      </c>
      <c r="D24" s="112" t="s">
        <v>950</v>
      </c>
      <c r="E24" s="164">
        <v>7709.76</v>
      </c>
      <c r="F24" s="111">
        <f>39478.93</f>
        <v>39478.93</v>
      </c>
      <c r="G24" s="111">
        <f t="shared" si="0"/>
        <v>31769.17</v>
      </c>
      <c r="H24" s="144"/>
    </row>
    <row r="25" spans="1:8" ht="20.149999999999999" customHeight="1">
      <c r="A25" s="107">
        <v>17</v>
      </c>
      <c r="B25" s="162" t="s">
        <v>264</v>
      </c>
      <c r="C25" s="110" t="s">
        <v>265</v>
      </c>
      <c r="D25" s="112" t="s">
        <v>1162</v>
      </c>
      <c r="E25" s="164">
        <v>7709.76</v>
      </c>
      <c r="F25" s="111">
        <f>46673.26</f>
        <v>46673.26</v>
      </c>
      <c r="G25" s="111">
        <f t="shared" si="0"/>
        <v>38963.5</v>
      </c>
      <c r="H25" s="144"/>
    </row>
    <row r="26" spans="1:8" ht="20.149999999999999" customHeight="1">
      <c r="A26" s="107">
        <v>18</v>
      </c>
      <c r="B26" s="170" t="s">
        <v>267</v>
      </c>
      <c r="C26" s="99" t="s">
        <v>268</v>
      </c>
      <c r="D26" s="112" t="s">
        <v>1163</v>
      </c>
      <c r="E26" s="164">
        <v>7709.76</v>
      </c>
      <c r="F26" s="111">
        <f>63364.81</f>
        <v>63364.81</v>
      </c>
      <c r="G26" s="111">
        <f t="shared" si="0"/>
        <v>55655.05</v>
      </c>
      <c r="H26" s="144"/>
    </row>
    <row r="27" spans="1:8" ht="20.149999999999999" customHeight="1">
      <c r="A27" s="107">
        <v>19</v>
      </c>
      <c r="B27" s="162" t="s">
        <v>389</v>
      </c>
      <c r="C27" s="110" t="s">
        <v>390</v>
      </c>
      <c r="D27" s="112" t="s">
        <v>332</v>
      </c>
      <c r="E27" s="164">
        <v>3369.51</v>
      </c>
      <c r="F27" s="111">
        <f>31848.56</f>
        <v>31848.560000000001</v>
      </c>
      <c r="G27" s="111">
        <f t="shared" si="0"/>
        <v>28479.05</v>
      </c>
      <c r="H27" s="144"/>
    </row>
    <row r="28" spans="1:8" ht="18.75" customHeight="1">
      <c r="A28" s="107">
        <v>20</v>
      </c>
      <c r="B28" s="162" t="s">
        <v>270</v>
      </c>
      <c r="C28" s="110" t="s">
        <v>1164</v>
      </c>
      <c r="D28" s="112" t="s">
        <v>432</v>
      </c>
      <c r="E28" s="164">
        <v>3369.51</v>
      </c>
      <c r="F28" s="111">
        <f>27873.08</f>
        <v>27873.08</v>
      </c>
      <c r="G28" s="111">
        <f t="shared" si="0"/>
        <v>24503.57</v>
      </c>
      <c r="H28" s="144"/>
    </row>
    <row r="29" spans="1:8" ht="18.75" customHeight="1">
      <c r="A29" s="107">
        <v>21</v>
      </c>
      <c r="B29" s="162" t="s">
        <v>387</v>
      </c>
      <c r="C29" s="99" t="s">
        <v>1165</v>
      </c>
      <c r="D29" s="112" t="s">
        <v>432</v>
      </c>
      <c r="E29" s="164">
        <v>3369.51</v>
      </c>
      <c r="F29" s="111">
        <f>27873.08</f>
        <v>27873.08</v>
      </c>
      <c r="G29" s="111">
        <f t="shared" si="0"/>
        <v>24503.57</v>
      </c>
      <c r="H29" s="144"/>
    </row>
    <row r="30" spans="1:8" ht="18.75" customHeight="1">
      <c r="A30" s="107">
        <v>22</v>
      </c>
      <c r="B30" s="170" t="s">
        <v>427</v>
      </c>
      <c r="C30" s="99" t="s">
        <v>1128</v>
      </c>
      <c r="D30" s="112" t="s">
        <v>345</v>
      </c>
      <c r="E30" s="164">
        <v>3369.51</v>
      </c>
      <c r="F30" s="111">
        <f>27105.99</f>
        <v>27105.99</v>
      </c>
      <c r="G30" s="111">
        <f t="shared" si="0"/>
        <v>23736.48</v>
      </c>
      <c r="H30" s="144"/>
    </row>
    <row r="31" spans="1:8" ht="18.75" customHeight="1">
      <c r="A31" s="107">
        <v>23</v>
      </c>
      <c r="B31" s="170" t="s">
        <v>1113</v>
      </c>
      <c r="C31" s="110" t="s">
        <v>293</v>
      </c>
      <c r="D31" s="112" t="s">
        <v>301</v>
      </c>
      <c r="E31" s="164">
        <v>1484.37</v>
      </c>
      <c r="F31" s="43">
        <f>26339.08</f>
        <v>26339.08</v>
      </c>
      <c r="G31" s="111">
        <f t="shared" si="0"/>
        <v>24854.71</v>
      </c>
      <c r="H31" s="144"/>
    </row>
    <row r="32" spans="1:8" ht="18.75" customHeight="1">
      <c r="A32" s="107">
        <v>24</v>
      </c>
      <c r="B32" s="45" t="s">
        <v>278</v>
      </c>
      <c r="C32" s="45" t="s">
        <v>176</v>
      </c>
      <c r="D32" s="107" t="s">
        <v>25</v>
      </c>
      <c r="E32" s="164">
        <v>3369.51</v>
      </c>
      <c r="F32" s="111">
        <f>21640.95</f>
        <v>21640.95</v>
      </c>
      <c r="G32" s="111">
        <f t="shared" si="0"/>
        <v>18271.439999999999</v>
      </c>
      <c r="H32" s="144"/>
    </row>
    <row r="33" spans="1:8" ht="18.75" customHeight="1">
      <c r="A33" s="107">
        <v>25</v>
      </c>
      <c r="B33" s="170" t="s">
        <v>280</v>
      </c>
      <c r="C33" s="110" t="s">
        <v>176</v>
      </c>
      <c r="D33" s="112" t="s">
        <v>1129</v>
      </c>
      <c r="E33" s="164">
        <v>1484.37</v>
      </c>
      <c r="F33" s="111">
        <f>18102.9</f>
        <v>18102.900000000001</v>
      </c>
      <c r="G33" s="111">
        <f t="shared" si="0"/>
        <v>16618.53</v>
      </c>
      <c r="H33" s="144"/>
    </row>
    <row r="34" spans="1:8" ht="18.75" customHeight="1">
      <c r="A34" s="107">
        <v>26</v>
      </c>
      <c r="B34" s="162" t="s">
        <v>1020</v>
      </c>
      <c r="C34" s="110" t="s">
        <v>967</v>
      </c>
      <c r="D34" s="112" t="s">
        <v>945</v>
      </c>
      <c r="E34" s="164">
        <v>1484.37</v>
      </c>
      <c r="F34" s="111">
        <f>18102.9</f>
        <v>18102.900000000001</v>
      </c>
      <c r="G34" s="111">
        <f t="shared" si="0"/>
        <v>16618.53</v>
      </c>
      <c r="H34" s="144"/>
    </row>
    <row r="35" spans="1:8" ht="18.75" customHeight="1">
      <c r="A35" s="107">
        <v>27</v>
      </c>
      <c r="B35" s="170" t="s">
        <v>282</v>
      </c>
      <c r="C35" s="110" t="s">
        <v>967</v>
      </c>
      <c r="D35" s="112" t="s">
        <v>1166</v>
      </c>
      <c r="E35" s="164">
        <v>1484.37</v>
      </c>
      <c r="F35" s="111">
        <f>17572.89</f>
        <v>17572.89</v>
      </c>
      <c r="G35" s="111">
        <f t="shared" si="0"/>
        <v>16088.52</v>
      </c>
      <c r="H35" s="144"/>
    </row>
    <row r="36" spans="1:8" ht="18.75" customHeight="1">
      <c r="A36" s="107">
        <v>28</v>
      </c>
      <c r="B36" s="167" t="s">
        <v>370</v>
      </c>
      <c r="C36" s="16" t="s">
        <v>1130</v>
      </c>
      <c r="D36" s="112" t="s">
        <v>291</v>
      </c>
      <c r="E36" s="164">
        <v>1484.37</v>
      </c>
      <c r="F36" s="43">
        <f>17572.89</f>
        <v>17572.89</v>
      </c>
      <c r="G36" s="111">
        <f t="shared" si="0"/>
        <v>16088.52</v>
      </c>
      <c r="H36" s="144"/>
    </row>
    <row r="37" spans="1:8" ht="18.75" customHeight="1">
      <c r="A37" s="107">
        <v>29</v>
      </c>
      <c r="B37" s="170" t="s">
        <v>284</v>
      </c>
      <c r="C37" s="99" t="s">
        <v>1022</v>
      </c>
      <c r="D37" s="107" t="s">
        <v>291</v>
      </c>
      <c r="E37" s="164">
        <v>1484.37</v>
      </c>
      <c r="F37" s="111">
        <f>17572.89</f>
        <v>17572.89</v>
      </c>
      <c r="G37" s="111">
        <f t="shared" si="0"/>
        <v>16088.52</v>
      </c>
      <c r="H37" s="144"/>
    </row>
    <row r="38" spans="1:8" ht="18.75" customHeight="1">
      <c r="A38" s="107">
        <v>30</v>
      </c>
      <c r="B38" s="173" t="s">
        <v>287</v>
      </c>
      <c r="C38" s="16" t="s">
        <v>288</v>
      </c>
      <c r="D38" s="112" t="s">
        <v>31</v>
      </c>
      <c r="E38" s="164">
        <v>1484.37</v>
      </c>
      <c r="F38" s="43">
        <f>16512.68</f>
        <v>16512.68</v>
      </c>
      <c r="G38" s="111">
        <f t="shared" si="0"/>
        <v>15028.31</v>
      </c>
      <c r="H38" s="144"/>
    </row>
    <row r="39" spans="1:8" ht="18.75" customHeight="1">
      <c r="A39" s="107">
        <v>31</v>
      </c>
      <c r="B39" s="173" t="s">
        <v>1167</v>
      </c>
      <c r="C39" s="16" t="s">
        <v>288</v>
      </c>
      <c r="D39" s="112" t="s">
        <v>31</v>
      </c>
      <c r="E39" s="164">
        <v>1484.37</v>
      </c>
      <c r="F39" s="43">
        <f>16512.68</f>
        <v>16512.68</v>
      </c>
      <c r="G39" s="111">
        <f t="shared" si="0"/>
        <v>15028.31</v>
      </c>
      <c r="H39" s="144"/>
    </row>
    <row r="40" spans="1:8" ht="18.75" customHeight="1">
      <c r="A40" s="107">
        <v>32</v>
      </c>
      <c r="B40" s="170" t="s">
        <v>289</v>
      </c>
      <c r="C40" s="99" t="s">
        <v>1131</v>
      </c>
      <c r="D40" s="107" t="s">
        <v>31</v>
      </c>
      <c r="E40" s="164">
        <v>1484.37</v>
      </c>
      <c r="F40" s="111">
        <f>16512.68</f>
        <v>16512.68</v>
      </c>
      <c r="G40" s="111">
        <f t="shared" si="0"/>
        <v>15028.31</v>
      </c>
      <c r="H40" s="144"/>
    </row>
    <row r="41" spans="1:8" ht="18.75" customHeight="1">
      <c r="A41" s="107">
        <v>33</v>
      </c>
      <c r="B41" s="170" t="s">
        <v>933</v>
      </c>
      <c r="C41" s="110" t="s">
        <v>293</v>
      </c>
      <c r="D41" s="112" t="s">
        <v>31</v>
      </c>
      <c r="E41" s="164">
        <v>1484.37</v>
      </c>
      <c r="F41" s="43">
        <f>16512.68</f>
        <v>16512.68</v>
      </c>
      <c r="G41" s="111">
        <f t="shared" si="0"/>
        <v>15028.31</v>
      </c>
      <c r="H41" s="144"/>
    </row>
    <row r="42" spans="1:8" ht="18.75" customHeight="1">
      <c r="A42" s="107">
        <v>34</v>
      </c>
      <c r="B42" s="170" t="s">
        <v>1114</v>
      </c>
      <c r="C42" s="110" t="s">
        <v>293</v>
      </c>
      <c r="D42" s="112" t="s">
        <v>31</v>
      </c>
      <c r="E42" s="164">
        <v>0</v>
      </c>
      <c r="F42" s="43">
        <f>16512.68</f>
        <v>16512.68</v>
      </c>
      <c r="G42" s="111">
        <f t="shared" ref="G42" si="1">F42-E42</f>
        <v>16512.68</v>
      </c>
      <c r="H42" s="144"/>
    </row>
    <row r="43" spans="1:8" ht="26.25" customHeight="1">
      <c r="A43" s="107"/>
      <c r="B43" s="174" t="s">
        <v>34</v>
      </c>
      <c r="C43" s="102">
        <v>33</v>
      </c>
      <c r="D43" s="112"/>
      <c r="E43" s="175">
        <f>SUM(E9:E42)</f>
        <v>415827.18</v>
      </c>
      <c r="F43" s="123">
        <f>SUM(F9:F41)</f>
        <v>1658278.62</v>
      </c>
      <c r="G43" s="141">
        <f t="shared" si="0"/>
        <v>1242451.44</v>
      </c>
      <c r="H43" s="144"/>
    </row>
    <row r="44" spans="1:8" ht="18.75" customHeight="1">
      <c r="A44" s="107"/>
      <c r="B44" s="176"/>
      <c r="C44" s="99"/>
      <c r="D44" s="112"/>
      <c r="E44" s="164"/>
      <c r="F44" s="123"/>
      <c r="G44" s="111">
        <f t="shared" si="0"/>
        <v>0</v>
      </c>
    </row>
    <row r="45" spans="1:8" ht="18.75" customHeight="1">
      <c r="A45" s="107"/>
      <c r="B45" s="174" t="s">
        <v>35</v>
      </c>
      <c r="C45" s="99"/>
      <c r="D45" s="112"/>
      <c r="E45" s="164"/>
      <c r="F45" s="111"/>
      <c r="G45" s="111">
        <f t="shared" si="0"/>
        <v>0</v>
      </c>
    </row>
    <row r="46" spans="1:8" ht="18.75" customHeight="1">
      <c r="A46" s="107">
        <v>1</v>
      </c>
      <c r="B46" s="170" t="s">
        <v>295</v>
      </c>
      <c r="C46" s="99" t="s">
        <v>296</v>
      </c>
      <c r="D46" s="107" t="s">
        <v>1168</v>
      </c>
      <c r="E46" s="164">
        <v>52776.63</v>
      </c>
      <c r="F46" s="111">
        <f>156349.82</f>
        <v>156349.82</v>
      </c>
      <c r="G46" s="111">
        <f t="shared" si="0"/>
        <v>103573.19</v>
      </c>
    </row>
    <row r="47" spans="1:8" ht="18.75" customHeight="1">
      <c r="A47" s="107">
        <v>2</v>
      </c>
      <c r="B47" s="170" t="s">
        <v>298</v>
      </c>
      <c r="C47" s="99" t="s">
        <v>537</v>
      </c>
      <c r="D47" s="107" t="s">
        <v>31</v>
      </c>
      <c r="E47" s="164">
        <v>1484.37</v>
      </c>
      <c r="F47" s="111">
        <f>16512.68</f>
        <v>16512.68</v>
      </c>
      <c r="G47" s="111">
        <f t="shared" si="0"/>
        <v>15028.31</v>
      </c>
    </row>
    <row r="48" spans="1:8" ht="19.5" customHeight="1">
      <c r="A48" s="107"/>
      <c r="B48" s="177"/>
      <c r="C48" s="102">
        <v>2</v>
      </c>
      <c r="D48" s="107"/>
      <c r="E48" s="175">
        <v>54261</v>
      </c>
      <c r="F48" s="123">
        <f>SUM(F46:F47)</f>
        <v>172862.5</v>
      </c>
      <c r="G48" s="141">
        <f t="shared" si="0"/>
        <v>118601.5</v>
      </c>
      <c r="H48" s="178"/>
    </row>
    <row r="49" spans="1:8" ht="20.149999999999999" customHeight="1">
      <c r="A49" s="107"/>
      <c r="B49" s="165"/>
      <c r="C49" s="99"/>
      <c r="D49" s="107"/>
      <c r="E49" s="164"/>
      <c r="F49" s="123"/>
      <c r="G49" s="111">
        <f t="shared" si="0"/>
        <v>0</v>
      </c>
      <c r="H49" s="93"/>
    </row>
    <row r="50" spans="1:8" ht="20.149999999999999" customHeight="1">
      <c r="A50" s="107"/>
      <c r="B50" s="179" t="s">
        <v>39</v>
      </c>
      <c r="C50" s="126"/>
      <c r="D50" s="101"/>
      <c r="E50" s="180"/>
      <c r="F50" s="111"/>
      <c r="G50" s="111">
        <f t="shared" si="0"/>
        <v>0</v>
      </c>
    </row>
    <row r="51" spans="1:8" ht="20.149999999999999" customHeight="1">
      <c r="A51" s="107">
        <v>1</v>
      </c>
      <c r="B51" s="162" t="s">
        <v>302</v>
      </c>
      <c r="C51" s="99" t="s">
        <v>303</v>
      </c>
      <c r="D51" s="107" t="s">
        <v>297</v>
      </c>
      <c r="E51" s="164">
        <v>52776.63</v>
      </c>
      <c r="F51" s="111">
        <f>180306.81</f>
        <v>180306.81</v>
      </c>
      <c r="G51" s="111">
        <f t="shared" si="0"/>
        <v>127530.18</v>
      </c>
    </row>
    <row r="52" spans="1:8" ht="20.149999999999999" customHeight="1">
      <c r="A52" s="107">
        <v>2</v>
      </c>
      <c r="B52" s="162" t="s">
        <v>304</v>
      </c>
      <c r="C52" s="99" t="s">
        <v>305</v>
      </c>
      <c r="D52" s="107" t="s">
        <v>249</v>
      </c>
      <c r="E52" s="164">
        <v>15548.33</v>
      </c>
      <c r="F52" s="111">
        <f>79956.94</f>
        <v>79956.94</v>
      </c>
      <c r="G52" s="111">
        <f t="shared" si="0"/>
        <v>64408.61</v>
      </c>
    </row>
    <row r="53" spans="1:8" ht="20.149999999999999" customHeight="1">
      <c r="A53" s="107">
        <v>3</v>
      </c>
      <c r="B53" s="162" t="s">
        <v>306</v>
      </c>
      <c r="C53" s="99" t="s">
        <v>310</v>
      </c>
      <c r="D53" s="107" t="s">
        <v>249</v>
      </c>
      <c r="E53" s="164">
        <v>15548.33</v>
      </c>
      <c r="F53" s="111">
        <f>79956.94</f>
        <v>79956.94</v>
      </c>
      <c r="G53" s="111">
        <f t="shared" si="0"/>
        <v>64408.61</v>
      </c>
    </row>
    <row r="54" spans="1:8" ht="20.149999999999999" customHeight="1">
      <c r="A54" s="107">
        <v>4</v>
      </c>
      <c r="B54" s="162" t="s">
        <v>309</v>
      </c>
      <c r="C54" s="99" t="s">
        <v>310</v>
      </c>
      <c r="D54" s="107" t="s">
        <v>327</v>
      </c>
      <c r="E54" s="164">
        <v>15548.33</v>
      </c>
      <c r="F54" s="111">
        <f>77764.98</f>
        <v>77764.98</v>
      </c>
      <c r="G54" s="111">
        <f t="shared" si="0"/>
        <v>62216.65</v>
      </c>
    </row>
    <row r="55" spans="1:8" ht="20.149999999999999" customHeight="1">
      <c r="A55" s="107">
        <v>5</v>
      </c>
      <c r="B55" s="162" t="s">
        <v>311</v>
      </c>
      <c r="C55" s="99" t="s">
        <v>259</v>
      </c>
      <c r="D55" s="107" t="s">
        <v>254</v>
      </c>
      <c r="E55" s="164">
        <v>7709.76</v>
      </c>
      <c r="F55" s="111">
        <f>59437.57</f>
        <v>59437.57</v>
      </c>
      <c r="G55" s="111">
        <f t="shared" si="0"/>
        <v>51727.81</v>
      </c>
    </row>
    <row r="56" spans="1:8" ht="20.149999999999999" customHeight="1">
      <c r="A56" s="107">
        <v>6</v>
      </c>
      <c r="B56" s="162" t="s">
        <v>312</v>
      </c>
      <c r="C56" s="99" t="s">
        <v>259</v>
      </c>
      <c r="D56" s="107" t="s">
        <v>342</v>
      </c>
      <c r="E56" s="164">
        <v>7709.76</v>
      </c>
      <c r="F56" s="111">
        <f>56478.9</f>
        <v>56478.9</v>
      </c>
      <c r="G56" s="111">
        <f t="shared" si="0"/>
        <v>48769.14</v>
      </c>
    </row>
    <row r="57" spans="1:8" ht="20.149999999999999" customHeight="1">
      <c r="A57" s="107">
        <v>7</v>
      </c>
      <c r="B57" s="181" t="s">
        <v>313</v>
      </c>
      <c r="C57" s="99" t="s">
        <v>256</v>
      </c>
      <c r="D57" s="15" t="s">
        <v>342</v>
      </c>
      <c r="E57" s="168">
        <v>7709.76</v>
      </c>
      <c r="F57" s="71">
        <f>56478.9</f>
        <v>56478.9</v>
      </c>
      <c r="G57" s="111">
        <f t="shared" si="0"/>
        <v>48769.14</v>
      </c>
    </row>
    <row r="58" spans="1:8" ht="20.149999999999999" customHeight="1">
      <c r="A58" s="107">
        <v>8</v>
      </c>
      <c r="B58" s="162" t="s">
        <v>1025</v>
      </c>
      <c r="C58" s="99" t="s">
        <v>47</v>
      </c>
      <c r="D58" s="107" t="s">
        <v>266</v>
      </c>
      <c r="E58" s="164">
        <v>7709.76</v>
      </c>
      <c r="F58" s="111">
        <f>49548.78</f>
        <v>49548.78</v>
      </c>
      <c r="G58" s="111">
        <f t="shared" si="0"/>
        <v>41839.019999999997</v>
      </c>
    </row>
    <row r="59" spans="1:8" ht="20.149999999999999" customHeight="1">
      <c r="A59" s="107">
        <v>9</v>
      </c>
      <c r="B59" s="167" t="s">
        <v>258</v>
      </c>
      <c r="C59" s="99" t="s">
        <v>353</v>
      </c>
      <c r="D59" s="9" t="s">
        <v>950</v>
      </c>
      <c r="E59" s="168">
        <v>7709.76</v>
      </c>
      <c r="F59" s="71">
        <f>48052.11</f>
        <v>48052.11</v>
      </c>
      <c r="G59" s="111">
        <f t="shared" si="0"/>
        <v>40342.35</v>
      </c>
    </row>
    <row r="60" spans="1:8" ht="20.149999999999999" customHeight="1">
      <c r="A60" s="107">
        <v>10</v>
      </c>
      <c r="B60" s="167" t="s">
        <v>315</v>
      </c>
      <c r="C60" s="99" t="s">
        <v>63</v>
      </c>
      <c r="D60" s="107" t="s">
        <v>25</v>
      </c>
      <c r="E60" s="164">
        <v>3369.51</v>
      </c>
      <c r="F60" s="111">
        <f>28360.95</f>
        <v>28360.95</v>
      </c>
      <c r="G60" s="111">
        <f t="shared" si="0"/>
        <v>24991.439999999999</v>
      </c>
    </row>
    <row r="61" spans="1:8" ht="20.149999999999999" customHeight="1">
      <c r="A61" s="107">
        <v>11</v>
      </c>
      <c r="B61" s="167" t="s">
        <v>316</v>
      </c>
      <c r="C61" s="99" t="s">
        <v>63</v>
      </c>
      <c r="D61" s="107" t="s">
        <v>25</v>
      </c>
      <c r="E61" s="164">
        <v>3369.51</v>
      </c>
      <c r="F61" s="111">
        <f>28360.95</f>
        <v>28360.95</v>
      </c>
      <c r="G61" s="111">
        <f t="shared" si="0"/>
        <v>24991.439999999999</v>
      </c>
    </row>
    <row r="62" spans="1:8" ht="20.149999999999999" customHeight="1">
      <c r="A62" s="107">
        <v>12</v>
      </c>
      <c r="B62" s="167" t="s">
        <v>317</v>
      </c>
      <c r="C62" s="99" t="s">
        <v>63</v>
      </c>
      <c r="D62" s="107" t="s">
        <v>25</v>
      </c>
      <c r="E62" s="164">
        <v>0</v>
      </c>
      <c r="F62" s="111">
        <f>28360.95*23/31</f>
        <v>21041.995161290299</v>
      </c>
      <c r="G62" s="111">
        <f t="shared" ref="G62" si="2">F62-E62</f>
        <v>21041.995161290299</v>
      </c>
    </row>
    <row r="63" spans="1:8" ht="25.5" customHeight="1">
      <c r="A63" s="107"/>
      <c r="B63" s="182" t="s">
        <v>34</v>
      </c>
      <c r="C63" s="20">
        <v>11</v>
      </c>
      <c r="D63" s="20"/>
      <c r="E63" s="183">
        <f>SUM(E51:E62)</f>
        <v>144709.44</v>
      </c>
      <c r="F63" s="183">
        <f t="shared" ref="F63:G63" si="3">SUM(F51:F62)</f>
        <v>765745.82516129001</v>
      </c>
      <c r="G63" s="183">
        <f t="shared" si="3"/>
        <v>621036.38516128995</v>
      </c>
      <c r="H63" s="178"/>
    </row>
    <row r="64" spans="1:8" ht="20.149999999999999" customHeight="1">
      <c r="A64" s="107"/>
      <c r="B64" s="21"/>
      <c r="C64" s="20"/>
      <c r="D64" s="20"/>
      <c r="E64" s="183"/>
      <c r="F64" s="133"/>
      <c r="G64" s="111">
        <f t="shared" si="0"/>
        <v>0</v>
      </c>
    </row>
    <row r="65" spans="1:8" ht="20.149999999999999" customHeight="1">
      <c r="A65" s="107"/>
      <c r="B65" s="182" t="s">
        <v>318</v>
      </c>
      <c r="C65" s="20"/>
      <c r="D65" s="20"/>
      <c r="E65" s="183"/>
      <c r="F65" s="133"/>
      <c r="G65" s="111">
        <f t="shared" si="0"/>
        <v>0</v>
      </c>
    </row>
    <row r="66" spans="1:8" ht="20.149999999999999" customHeight="1">
      <c r="A66" s="107">
        <v>1</v>
      </c>
      <c r="B66" s="162" t="s">
        <v>319</v>
      </c>
      <c r="C66" s="110" t="s">
        <v>320</v>
      </c>
      <c r="D66" s="112" t="s">
        <v>297</v>
      </c>
      <c r="E66" s="164">
        <v>52776.63</v>
      </c>
      <c r="F66" s="111">
        <f>180306.81</f>
        <v>180306.81</v>
      </c>
      <c r="G66" s="111">
        <f t="shared" si="0"/>
        <v>127530.18</v>
      </c>
    </row>
    <row r="67" spans="1:8" ht="20.149999999999999" customHeight="1">
      <c r="A67" s="107">
        <v>2</v>
      </c>
      <c r="B67" s="170" t="s">
        <v>321</v>
      </c>
      <c r="C67" s="110" t="s">
        <v>322</v>
      </c>
      <c r="D67" s="112" t="s">
        <v>222</v>
      </c>
      <c r="E67" s="164">
        <v>15548.33</v>
      </c>
      <c r="F67" s="111">
        <f>62404.98</f>
        <v>62404.98</v>
      </c>
      <c r="G67" s="111">
        <f t="shared" si="0"/>
        <v>46856.65</v>
      </c>
    </row>
    <row r="68" spans="1:8" ht="20.149999999999999" customHeight="1">
      <c r="A68" s="107"/>
      <c r="B68" s="182" t="s">
        <v>34</v>
      </c>
      <c r="C68" s="20">
        <v>2</v>
      </c>
      <c r="D68" s="20"/>
      <c r="E68" s="183">
        <v>68324.960000000006</v>
      </c>
      <c r="F68" s="79">
        <f t="shared" ref="F68" si="4">SUM(F66:F67)</f>
        <v>242711.79</v>
      </c>
      <c r="G68" s="111">
        <f t="shared" si="0"/>
        <v>174386.83</v>
      </c>
      <c r="H68" s="178"/>
    </row>
    <row r="69" spans="1:8" ht="20.149999999999999" customHeight="1">
      <c r="A69" s="107"/>
      <c r="B69" s="182"/>
      <c r="C69" s="20"/>
      <c r="D69" s="20"/>
      <c r="E69" s="183"/>
      <c r="F69" s="133"/>
      <c r="G69" s="111">
        <f t="shared" si="0"/>
        <v>0</v>
      </c>
    </row>
    <row r="70" spans="1:8" ht="20.149999999999999" customHeight="1">
      <c r="A70" s="107"/>
      <c r="B70" s="182" t="s">
        <v>1169</v>
      </c>
      <c r="C70" s="20"/>
      <c r="D70" s="20"/>
      <c r="E70" s="183"/>
      <c r="F70" s="133"/>
      <c r="G70" s="111">
        <f t="shared" si="0"/>
        <v>0</v>
      </c>
    </row>
    <row r="71" spans="1:8" ht="20.149999999999999" customHeight="1">
      <c r="A71" s="107">
        <v>1</v>
      </c>
      <c r="B71" s="167" t="s">
        <v>323</v>
      </c>
      <c r="C71" s="16" t="s">
        <v>324</v>
      </c>
      <c r="D71" s="9" t="s">
        <v>297</v>
      </c>
      <c r="E71" s="168">
        <v>52776.63</v>
      </c>
      <c r="F71" s="71">
        <f>180306.81</f>
        <v>180306.81</v>
      </c>
      <c r="G71" s="111">
        <f t="shared" si="0"/>
        <v>127530.18</v>
      </c>
    </row>
    <row r="72" spans="1:8" ht="20.149999999999999" customHeight="1">
      <c r="A72" s="107">
        <v>2</v>
      </c>
      <c r="B72" s="173" t="s">
        <v>325</v>
      </c>
      <c r="C72" s="16" t="s">
        <v>326</v>
      </c>
      <c r="D72" s="112" t="s">
        <v>952</v>
      </c>
      <c r="E72" s="164">
        <v>15548.33</v>
      </c>
      <c r="F72" s="111">
        <v>75572.92</v>
      </c>
      <c r="G72" s="111">
        <f t="shared" si="0"/>
        <v>60024.59</v>
      </c>
    </row>
    <row r="73" spans="1:8" ht="20.149999999999999" customHeight="1">
      <c r="A73" s="107">
        <v>3</v>
      </c>
      <c r="B73" s="167" t="s">
        <v>328</v>
      </c>
      <c r="C73" s="99" t="s">
        <v>47</v>
      </c>
      <c r="D73" s="9" t="s">
        <v>950</v>
      </c>
      <c r="E73" s="168">
        <v>7709.76</v>
      </c>
      <c r="F73" s="71">
        <f>48170.87</f>
        <v>48170.87</v>
      </c>
      <c r="G73" s="111">
        <f t="shared" si="0"/>
        <v>40461.11</v>
      </c>
    </row>
    <row r="74" spans="1:8" ht="20.149999999999999" customHeight="1">
      <c r="A74" s="107">
        <v>4</v>
      </c>
      <c r="B74" s="173" t="s">
        <v>329</v>
      </c>
      <c r="C74" s="16" t="s">
        <v>47</v>
      </c>
      <c r="D74" s="112" t="s">
        <v>1162</v>
      </c>
      <c r="E74" s="164">
        <v>7709.76</v>
      </c>
      <c r="F74" s="111">
        <f>46673.26</f>
        <v>46673.26</v>
      </c>
      <c r="G74" s="111">
        <f t="shared" si="0"/>
        <v>38963.5</v>
      </c>
    </row>
    <row r="75" spans="1:8" ht="20.149999999999999" customHeight="1">
      <c r="A75" s="107">
        <v>5</v>
      </c>
      <c r="B75" s="165" t="s">
        <v>330</v>
      </c>
      <c r="C75" s="16" t="s">
        <v>256</v>
      </c>
      <c r="D75" s="112" t="s">
        <v>342</v>
      </c>
      <c r="E75" s="164">
        <v>7709.76</v>
      </c>
      <c r="F75" s="111">
        <v>56478.9</v>
      </c>
      <c r="G75" s="111">
        <f t="shared" si="0"/>
        <v>48769.14</v>
      </c>
    </row>
    <row r="76" spans="1:8" ht="20.149999999999999" customHeight="1">
      <c r="A76" s="107">
        <v>6</v>
      </c>
      <c r="B76" s="167" t="s">
        <v>331</v>
      </c>
      <c r="C76" s="3" t="s">
        <v>63</v>
      </c>
      <c r="D76" s="9" t="s">
        <v>1170</v>
      </c>
      <c r="E76" s="168">
        <v>3369.51</v>
      </c>
      <c r="F76" s="71">
        <v>36127.269999999997</v>
      </c>
      <c r="G76" s="111">
        <f t="shared" ref="G76:G139" si="5">F76-E76</f>
        <v>32757.759999999998</v>
      </c>
    </row>
    <row r="77" spans="1:8" ht="20.149999999999999" customHeight="1">
      <c r="A77" s="107">
        <v>7</v>
      </c>
      <c r="B77" s="169" t="s">
        <v>1033</v>
      </c>
      <c r="C77" s="16" t="s">
        <v>275</v>
      </c>
      <c r="D77" s="112" t="s">
        <v>332</v>
      </c>
      <c r="E77" s="164">
        <v>3369.51</v>
      </c>
      <c r="F77" s="111">
        <v>41248.559999999998</v>
      </c>
      <c r="G77" s="111">
        <f t="shared" si="5"/>
        <v>37879.050000000003</v>
      </c>
    </row>
    <row r="78" spans="1:8" ht="20.149999999999999" customHeight="1">
      <c r="A78" s="107">
        <v>8</v>
      </c>
      <c r="B78" s="162" t="s">
        <v>333</v>
      </c>
      <c r="C78" s="16" t="s">
        <v>275</v>
      </c>
      <c r="D78" s="112" t="s">
        <v>42</v>
      </c>
      <c r="E78" s="164">
        <v>3369.51</v>
      </c>
      <c r="F78" s="111">
        <f>40149.18</f>
        <v>40149.18</v>
      </c>
      <c r="G78" s="111">
        <f t="shared" si="5"/>
        <v>36779.67</v>
      </c>
    </row>
    <row r="79" spans="1:8" ht="20.149999999999999" customHeight="1">
      <c r="A79" s="107">
        <v>9</v>
      </c>
      <c r="B79" s="162" t="s">
        <v>334</v>
      </c>
      <c r="C79" s="16" t="s">
        <v>275</v>
      </c>
      <c r="D79" s="112" t="s">
        <v>42</v>
      </c>
      <c r="E79" s="164">
        <v>3369.51</v>
      </c>
      <c r="F79" s="111">
        <f>40149.18</f>
        <v>40149.18</v>
      </c>
      <c r="G79" s="111">
        <f t="shared" si="5"/>
        <v>36779.67</v>
      </c>
    </row>
    <row r="80" spans="1:8" ht="20.149999999999999" customHeight="1">
      <c r="A80" s="107">
        <v>10</v>
      </c>
      <c r="B80" s="162" t="s">
        <v>335</v>
      </c>
      <c r="C80" s="99" t="s">
        <v>344</v>
      </c>
      <c r="D80" s="107" t="s">
        <v>432</v>
      </c>
      <c r="E80" s="164">
        <v>3369.51</v>
      </c>
      <c r="F80" s="111">
        <f>34593.08</f>
        <v>34593.08</v>
      </c>
      <c r="G80" s="111">
        <f t="shared" si="5"/>
        <v>31223.57</v>
      </c>
    </row>
    <row r="81" spans="1:8" ht="20.149999999999999" customHeight="1">
      <c r="A81" s="107">
        <v>11</v>
      </c>
      <c r="B81" s="167" t="s">
        <v>1115</v>
      </c>
      <c r="C81" s="16" t="s">
        <v>63</v>
      </c>
      <c r="D81" s="107" t="s">
        <v>38</v>
      </c>
      <c r="E81" s="164">
        <v>3369.51</v>
      </c>
      <c r="F81" s="111">
        <f>32291.82</f>
        <v>32291.82</v>
      </c>
      <c r="G81" s="111">
        <f t="shared" si="5"/>
        <v>28922.31</v>
      </c>
    </row>
    <row r="82" spans="1:8" ht="20.149999999999999" customHeight="1">
      <c r="A82" s="107">
        <v>12</v>
      </c>
      <c r="B82" s="167" t="s">
        <v>281</v>
      </c>
      <c r="C82" s="16" t="s">
        <v>273</v>
      </c>
      <c r="D82" s="107" t="s">
        <v>25</v>
      </c>
      <c r="E82" s="164">
        <v>1484.37</v>
      </c>
      <c r="F82" s="111">
        <f>24685.95</f>
        <v>24685.95</v>
      </c>
      <c r="G82" s="111">
        <f t="shared" si="5"/>
        <v>23201.58</v>
      </c>
    </row>
    <row r="83" spans="1:8" ht="20.149999999999999" customHeight="1">
      <c r="A83" s="107">
        <v>13</v>
      </c>
      <c r="B83" s="165" t="s">
        <v>272</v>
      </c>
      <c r="C83" s="16" t="s">
        <v>273</v>
      </c>
      <c r="D83" s="107" t="s">
        <v>31</v>
      </c>
      <c r="E83" s="164">
        <v>1484.37</v>
      </c>
      <c r="F83" s="111">
        <f>24685.95</f>
        <v>24685.95</v>
      </c>
      <c r="G83" s="111">
        <f t="shared" si="5"/>
        <v>23201.58</v>
      </c>
    </row>
    <row r="84" spans="1:8" ht="20.149999999999999" customHeight="1">
      <c r="A84" s="107"/>
      <c r="B84" s="182" t="s">
        <v>34</v>
      </c>
      <c r="C84" s="20">
        <v>13</v>
      </c>
      <c r="D84" s="20"/>
      <c r="E84" s="183">
        <v>114640.04</v>
      </c>
      <c r="F84" s="79">
        <f t="shared" ref="F84" si="6">SUM(F71:F83)</f>
        <v>681133.75</v>
      </c>
      <c r="G84" s="141">
        <f t="shared" si="5"/>
        <v>566493.71</v>
      </c>
      <c r="H84" s="178"/>
    </row>
    <row r="85" spans="1:8" ht="20.149999999999999" customHeight="1">
      <c r="A85" s="107"/>
      <c r="B85" s="184"/>
      <c r="C85" s="20"/>
      <c r="D85" s="20"/>
      <c r="E85" s="183"/>
      <c r="F85" s="133"/>
      <c r="G85" s="111">
        <f t="shared" si="5"/>
        <v>0</v>
      </c>
    </row>
    <row r="86" spans="1:8" ht="20.149999999999999" customHeight="1">
      <c r="A86" s="107"/>
      <c r="B86" s="182" t="s">
        <v>1171</v>
      </c>
      <c r="C86" s="20"/>
      <c r="D86" s="20"/>
      <c r="E86" s="183"/>
      <c r="F86" s="133"/>
      <c r="G86" s="111">
        <f t="shared" si="5"/>
        <v>0</v>
      </c>
    </row>
    <row r="87" spans="1:8" ht="20.149999999999999" customHeight="1">
      <c r="A87" s="107">
        <v>1</v>
      </c>
      <c r="B87" s="162" t="s">
        <v>338</v>
      </c>
      <c r="C87" s="99" t="s">
        <v>339</v>
      </c>
      <c r="D87" s="107" t="s">
        <v>297</v>
      </c>
      <c r="E87" s="164">
        <v>52776.63</v>
      </c>
      <c r="F87" s="111">
        <f>180306.81</f>
        <v>180306.81</v>
      </c>
      <c r="G87" s="111">
        <f t="shared" si="5"/>
        <v>127530.18</v>
      </c>
    </row>
    <row r="88" spans="1:8" ht="20.149999999999999" customHeight="1">
      <c r="A88" s="107">
        <v>2</v>
      </c>
      <c r="B88" s="185" t="s">
        <v>220</v>
      </c>
      <c r="C88" s="45" t="s">
        <v>221</v>
      </c>
      <c r="D88" s="112" t="s">
        <v>952</v>
      </c>
      <c r="E88" s="164">
        <v>15548.33</v>
      </c>
      <c r="F88" s="111">
        <f>75572.92</f>
        <v>75572.92</v>
      </c>
      <c r="G88" s="111">
        <f t="shared" si="5"/>
        <v>60024.59</v>
      </c>
    </row>
    <row r="89" spans="1:8" ht="20.149999999999999" customHeight="1">
      <c r="A89" s="107">
        <v>3</v>
      </c>
      <c r="B89" s="185" t="s">
        <v>1116</v>
      </c>
      <c r="C89" s="45" t="s">
        <v>1117</v>
      </c>
      <c r="D89" s="112" t="s">
        <v>952</v>
      </c>
      <c r="E89" s="164">
        <v>15548.33</v>
      </c>
      <c r="F89" s="111">
        <f>75572.92</f>
        <v>75572.92</v>
      </c>
      <c r="G89" s="111">
        <f t="shared" si="5"/>
        <v>60024.59</v>
      </c>
    </row>
    <row r="90" spans="1:8" ht="20.149999999999999" customHeight="1">
      <c r="A90" s="107">
        <v>4</v>
      </c>
      <c r="B90" s="162" t="s">
        <v>343</v>
      </c>
      <c r="C90" s="99" t="s">
        <v>344</v>
      </c>
      <c r="D90" s="107" t="s">
        <v>38</v>
      </c>
      <c r="E90" s="164">
        <v>3369.51</v>
      </c>
      <c r="F90" s="111">
        <f>32291.82</f>
        <v>32291.82</v>
      </c>
      <c r="G90" s="111">
        <f t="shared" si="5"/>
        <v>28922.31</v>
      </c>
    </row>
    <row r="91" spans="1:8" ht="20.149999999999999" customHeight="1">
      <c r="A91" s="107"/>
      <c r="B91" s="182" t="s">
        <v>34</v>
      </c>
      <c r="C91" s="20">
        <v>4</v>
      </c>
      <c r="D91" s="20"/>
      <c r="E91" s="183">
        <v>87242.8</v>
      </c>
      <c r="F91" s="79">
        <f t="shared" ref="F91" si="7">SUM(F87:F90)</f>
        <v>363744.47</v>
      </c>
      <c r="G91" s="141">
        <f t="shared" si="5"/>
        <v>276501.67</v>
      </c>
      <c r="H91" s="178"/>
    </row>
    <row r="92" spans="1:8" ht="20.149999999999999" customHeight="1">
      <c r="A92" s="107"/>
      <c r="B92" s="186"/>
      <c r="C92" s="102"/>
      <c r="D92" s="102"/>
      <c r="E92" s="175"/>
      <c r="F92" s="141"/>
      <c r="G92" s="111">
        <f t="shared" si="5"/>
        <v>0</v>
      </c>
    </row>
    <row r="93" spans="1:8" ht="20.149999999999999" customHeight="1">
      <c r="A93" s="107"/>
      <c r="B93" s="186" t="s">
        <v>1172</v>
      </c>
      <c r="C93" s="145"/>
      <c r="D93" s="102"/>
      <c r="E93" s="175"/>
      <c r="F93" s="141"/>
      <c r="G93" s="111">
        <f t="shared" si="5"/>
        <v>0</v>
      </c>
    </row>
    <row r="94" spans="1:8" ht="20.149999999999999" customHeight="1">
      <c r="A94" s="107">
        <v>1</v>
      </c>
      <c r="B94" s="162" t="s">
        <v>1173</v>
      </c>
      <c r="C94" s="99" t="s">
        <v>1134</v>
      </c>
      <c r="D94" s="107" t="s">
        <v>308</v>
      </c>
      <c r="E94" s="164">
        <v>21618.09</v>
      </c>
      <c r="F94" s="111">
        <f>97273.51</f>
        <v>97273.51</v>
      </c>
      <c r="G94" s="111">
        <f t="shared" si="5"/>
        <v>75655.42</v>
      </c>
    </row>
    <row r="95" spans="1:8" ht="20.149999999999999" customHeight="1">
      <c r="A95" s="107">
        <v>2</v>
      </c>
      <c r="B95" s="162" t="s">
        <v>349</v>
      </c>
      <c r="C95" s="99" t="s">
        <v>310</v>
      </c>
      <c r="D95" s="107" t="s">
        <v>249</v>
      </c>
      <c r="E95" s="164">
        <v>15548.33</v>
      </c>
      <c r="F95" s="111">
        <f>79956.94</f>
        <v>79956.94</v>
      </c>
      <c r="G95" s="111">
        <f t="shared" si="5"/>
        <v>64408.61</v>
      </c>
    </row>
    <row r="96" spans="1:8" ht="20.149999999999999" customHeight="1">
      <c r="A96" s="107">
        <v>3</v>
      </c>
      <c r="B96" s="162" t="s">
        <v>350</v>
      </c>
      <c r="C96" s="99" t="s">
        <v>310</v>
      </c>
      <c r="D96" s="107" t="s">
        <v>249</v>
      </c>
      <c r="E96" s="164">
        <v>15548.33</v>
      </c>
      <c r="F96" s="111">
        <f>79796.1</f>
        <v>79796.100000000006</v>
      </c>
      <c r="G96" s="111">
        <f t="shared" si="5"/>
        <v>64247.77</v>
      </c>
    </row>
    <row r="97" spans="1:8" ht="20.149999999999999" customHeight="1">
      <c r="A97" s="107">
        <v>4</v>
      </c>
      <c r="B97" s="165" t="s">
        <v>386</v>
      </c>
      <c r="C97" s="99" t="s">
        <v>256</v>
      </c>
      <c r="D97" s="107" t="s">
        <v>257</v>
      </c>
      <c r="E97" s="164">
        <v>7709.76</v>
      </c>
      <c r="F97" s="111">
        <f>57894.08</f>
        <v>57894.080000000002</v>
      </c>
      <c r="G97" s="111">
        <f t="shared" si="5"/>
        <v>50184.32</v>
      </c>
    </row>
    <row r="98" spans="1:8" ht="20.149999999999999" customHeight="1">
      <c r="A98" s="107">
        <v>5</v>
      </c>
      <c r="B98" s="167" t="s">
        <v>351</v>
      </c>
      <c r="C98" s="99" t="s">
        <v>259</v>
      </c>
      <c r="D98" s="107" t="s">
        <v>342</v>
      </c>
      <c r="E98" s="164">
        <v>7709.76</v>
      </c>
      <c r="F98" s="111">
        <f>56478.9</f>
        <v>56478.9</v>
      </c>
      <c r="G98" s="111">
        <f t="shared" si="5"/>
        <v>48769.14</v>
      </c>
    </row>
    <row r="99" spans="1:8" ht="20.149999999999999" customHeight="1">
      <c r="A99" s="107">
        <v>6</v>
      </c>
      <c r="B99" s="167" t="s">
        <v>1174</v>
      </c>
      <c r="C99" s="99" t="s">
        <v>259</v>
      </c>
      <c r="D99" s="107" t="s">
        <v>356</v>
      </c>
      <c r="E99" s="164">
        <v>7709.76</v>
      </c>
      <c r="F99" s="111">
        <f>53384.05</f>
        <v>53384.05</v>
      </c>
      <c r="G99" s="111">
        <f t="shared" si="5"/>
        <v>45674.29</v>
      </c>
    </row>
    <row r="100" spans="1:8" ht="21.65" customHeight="1">
      <c r="A100" s="107">
        <v>7</v>
      </c>
      <c r="B100" s="169" t="s">
        <v>352</v>
      </c>
      <c r="C100" s="99" t="s">
        <v>353</v>
      </c>
      <c r="D100" s="112" t="s">
        <v>950</v>
      </c>
      <c r="E100" s="164">
        <v>7709.76</v>
      </c>
      <c r="F100" s="111">
        <f>48170.87</f>
        <v>48170.87</v>
      </c>
      <c r="G100" s="111">
        <f t="shared" si="5"/>
        <v>40461.11</v>
      </c>
    </row>
    <row r="101" spans="1:8" ht="21.65" customHeight="1">
      <c r="A101" s="107">
        <v>8</v>
      </c>
      <c r="B101" s="162" t="s">
        <v>354</v>
      </c>
      <c r="C101" s="110" t="s">
        <v>47</v>
      </c>
      <c r="D101" s="112" t="s">
        <v>1162</v>
      </c>
      <c r="E101" s="164">
        <v>7709.76</v>
      </c>
      <c r="F101" s="111">
        <f>46673.26</f>
        <v>46673.26</v>
      </c>
      <c r="G101" s="111">
        <f t="shared" si="5"/>
        <v>38963.5</v>
      </c>
    </row>
    <row r="102" spans="1:8" ht="21.65" customHeight="1">
      <c r="A102" s="107">
        <v>9</v>
      </c>
      <c r="B102" s="162" t="s">
        <v>355</v>
      </c>
      <c r="C102" s="110" t="s">
        <v>47</v>
      </c>
      <c r="D102" s="112" t="s">
        <v>1162</v>
      </c>
      <c r="E102" s="164">
        <v>7709.76</v>
      </c>
      <c r="F102" s="111">
        <f>46673.26</f>
        <v>46673.26</v>
      </c>
      <c r="G102" s="111">
        <f t="shared" si="5"/>
        <v>38963.5</v>
      </c>
    </row>
    <row r="103" spans="1:8" ht="21.65" customHeight="1">
      <c r="A103" s="107">
        <v>10</v>
      </c>
      <c r="B103" s="162" t="s">
        <v>357</v>
      </c>
      <c r="C103" s="16" t="s">
        <v>275</v>
      </c>
      <c r="D103" s="112" t="s">
        <v>42</v>
      </c>
      <c r="E103" s="164">
        <v>3369.51</v>
      </c>
      <c r="F103" s="111">
        <f>40149.18</f>
        <v>40149.18</v>
      </c>
      <c r="G103" s="111">
        <f t="shared" si="5"/>
        <v>36779.67</v>
      </c>
    </row>
    <row r="104" spans="1:8" ht="21.65" customHeight="1">
      <c r="A104" s="107">
        <v>11</v>
      </c>
      <c r="B104" s="162" t="s">
        <v>359</v>
      </c>
      <c r="C104" s="99" t="s">
        <v>63</v>
      </c>
      <c r="D104" s="107" t="s">
        <v>25</v>
      </c>
      <c r="E104" s="164">
        <v>3369.51</v>
      </c>
      <c r="F104" s="111">
        <f>28360.95</f>
        <v>28360.95</v>
      </c>
      <c r="G104" s="111">
        <f t="shared" si="5"/>
        <v>24991.439999999999</v>
      </c>
    </row>
    <row r="105" spans="1:8" ht="21.65" customHeight="1">
      <c r="A105" s="107">
        <v>12</v>
      </c>
      <c r="B105" s="162" t="s">
        <v>361</v>
      </c>
      <c r="C105" s="16" t="s">
        <v>362</v>
      </c>
      <c r="D105" s="112" t="s">
        <v>31</v>
      </c>
      <c r="E105" s="164">
        <v>1484.37</v>
      </c>
      <c r="F105" s="111">
        <f>24685.95</f>
        <v>24685.95</v>
      </c>
      <c r="G105" s="111">
        <f t="shared" si="5"/>
        <v>23201.58</v>
      </c>
    </row>
    <row r="106" spans="1:8" ht="20.149999999999999" customHeight="1">
      <c r="A106" s="107"/>
      <c r="B106" s="174" t="s">
        <v>34</v>
      </c>
      <c r="C106" s="102">
        <v>12</v>
      </c>
      <c r="D106" s="102"/>
      <c r="E106" s="175">
        <v>107196.7</v>
      </c>
      <c r="F106" s="142">
        <f t="shared" ref="F106" si="8">SUM(F94:F105)</f>
        <v>659497.05000000005</v>
      </c>
      <c r="G106" s="142">
        <f t="shared" si="5"/>
        <v>552300.35</v>
      </c>
      <c r="H106" s="178"/>
    </row>
    <row r="107" spans="1:8" ht="20.149999999999999" customHeight="1">
      <c r="A107" s="107"/>
      <c r="B107" s="176"/>
      <c r="C107" s="102"/>
      <c r="D107" s="102"/>
      <c r="E107" s="175"/>
      <c r="F107" s="141"/>
      <c r="G107" s="111">
        <f t="shared" si="5"/>
        <v>0</v>
      </c>
    </row>
    <row r="108" spans="1:8" ht="20.149999999999999" customHeight="1">
      <c r="A108" s="107"/>
      <c r="B108" s="174" t="s">
        <v>1175</v>
      </c>
      <c r="C108" s="102"/>
      <c r="D108" s="102"/>
      <c r="E108" s="175"/>
      <c r="F108" s="141"/>
      <c r="G108" s="111">
        <f t="shared" si="5"/>
        <v>0</v>
      </c>
    </row>
    <row r="109" spans="1:8" ht="20.149999999999999" customHeight="1">
      <c r="A109" s="107">
        <v>1</v>
      </c>
      <c r="B109" s="170" t="s">
        <v>232</v>
      </c>
      <c r="C109" s="107" t="s">
        <v>233</v>
      </c>
      <c r="D109" s="112" t="s">
        <v>308</v>
      </c>
      <c r="E109" s="164">
        <v>21618.09</v>
      </c>
      <c r="F109" s="111">
        <f>79993.51</f>
        <v>79993.509999999995</v>
      </c>
      <c r="G109" s="111">
        <f t="shared" si="5"/>
        <v>58375.42</v>
      </c>
    </row>
    <row r="110" spans="1:8" ht="20.149999999999999" customHeight="1">
      <c r="A110" s="107">
        <v>2</v>
      </c>
      <c r="B110" s="167" t="s">
        <v>250</v>
      </c>
      <c r="C110" s="3" t="s">
        <v>367</v>
      </c>
      <c r="D110" s="9" t="s">
        <v>342</v>
      </c>
      <c r="E110" s="168">
        <v>7709.76</v>
      </c>
      <c r="F110" s="111">
        <f>43380.1</f>
        <v>43380.1</v>
      </c>
      <c r="G110" s="111">
        <f t="shared" si="5"/>
        <v>35670.339999999997</v>
      </c>
      <c r="H110" s="144"/>
    </row>
    <row r="111" spans="1:8" ht="20.149999999999999" customHeight="1">
      <c r="A111" s="107">
        <v>3</v>
      </c>
      <c r="B111" s="173" t="s">
        <v>1135</v>
      </c>
      <c r="C111" s="3" t="s">
        <v>1136</v>
      </c>
      <c r="D111" s="112" t="s">
        <v>1162</v>
      </c>
      <c r="E111" s="164">
        <v>7709.76</v>
      </c>
      <c r="F111" s="111">
        <f>38272.44</f>
        <v>38272.44</v>
      </c>
      <c r="G111" s="111">
        <f t="shared" si="5"/>
        <v>30562.68</v>
      </c>
      <c r="H111" s="144"/>
    </row>
    <row r="112" spans="1:8" ht="20.149999999999999" customHeight="1">
      <c r="A112" s="107">
        <v>4</v>
      </c>
      <c r="B112" s="162" t="s">
        <v>368</v>
      </c>
      <c r="C112" s="99" t="s">
        <v>1176</v>
      </c>
      <c r="D112" s="112" t="s">
        <v>1177</v>
      </c>
      <c r="E112" s="164">
        <v>3369.51</v>
      </c>
      <c r="F112" s="111">
        <f>28640.16</f>
        <v>28640.16</v>
      </c>
      <c r="G112" s="111">
        <f t="shared" si="5"/>
        <v>25270.65</v>
      </c>
      <c r="H112" s="144"/>
    </row>
    <row r="113" spans="1:8" ht="20.149999999999999" customHeight="1">
      <c r="A113" s="99"/>
      <c r="B113" s="174" t="s">
        <v>34</v>
      </c>
      <c r="C113" s="102">
        <v>4</v>
      </c>
      <c r="D113" s="146"/>
      <c r="E113" s="175">
        <v>40407.120000000003</v>
      </c>
      <c r="F113" s="79">
        <f t="shared" ref="F113" si="9">SUM(F109:F112)</f>
        <v>190286.21</v>
      </c>
      <c r="G113" s="142">
        <f t="shared" si="5"/>
        <v>149879.09</v>
      </c>
      <c r="H113" s="144"/>
    </row>
    <row r="114" spans="1:8" ht="20.149999999999999" customHeight="1">
      <c r="A114" s="99"/>
      <c r="B114" s="176"/>
      <c r="C114" s="102"/>
      <c r="D114" s="146"/>
      <c r="E114" s="175"/>
      <c r="F114" s="133"/>
      <c r="G114" s="111">
        <f t="shared" si="5"/>
        <v>0</v>
      </c>
    </row>
    <row r="115" spans="1:8" ht="20.149999999999999" customHeight="1">
      <c r="A115" s="99"/>
      <c r="B115" s="174" t="s">
        <v>1178</v>
      </c>
      <c r="C115" s="99"/>
      <c r="D115" s="99"/>
      <c r="E115" s="121"/>
      <c r="F115" s="99"/>
      <c r="G115" s="111">
        <f t="shared" si="5"/>
        <v>0</v>
      </c>
    </row>
    <row r="116" spans="1:8" ht="20.149999999999999" customHeight="1">
      <c r="A116" s="99">
        <v>1</v>
      </c>
      <c r="B116" s="162" t="s">
        <v>373</v>
      </c>
      <c r="C116" s="110" t="s">
        <v>374</v>
      </c>
      <c r="D116" s="112" t="s">
        <v>297</v>
      </c>
      <c r="E116" s="164">
        <v>52776.63</v>
      </c>
      <c r="F116" s="111">
        <f>180306.81</f>
        <v>180306.81</v>
      </c>
      <c r="G116" s="111">
        <f t="shared" si="5"/>
        <v>127530.18</v>
      </c>
    </row>
    <row r="117" spans="1:8" ht="20.149999999999999" customHeight="1">
      <c r="A117" s="99">
        <v>2</v>
      </c>
      <c r="B117" s="162" t="s">
        <v>375</v>
      </c>
      <c r="C117" s="99" t="s">
        <v>376</v>
      </c>
      <c r="D117" s="107" t="s">
        <v>249</v>
      </c>
      <c r="E117" s="164">
        <v>15548.33</v>
      </c>
      <c r="F117" s="111">
        <f>79796.1</f>
        <v>79796.100000000006</v>
      </c>
      <c r="G117" s="111">
        <f t="shared" si="5"/>
        <v>64247.77</v>
      </c>
    </row>
    <row r="118" spans="1:8" ht="20.149999999999999" customHeight="1">
      <c r="A118" s="99">
        <v>3</v>
      </c>
      <c r="B118" s="162" t="s">
        <v>377</v>
      </c>
      <c r="C118" s="99" t="s">
        <v>378</v>
      </c>
      <c r="D118" s="107" t="s">
        <v>263</v>
      </c>
      <c r="E118" s="164">
        <v>7709.76</v>
      </c>
      <c r="F118" s="111">
        <f>58814.67</f>
        <v>58814.67</v>
      </c>
      <c r="G118" s="111">
        <f t="shared" si="5"/>
        <v>51104.91</v>
      </c>
    </row>
    <row r="119" spans="1:8" ht="20.149999999999999" customHeight="1">
      <c r="A119" s="99">
        <v>4</v>
      </c>
      <c r="B119" s="167" t="s">
        <v>379</v>
      </c>
      <c r="C119" s="99" t="s">
        <v>378</v>
      </c>
      <c r="D119" s="9" t="s">
        <v>266</v>
      </c>
      <c r="E119" s="168">
        <v>7709.76</v>
      </c>
      <c r="F119" s="71">
        <f>57194.24</f>
        <v>57194.239999999998</v>
      </c>
      <c r="G119" s="111">
        <f t="shared" si="5"/>
        <v>49484.480000000003</v>
      </c>
    </row>
    <row r="120" spans="1:8" ht="20.149999999999999" customHeight="1">
      <c r="A120" s="99">
        <v>5</v>
      </c>
      <c r="B120" s="162" t="s">
        <v>380</v>
      </c>
      <c r="C120" s="45" t="s">
        <v>381</v>
      </c>
      <c r="D120" s="112" t="s">
        <v>945</v>
      </c>
      <c r="E120" s="164">
        <v>1484.37</v>
      </c>
      <c r="F120" s="111">
        <f>30699.58</f>
        <v>30699.58</v>
      </c>
      <c r="G120" s="111">
        <f t="shared" si="5"/>
        <v>29215.21</v>
      </c>
    </row>
    <row r="121" spans="1:8" ht="20.149999999999999" customHeight="1">
      <c r="A121" s="99">
        <v>6</v>
      </c>
      <c r="B121" s="173" t="s">
        <v>383</v>
      </c>
      <c r="C121" s="45" t="s">
        <v>381</v>
      </c>
      <c r="D121" s="107" t="s">
        <v>291</v>
      </c>
      <c r="E121" s="164">
        <v>1484.37</v>
      </c>
      <c r="F121" s="111">
        <f>30049.31</f>
        <v>30049.31</v>
      </c>
      <c r="G121" s="111">
        <f t="shared" si="5"/>
        <v>28564.94</v>
      </c>
    </row>
    <row r="122" spans="1:8" ht="20.149999999999999" customHeight="1">
      <c r="A122" s="99">
        <v>7</v>
      </c>
      <c r="B122" s="170" t="s">
        <v>385</v>
      </c>
      <c r="C122" s="45" t="s">
        <v>381</v>
      </c>
      <c r="D122" s="112" t="s">
        <v>31</v>
      </c>
      <c r="E122" s="164">
        <v>1484.37</v>
      </c>
      <c r="F122" s="111">
        <f>28813.07</f>
        <v>28813.07</v>
      </c>
      <c r="G122" s="111">
        <f t="shared" si="5"/>
        <v>27328.7</v>
      </c>
    </row>
    <row r="123" spans="1:8" ht="20.149999999999999" customHeight="1">
      <c r="A123" s="99"/>
      <c r="B123" s="174" t="s">
        <v>34</v>
      </c>
      <c r="C123" s="102">
        <v>7</v>
      </c>
      <c r="D123" s="99"/>
      <c r="E123" s="187">
        <v>88197.59</v>
      </c>
      <c r="F123" s="147">
        <f t="shared" ref="F123" si="10">SUM(F116:F122)</f>
        <v>465673.78</v>
      </c>
      <c r="G123" s="142">
        <f t="shared" si="5"/>
        <v>377476.19</v>
      </c>
      <c r="H123" s="178"/>
    </row>
    <row r="124" spans="1:8" ht="20.149999999999999" customHeight="1">
      <c r="A124" s="99"/>
      <c r="B124" s="176"/>
      <c r="C124" s="107"/>
      <c r="D124" s="99"/>
      <c r="E124" s="121"/>
      <c r="F124" s="148"/>
      <c r="G124" s="111">
        <f t="shared" si="5"/>
        <v>0</v>
      </c>
    </row>
    <row r="125" spans="1:8" ht="20.149999999999999" customHeight="1">
      <c r="A125" s="99"/>
      <c r="B125" s="174" t="s">
        <v>1179</v>
      </c>
      <c r="C125" s="102"/>
      <c r="D125" s="102"/>
      <c r="E125" s="175"/>
      <c r="F125" s="141"/>
      <c r="G125" s="111">
        <f t="shared" si="5"/>
        <v>0</v>
      </c>
    </row>
    <row r="126" spans="1:8" ht="20.149999999999999" customHeight="1">
      <c r="A126" s="99">
        <v>1</v>
      </c>
      <c r="B126" s="169" t="s">
        <v>392</v>
      </c>
      <c r="C126" s="110" t="s">
        <v>393</v>
      </c>
      <c r="D126" s="112" t="s">
        <v>297</v>
      </c>
      <c r="E126" s="164">
        <v>52776.63</v>
      </c>
      <c r="F126" s="111">
        <f>179914.45</f>
        <v>179914.45</v>
      </c>
      <c r="G126" s="111">
        <f t="shared" si="5"/>
        <v>127137.82</v>
      </c>
    </row>
    <row r="127" spans="1:8" ht="20.149999999999999" customHeight="1">
      <c r="A127" s="99">
        <v>2</v>
      </c>
      <c r="B127" s="169" t="s">
        <v>1138</v>
      </c>
      <c r="C127" s="110" t="s">
        <v>1139</v>
      </c>
      <c r="D127" s="112" t="s">
        <v>231</v>
      </c>
      <c r="E127" s="164">
        <v>21618.09</v>
      </c>
      <c r="F127" s="111">
        <f>101827.95</f>
        <v>101827.95</v>
      </c>
      <c r="G127" s="111">
        <f t="shared" si="5"/>
        <v>80209.86</v>
      </c>
    </row>
    <row r="128" spans="1:8" ht="20.149999999999999" customHeight="1">
      <c r="A128" s="99">
        <v>3</v>
      </c>
      <c r="B128" s="169" t="s">
        <v>130</v>
      </c>
      <c r="C128" s="110" t="s">
        <v>227</v>
      </c>
      <c r="D128" s="112" t="s">
        <v>249</v>
      </c>
      <c r="E128" s="164">
        <v>15548.33</v>
      </c>
      <c r="F128" s="111">
        <f>64436.1</f>
        <v>64436.1</v>
      </c>
      <c r="G128" s="111">
        <f t="shared" si="5"/>
        <v>48887.77</v>
      </c>
    </row>
    <row r="129" spans="1:8" ht="20.149999999999999" customHeight="1">
      <c r="A129" s="99">
        <v>4</v>
      </c>
      <c r="B129" s="177" t="s">
        <v>395</v>
      </c>
      <c r="C129" s="110" t="s">
        <v>227</v>
      </c>
      <c r="D129" s="112" t="s">
        <v>249</v>
      </c>
      <c r="E129" s="164">
        <v>15548.33</v>
      </c>
      <c r="F129" s="111">
        <f>83636.1</f>
        <v>83636.100000000006</v>
      </c>
      <c r="G129" s="111">
        <f t="shared" si="5"/>
        <v>68087.77</v>
      </c>
    </row>
    <row r="130" spans="1:8" ht="20.149999999999999" customHeight="1">
      <c r="A130" s="99">
        <v>5</v>
      </c>
      <c r="B130" s="185" t="s">
        <v>226</v>
      </c>
      <c r="C130" s="110" t="s">
        <v>227</v>
      </c>
      <c r="D130" s="112" t="s">
        <v>228</v>
      </c>
      <c r="E130" s="164">
        <v>15548.33</v>
      </c>
      <c r="F130" s="111">
        <f>60212.92</f>
        <v>60212.92</v>
      </c>
      <c r="G130" s="111">
        <f t="shared" si="5"/>
        <v>44664.59</v>
      </c>
    </row>
    <row r="131" spans="1:8" ht="20.149999999999999" customHeight="1">
      <c r="A131" s="99">
        <v>6</v>
      </c>
      <c r="B131" s="169" t="s">
        <v>396</v>
      </c>
      <c r="C131" s="110" t="s">
        <v>1141</v>
      </c>
      <c r="D131" s="112" t="s">
        <v>266</v>
      </c>
      <c r="E131" s="164">
        <v>7709.76</v>
      </c>
      <c r="F131" s="111">
        <f>40788.51</f>
        <v>40788.51</v>
      </c>
      <c r="G131" s="111">
        <f t="shared" si="5"/>
        <v>33078.75</v>
      </c>
    </row>
    <row r="132" spans="1:8" ht="20.149999999999999" customHeight="1">
      <c r="A132" s="99">
        <v>7</v>
      </c>
      <c r="B132" s="169" t="s">
        <v>398</v>
      </c>
      <c r="C132" s="110" t="s">
        <v>399</v>
      </c>
      <c r="D132" s="112" t="s">
        <v>950</v>
      </c>
      <c r="E132" s="164">
        <v>7709.76</v>
      </c>
      <c r="F132" s="111">
        <f>44518.93</f>
        <v>44518.93</v>
      </c>
      <c r="G132" s="111">
        <f t="shared" si="5"/>
        <v>36809.17</v>
      </c>
    </row>
    <row r="133" spans="1:8" ht="20.149999999999999" customHeight="1">
      <c r="A133" s="99">
        <v>8</v>
      </c>
      <c r="B133" s="169" t="s">
        <v>400</v>
      </c>
      <c r="C133" s="110" t="s">
        <v>970</v>
      </c>
      <c r="D133" s="112" t="s">
        <v>950</v>
      </c>
      <c r="E133" s="164">
        <v>7709.76</v>
      </c>
      <c r="F133" s="111">
        <f>39478.93</f>
        <v>39478.93</v>
      </c>
      <c r="G133" s="111">
        <f t="shared" si="5"/>
        <v>31769.17</v>
      </c>
    </row>
    <row r="134" spans="1:8" ht="20.149999999999999" customHeight="1">
      <c r="A134" s="99">
        <v>9</v>
      </c>
      <c r="B134" s="170" t="s">
        <v>1140</v>
      </c>
      <c r="C134" s="110" t="s">
        <v>1141</v>
      </c>
      <c r="D134" s="112" t="s">
        <v>951</v>
      </c>
      <c r="E134" s="164">
        <v>7709.76</v>
      </c>
      <c r="F134" s="111">
        <f>38272.44</f>
        <v>38272.44</v>
      </c>
      <c r="G134" s="111">
        <f t="shared" si="5"/>
        <v>30562.68</v>
      </c>
    </row>
    <row r="135" spans="1:8" ht="20.149999999999999" customHeight="1">
      <c r="A135" s="99">
        <v>10</v>
      </c>
      <c r="B135" s="162" t="s">
        <v>401</v>
      </c>
      <c r="C135" s="110" t="s">
        <v>402</v>
      </c>
      <c r="D135" s="107" t="s">
        <v>25</v>
      </c>
      <c r="E135" s="164">
        <v>3369.51</v>
      </c>
      <c r="F135" s="111">
        <f>21640.95</f>
        <v>21640.95</v>
      </c>
      <c r="G135" s="111">
        <f t="shared" si="5"/>
        <v>18271.439999999999</v>
      </c>
    </row>
    <row r="136" spans="1:8" ht="20.149999999999999" customHeight="1">
      <c r="A136" s="99">
        <v>11</v>
      </c>
      <c r="B136" s="170" t="s">
        <v>403</v>
      </c>
      <c r="C136" s="110" t="s">
        <v>404</v>
      </c>
      <c r="D136" s="112" t="s">
        <v>31</v>
      </c>
      <c r="E136" s="164">
        <v>1484.37</v>
      </c>
      <c r="F136" s="111">
        <f>25245.23</f>
        <v>25245.23</v>
      </c>
      <c r="G136" s="111">
        <f t="shared" si="5"/>
        <v>23760.86</v>
      </c>
    </row>
    <row r="137" spans="1:8" ht="20.149999999999999" customHeight="1">
      <c r="A137" s="99"/>
      <c r="B137" s="174" t="s">
        <v>34</v>
      </c>
      <c r="C137" s="146" t="s">
        <v>1142</v>
      </c>
      <c r="D137" s="112"/>
      <c r="E137" s="188">
        <v>156732.63</v>
      </c>
      <c r="F137" s="142">
        <f t="shared" ref="F137" si="11">SUM(F126:F136)</f>
        <v>699972.51</v>
      </c>
      <c r="G137" s="142">
        <f t="shared" si="5"/>
        <v>543239.88</v>
      </c>
      <c r="H137" s="178"/>
    </row>
    <row r="138" spans="1:8" ht="20.149999999999999" customHeight="1">
      <c r="A138" s="99"/>
      <c r="B138" s="176"/>
      <c r="C138" s="146"/>
      <c r="D138" s="112"/>
      <c r="E138" s="164"/>
      <c r="F138" s="141"/>
      <c r="G138" s="111">
        <f t="shared" si="5"/>
        <v>0</v>
      </c>
    </row>
    <row r="139" spans="1:8" ht="20.149999999999999" customHeight="1">
      <c r="A139" s="99"/>
      <c r="B139" s="174" t="s">
        <v>1180</v>
      </c>
      <c r="C139" s="110"/>
      <c r="D139" s="112"/>
      <c r="E139" s="164"/>
      <c r="F139" s="111"/>
      <c r="G139" s="111">
        <f t="shared" si="5"/>
        <v>0</v>
      </c>
    </row>
    <row r="140" spans="1:8" ht="20.149999999999999" customHeight="1">
      <c r="A140" s="189">
        <v>1</v>
      </c>
      <c r="B140" s="169" t="s">
        <v>1181</v>
      </c>
      <c r="C140" s="110" t="s">
        <v>1182</v>
      </c>
      <c r="D140" s="112" t="s">
        <v>297</v>
      </c>
      <c r="E140" s="164">
        <v>52776.63</v>
      </c>
      <c r="F140" s="111"/>
      <c r="G140" s="111">
        <f t="shared" ref="G140:G199" si="12">F140-E140</f>
        <v>-52776.63</v>
      </c>
    </row>
    <row r="141" spans="1:8" ht="20.149999999999999" customHeight="1">
      <c r="A141" s="189">
        <v>2</v>
      </c>
      <c r="B141" s="169" t="s">
        <v>407</v>
      </c>
      <c r="C141" s="110" t="s">
        <v>408</v>
      </c>
      <c r="D141" s="112" t="s">
        <v>297</v>
      </c>
      <c r="E141" s="164">
        <v>52776.63</v>
      </c>
      <c r="F141" s="111">
        <f>161106.81</f>
        <v>161106.81</v>
      </c>
      <c r="G141" s="111">
        <f t="shared" si="12"/>
        <v>108330.18</v>
      </c>
    </row>
    <row r="142" spans="1:8" ht="20.149999999999999" customHeight="1">
      <c r="A142" s="189">
        <v>3</v>
      </c>
      <c r="B142" s="169" t="s">
        <v>229</v>
      </c>
      <c r="C142" s="110" t="s">
        <v>230</v>
      </c>
      <c r="D142" s="112" t="s">
        <v>231</v>
      </c>
      <c r="E142" s="164">
        <v>21618.09</v>
      </c>
      <c r="F142" s="111">
        <f>82627.95</f>
        <v>82627.95</v>
      </c>
      <c r="G142" s="111">
        <f t="shared" si="12"/>
        <v>61009.86</v>
      </c>
    </row>
    <row r="143" spans="1:8" ht="20.149999999999999" customHeight="1">
      <c r="A143" s="189">
        <v>4</v>
      </c>
      <c r="B143" s="181" t="s">
        <v>409</v>
      </c>
      <c r="C143" s="3" t="s">
        <v>1183</v>
      </c>
      <c r="D143" s="15" t="s">
        <v>249</v>
      </c>
      <c r="E143" s="168">
        <v>15548.33</v>
      </c>
      <c r="F143" s="71">
        <f>74036.1</f>
        <v>74036.100000000006</v>
      </c>
      <c r="G143" s="111">
        <f t="shared" si="12"/>
        <v>58487.77</v>
      </c>
    </row>
    <row r="144" spans="1:8" ht="20.149999999999999" customHeight="1">
      <c r="A144" s="189">
        <v>5</v>
      </c>
      <c r="B144" s="181" t="s">
        <v>1184</v>
      </c>
      <c r="C144" s="3" t="s">
        <v>1185</v>
      </c>
      <c r="D144" s="15" t="s">
        <v>249</v>
      </c>
      <c r="E144" s="168">
        <v>15548.33</v>
      </c>
      <c r="F144" s="71"/>
      <c r="G144" s="111">
        <f t="shared" si="12"/>
        <v>-15548.33</v>
      </c>
    </row>
    <row r="145" spans="1:7" ht="20.149999999999999" customHeight="1">
      <c r="A145" s="189">
        <v>6</v>
      </c>
      <c r="B145" s="169" t="s">
        <v>411</v>
      </c>
      <c r="C145" s="110" t="s">
        <v>412</v>
      </c>
      <c r="D145" s="112" t="s">
        <v>342</v>
      </c>
      <c r="E145" s="164">
        <v>7709.76</v>
      </c>
      <c r="F145" s="111">
        <f>43380.1</f>
        <v>43380.1</v>
      </c>
      <c r="G145" s="111">
        <f t="shared" si="12"/>
        <v>35670.339999999997</v>
      </c>
    </row>
    <row r="146" spans="1:7" ht="20.149999999999999" customHeight="1">
      <c r="A146" s="189">
        <v>7</v>
      </c>
      <c r="B146" s="169" t="s">
        <v>413</v>
      </c>
      <c r="C146" s="99" t="s">
        <v>414</v>
      </c>
      <c r="D146" s="112" t="s">
        <v>342</v>
      </c>
      <c r="E146" s="164">
        <v>7709.76</v>
      </c>
      <c r="F146" s="111">
        <f>43380.1</f>
        <v>43380.1</v>
      </c>
      <c r="G146" s="111">
        <f t="shared" si="12"/>
        <v>35670.339999999997</v>
      </c>
    </row>
    <row r="147" spans="1:7" ht="20.149999999999999" customHeight="1">
      <c r="A147" s="189">
        <v>8</v>
      </c>
      <c r="B147" s="169" t="s">
        <v>366</v>
      </c>
      <c r="C147" s="99" t="s">
        <v>420</v>
      </c>
      <c r="D147" s="112" t="s">
        <v>950</v>
      </c>
      <c r="E147" s="164">
        <v>7709.76</v>
      </c>
      <c r="F147" s="111">
        <f>39582.84</f>
        <v>39582.839999999997</v>
      </c>
      <c r="G147" s="111">
        <f t="shared" si="12"/>
        <v>31873.08</v>
      </c>
    </row>
    <row r="148" spans="1:7" ht="20.149999999999999" customHeight="1">
      <c r="A148" s="189">
        <v>9</v>
      </c>
      <c r="B148" s="162" t="s">
        <v>416</v>
      </c>
      <c r="C148" s="110" t="s">
        <v>417</v>
      </c>
      <c r="D148" s="112" t="s">
        <v>332</v>
      </c>
      <c r="E148" s="164">
        <v>3369.51</v>
      </c>
      <c r="F148" s="111">
        <f>32848.56</f>
        <v>32848.559999999998</v>
      </c>
      <c r="G148" s="111">
        <f t="shared" si="12"/>
        <v>29479.05</v>
      </c>
    </row>
    <row r="149" spans="1:7" ht="20.149999999999999" customHeight="1">
      <c r="A149" s="189">
        <v>10</v>
      </c>
      <c r="B149" s="169" t="s">
        <v>418</v>
      </c>
      <c r="C149" s="110" t="s">
        <v>417</v>
      </c>
      <c r="D149" s="112" t="s">
        <v>332</v>
      </c>
      <c r="E149" s="164">
        <v>3369.51</v>
      </c>
      <c r="F149" s="111">
        <f>32938.95</f>
        <v>32938.949999999997</v>
      </c>
      <c r="G149" s="111">
        <f t="shared" si="12"/>
        <v>29569.439999999999</v>
      </c>
    </row>
    <row r="150" spans="1:7" ht="20.149999999999999" customHeight="1">
      <c r="A150" s="189">
        <v>11</v>
      </c>
      <c r="B150" s="162" t="s">
        <v>419</v>
      </c>
      <c r="C150" s="99" t="s">
        <v>420</v>
      </c>
      <c r="D150" s="112" t="s">
        <v>332</v>
      </c>
      <c r="E150" s="164">
        <v>3369.51</v>
      </c>
      <c r="F150" s="111">
        <f>32938.95</f>
        <v>32938.949999999997</v>
      </c>
      <c r="G150" s="111">
        <f t="shared" si="12"/>
        <v>29569.439999999999</v>
      </c>
    </row>
    <row r="151" spans="1:7" ht="20.149999999999999" customHeight="1">
      <c r="A151" s="189">
        <v>12</v>
      </c>
      <c r="B151" s="162" t="s">
        <v>421</v>
      </c>
      <c r="C151" s="99" t="s">
        <v>430</v>
      </c>
      <c r="D151" s="112" t="s">
        <v>432</v>
      </c>
      <c r="E151" s="164">
        <v>3369.51</v>
      </c>
      <c r="F151" s="111">
        <f>27873.08</f>
        <v>27873.08</v>
      </c>
      <c r="G151" s="111">
        <f t="shared" si="12"/>
        <v>24503.57</v>
      </c>
    </row>
    <row r="152" spans="1:7" ht="20.149999999999999" customHeight="1">
      <c r="A152" s="189">
        <v>13</v>
      </c>
      <c r="B152" s="162" t="s">
        <v>423</v>
      </c>
      <c r="C152" s="110" t="s">
        <v>971</v>
      </c>
      <c r="D152" s="112" t="s">
        <v>345</v>
      </c>
      <c r="E152" s="164">
        <v>3369.51</v>
      </c>
      <c r="F152" s="111">
        <f>27029.2</f>
        <v>27029.200000000001</v>
      </c>
      <c r="G152" s="111">
        <f t="shared" si="12"/>
        <v>23659.69</v>
      </c>
    </row>
    <row r="153" spans="1:7" ht="20.149999999999999" customHeight="1">
      <c r="A153" s="189">
        <v>14</v>
      </c>
      <c r="B153" s="162" t="s">
        <v>425</v>
      </c>
      <c r="C153" s="110" t="s">
        <v>449</v>
      </c>
      <c r="D153" s="112" t="s">
        <v>432</v>
      </c>
      <c r="E153" s="164">
        <v>3369.51</v>
      </c>
      <c r="F153" s="111">
        <f>27794.21</f>
        <v>27794.21</v>
      </c>
      <c r="G153" s="111">
        <f t="shared" si="12"/>
        <v>24424.7</v>
      </c>
    </row>
    <row r="154" spans="1:7" ht="20.149999999999999" customHeight="1">
      <c r="A154" s="189">
        <v>15</v>
      </c>
      <c r="B154" s="162" t="s">
        <v>1186</v>
      </c>
      <c r="C154" s="99" t="s">
        <v>430</v>
      </c>
      <c r="D154" s="112" t="s">
        <v>301</v>
      </c>
      <c r="E154" s="164">
        <v>1484.37</v>
      </c>
      <c r="F154" s="111">
        <f>26339.08</f>
        <v>26339.08</v>
      </c>
      <c r="G154" s="111">
        <f t="shared" si="12"/>
        <v>24854.71</v>
      </c>
    </row>
    <row r="155" spans="1:7" ht="20.149999999999999" customHeight="1">
      <c r="A155" s="189">
        <v>16</v>
      </c>
      <c r="B155" s="162" t="s">
        <v>1187</v>
      </c>
      <c r="C155" s="99" t="s">
        <v>430</v>
      </c>
      <c r="D155" s="112" t="s">
        <v>301</v>
      </c>
      <c r="E155" s="164">
        <v>1484.37</v>
      </c>
      <c r="F155" s="111">
        <f>26264.39</f>
        <v>26264.39</v>
      </c>
      <c r="G155" s="111">
        <f t="shared" si="12"/>
        <v>24780.02</v>
      </c>
    </row>
    <row r="156" spans="1:7" ht="20.149999999999999" customHeight="1">
      <c r="A156" s="189">
        <v>17</v>
      </c>
      <c r="B156" s="162" t="s">
        <v>433</v>
      </c>
      <c r="C156" s="99" t="s">
        <v>430</v>
      </c>
      <c r="D156" s="112" t="s">
        <v>301</v>
      </c>
      <c r="E156" s="164">
        <v>1484.37</v>
      </c>
      <c r="F156" s="111">
        <f>26339.08</f>
        <v>26339.08</v>
      </c>
      <c r="G156" s="111">
        <f t="shared" si="12"/>
        <v>24854.71</v>
      </c>
    </row>
    <row r="157" spans="1:7" ht="20.149999999999999" customHeight="1">
      <c r="A157" s="189">
        <v>18</v>
      </c>
      <c r="B157" s="162" t="s">
        <v>434</v>
      </c>
      <c r="C157" s="110" t="s">
        <v>435</v>
      </c>
      <c r="D157" s="112" t="s">
        <v>38</v>
      </c>
      <c r="E157" s="164">
        <v>3369.51</v>
      </c>
      <c r="F157" s="111">
        <f>25571.82</f>
        <v>25571.82</v>
      </c>
      <c r="G157" s="111">
        <f t="shared" si="12"/>
        <v>22202.31</v>
      </c>
    </row>
    <row r="158" spans="1:7" ht="20.149999999999999" customHeight="1">
      <c r="A158" s="189">
        <v>19</v>
      </c>
      <c r="B158" s="162" t="s">
        <v>953</v>
      </c>
      <c r="C158" s="110" t="s">
        <v>437</v>
      </c>
      <c r="D158" s="107" t="s">
        <v>25</v>
      </c>
      <c r="E158" s="164">
        <v>3369.51</v>
      </c>
      <c r="F158" s="111">
        <f>21640.95</f>
        <v>21640.95</v>
      </c>
      <c r="G158" s="111">
        <f t="shared" si="12"/>
        <v>18271.439999999999</v>
      </c>
    </row>
    <row r="159" spans="1:7" ht="20.149999999999999" customHeight="1">
      <c r="A159" s="189">
        <v>20</v>
      </c>
      <c r="B159" s="162" t="s">
        <v>438</v>
      </c>
      <c r="C159" s="110" t="s">
        <v>449</v>
      </c>
      <c r="D159" s="112" t="s">
        <v>945</v>
      </c>
      <c r="E159" s="164">
        <v>1484.37</v>
      </c>
      <c r="F159" s="111">
        <f>18102.9</f>
        <v>18102.900000000001</v>
      </c>
      <c r="G159" s="111">
        <f t="shared" si="12"/>
        <v>16618.53</v>
      </c>
    </row>
    <row r="160" spans="1:7" ht="20.149999999999999" customHeight="1">
      <c r="A160" s="189">
        <v>21</v>
      </c>
      <c r="B160" s="162" t="s">
        <v>440</v>
      </c>
      <c r="C160" s="110" t="s">
        <v>1188</v>
      </c>
      <c r="D160" s="112" t="s">
        <v>945</v>
      </c>
      <c r="E160" s="164">
        <v>1484.37</v>
      </c>
      <c r="F160" s="111">
        <f>18102.9</f>
        <v>18102.900000000001</v>
      </c>
      <c r="G160" s="111">
        <f t="shared" si="12"/>
        <v>16618.53</v>
      </c>
    </row>
    <row r="161" spans="1:7" ht="20.149999999999999" customHeight="1">
      <c r="A161" s="189">
        <v>22</v>
      </c>
      <c r="B161" s="162" t="s">
        <v>442</v>
      </c>
      <c r="C161" s="110" t="s">
        <v>449</v>
      </c>
      <c r="D161" s="112" t="s">
        <v>945</v>
      </c>
      <c r="E161" s="164">
        <v>1484.37</v>
      </c>
      <c r="F161" s="111">
        <f>18051.63</f>
        <v>18051.63</v>
      </c>
      <c r="G161" s="111">
        <f t="shared" si="12"/>
        <v>16567.259999999998</v>
      </c>
    </row>
    <row r="162" spans="1:7" ht="20.149999999999999" customHeight="1">
      <c r="A162" s="189">
        <v>23</v>
      </c>
      <c r="B162" s="162" t="s">
        <v>444</v>
      </c>
      <c r="C162" s="110" t="s">
        <v>445</v>
      </c>
      <c r="D162" s="112" t="s">
        <v>945</v>
      </c>
      <c r="E162" s="164">
        <v>1484.37</v>
      </c>
      <c r="F162" s="111">
        <f>18102.9</f>
        <v>18102.900000000001</v>
      </c>
      <c r="G162" s="111">
        <f t="shared" si="12"/>
        <v>16618.53</v>
      </c>
    </row>
    <row r="163" spans="1:7" ht="20.149999999999999" customHeight="1">
      <c r="A163" s="189">
        <v>24</v>
      </c>
      <c r="B163" s="170" t="s">
        <v>446</v>
      </c>
      <c r="C163" s="110" t="s">
        <v>451</v>
      </c>
      <c r="D163" s="112" t="s">
        <v>1166</v>
      </c>
      <c r="E163" s="164">
        <v>3369.51</v>
      </c>
      <c r="F163" s="111">
        <f>17572.89</f>
        <v>17572.89</v>
      </c>
      <c r="G163" s="111">
        <f t="shared" si="12"/>
        <v>14203.38</v>
      </c>
    </row>
    <row r="164" spans="1:7" ht="20.149999999999999" customHeight="1">
      <c r="A164" s="189">
        <v>25</v>
      </c>
      <c r="B164" s="170" t="s">
        <v>1143</v>
      </c>
      <c r="C164" s="110" t="s">
        <v>449</v>
      </c>
      <c r="D164" s="112" t="s">
        <v>31</v>
      </c>
      <c r="E164" s="164">
        <v>1484.37</v>
      </c>
      <c r="F164" s="111">
        <f>16512.68</f>
        <v>16512.68</v>
      </c>
      <c r="G164" s="111">
        <f t="shared" si="12"/>
        <v>15028.31</v>
      </c>
    </row>
    <row r="165" spans="1:7" ht="20.149999999999999" customHeight="1">
      <c r="A165" s="189">
        <v>26</v>
      </c>
      <c r="B165" s="170" t="s">
        <v>448</v>
      </c>
      <c r="C165" s="110" t="s">
        <v>449</v>
      </c>
      <c r="D165" s="112" t="s">
        <v>31</v>
      </c>
      <c r="E165" s="164">
        <v>1484.37</v>
      </c>
      <c r="F165" s="111">
        <f>16512.68</f>
        <v>16512.68</v>
      </c>
      <c r="G165" s="111">
        <f t="shared" si="12"/>
        <v>15028.31</v>
      </c>
    </row>
    <row r="166" spans="1:7" ht="20.149999999999999" customHeight="1">
      <c r="A166" s="189">
        <v>27</v>
      </c>
      <c r="B166" s="170" t="s">
        <v>450</v>
      </c>
      <c r="C166" s="110" t="s">
        <v>451</v>
      </c>
      <c r="D166" s="112" t="s">
        <v>31</v>
      </c>
      <c r="E166" s="164">
        <v>1484.37</v>
      </c>
      <c r="F166" s="111">
        <f>16512.68</f>
        <v>16512.68</v>
      </c>
      <c r="G166" s="111">
        <f t="shared" si="12"/>
        <v>15028.31</v>
      </c>
    </row>
    <row r="167" spans="1:7" ht="20.149999999999999" customHeight="1">
      <c r="A167" s="189">
        <v>28</v>
      </c>
      <c r="B167" s="170" t="s">
        <v>452</v>
      </c>
      <c r="C167" s="110" t="s">
        <v>453</v>
      </c>
      <c r="D167" s="112" t="s">
        <v>31</v>
      </c>
      <c r="E167" s="164">
        <v>1484.37</v>
      </c>
      <c r="F167" s="111">
        <f>16512.68</f>
        <v>16512.68</v>
      </c>
      <c r="G167" s="111">
        <f t="shared" si="12"/>
        <v>15028.31</v>
      </c>
    </row>
    <row r="168" spans="1:7" ht="20.149999999999999" customHeight="1">
      <c r="A168" s="189">
        <v>29</v>
      </c>
      <c r="B168" s="170" t="s">
        <v>454</v>
      </c>
      <c r="C168" s="110" t="s">
        <v>455</v>
      </c>
      <c r="D168" s="112" t="s">
        <v>31</v>
      </c>
      <c r="E168" s="164">
        <v>1484.37</v>
      </c>
      <c r="F168" s="111">
        <f>16512.68</f>
        <v>16512.68</v>
      </c>
      <c r="G168" s="111">
        <f t="shared" si="12"/>
        <v>15028.31</v>
      </c>
    </row>
    <row r="169" spans="1:7" ht="20.149999999999999" customHeight="1">
      <c r="A169" s="189">
        <v>30</v>
      </c>
      <c r="B169" s="169" t="s">
        <v>457</v>
      </c>
      <c r="C169" s="110" t="s">
        <v>458</v>
      </c>
      <c r="D169" s="112" t="s">
        <v>476</v>
      </c>
      <c r="E169" s="164">
        <v>236.04</v>
      </c>
      <c r="F169" s="111">
        <f>9117.05</f>
        <v>9117.0499999999993</v>
      </c>
      <c r="G169" s="111">
        <f t="shared" si="12"/>
        <v>8881.01</v>
      </c>
    </row>
    <row r="170" spans="1:7" ht="20.149999999999999" customHeight="1">
      <c r="A170" s="189">
        <v>31</v>
      </c>
      <c r="B170" s="169" t="s">
        <v>460</v>
      </c>
      <c r="C170" s="110" t="s">
        <v>458</v>
      </c>
      <c r="D170" s="112" t="s">
        <v>476</v>
      </c>
      <c r="E170" s="164">
        <v>236.04</v>
      </c>
      <c r="F170" s="111">
        <f>9504.2</f>
        <v>9504.2000000000007</v>
      </c>
      <c r="G170" s="111">
        <f t="shared" si="12"/>
        <v>9268.16</v>
      </c>
    </row>
    <row r="171" spans="1:7" ht="20.149999999999999" customHeight="1">
      <c r="A171" s="189">
        <v>32</v>
      </c>
      <c r="B171" s="169" t="s">
        <v>461</v>
      </c>
      <c r="C171" s="110" t="s">
        <v>458</v>
      </c>
      <c r="D171" s="112" t="s">
        <v>476</v>
      </c>
      <c r="E171" s="164">
        <v>236.04</v>
      </c>
      <c r="F171" s="111">
        <f>9144.2</f>
        <v>9144.2000000000007</v>
      </c>
      <c r="G171" s="111">
        <f t="shared" si="12"/>
        <v>8908.16</v>
      </c>
    </row>
    <row r="172" spans="1:7" ht="20.149999999999999" customHeight="1">
      <c r="A172" s="189">
        <v>33</v>
      </c>
      <c r="B172" s="169" t="s">
        <v>664</v>
      </c>
      <c r="C172" s="110" t="s">
        <v>458</v>
      </c>
      <c r="D172" s="112" t="s">
        <v>476</v>
      </c>
      <c r="E172" s="164">
        <v>236.04</v>
      </c>
      <c r="F172" s="111">
        <f>9144.2</f>
        <v>9144.2000000000007</v>
      </c>
      <c r="G172" s="111">
        <f t="shared" si="12"/>
        <v>8908.16</v>
      </c>
    </row>
    <row r="173" spans="1:7" ht="20.149999999999999" customHeight="1">
      <c r="A173" s="189">
        <v>34</v>
      </c>
      <c r="B173" s="169" t="s">
        <v>662</v>
      </c>
      <c r="C173" s="110" t="s">
        <v>458</v>
      </c>
      <c r="D173" s="112" t="s">
        <v>476</v>
      </c>
      <c r="E173" s="164">
        <v>236.04</v>
      </c>
      <c r="F173" s="111">
        <f>9144.2</f>
        <v>9144.2000000000007</v>
      </c>
      <c r="G173" s="111">
        <f t="shared" si="12"/>
        <v>8908.16</v>
      </c>
    </row>
    <row r="174" spans="1:7" ht="20.149999999999999" customHeight="1">
      <c r="A174" s="189">
        <v>35</v>
      </c>
      <c r="B174" s="169" t="s">
        <v>462</v>
      </c>
      <c r="C174" s="110" t="s">
        <v>458</v>
      </c>
      <c r="D174" s="112" t="s">
        <v>476</v>
      </c>
      <c r="E174" s="164">
        <v>236.04</v>
      </c>
      <c r="F174" s="111">
        <f>9117.05</f>
        <v>9117.0499999999993</v>
      </c>
      <c r="G174" s="111">
        <f t="shared" si="12"/>
        <v>8881.01</v>
      </c>
    </row>
    <row r="175" spans="1:7" ht="20.149999999999999" customHeight="1">
      <c r="A175" s="189">
        <v>36</v>
      </c>
      <c r="B175" s="169" t="s">
        <v>463</v>
      </c>
      <c r="C175" s="110" t="s">
        <v>458</v>
      </c>
      <c r="D175" s="112" t="s">
        <v>476</v>
      </c>
      <c r="E175" s="164">
        <v>236.04</v>
      </c>
      <c r="F175" s="111">
        <f>9144.2</f>
        <v>9144.2000000000007</v>
      </c>
      <c r="G175" s="111">
        <f t="shared" si="12"/>
        <v>8908.16</v>
      </c>
    </row>
    <row r="176" spans="1:7" ht="20.149999999999999" customHeight="1">
      <c r="A176" s="189">
        <v>37</v>
      </c>
      <c r="B176" s="169" t="s">
        <v>464</v>
      </c>
      <c r="C176" s="110" t="s">
        <v>478</v>
      </c>
      <c r="D176" s="112" t="s">
        <v>1189</v>
      </c>
      <c r="E176" s="164">
        <v>236.04</v>
      </c>
      <c r="F176" s="111">
        <f>4692.33</f>
        <v>4692.33</v>
      </c>
      <c r="G176" s="111">
        <f t="shared" si="12"/>
        <v>4456.29</v>
      </c>
    </row>
    <row r="177" spans="1:7" ht="20.149999999999999" customHeight="1">
      <c r="A177" s="189">
        <v>38</v>
      </c>
      <c r="B177" s="169" t="s">
        <v>466</v>
      </c>
      <c r="C177" s="110" t="s">
        <v>478</v>
      </c>
      <c r="D177" s="112" t="s">
        <v>1189</v>
      </c>
      <c r="E177" s="164">
        <v>236.04</v>
      </c>
      <c r="F177" s="111">
        <f>4377.04</f>
        <v>4377.04</v>
      </c>
      <c r="G177" s="111">
        <f t="shared" si="12"/>
        <v>4141</v>
      </c>
    </row>
    <row r="178" spans="1:7" ht="20.149999999999999" customHeight="1">
      <c r="A178" s="189">
        <v>39</v>
      </c>
      <c r="B178" s="169" t="s">
        <v>1121</v>
      </c>
      <c r="C178" s="110" t="s">
        <v>478</v>
      </c>
      <c r="D178" s="112" t="s">
        <v>1189</v>
      </c>
      <c r="E178" s="164">
        <v>236.04</v>
      </c>
      <c r="F178" s="111">
        <f>4377.04</f>
        <v>4377.04</v>
      </c>
      <c r="G178" s="111">
        <f t="shared" si="12"/>
        <v>4141</v>
      </c>
    </row>
    <row r="179" spans="1:7" ht="20.149999999999999" customHeight="1">
      <c r="A179" s="189">
        <v>40</v>
      </c>
      <c r="B179" s="177" t="s">
        <v>467</v>
      </c>
      <c r="C179" s="110" t="s">
        <v>478</v>
      </c>
      <c r="D179" s="112" t="s">
        <v>1189</v>
      </c>
      <c r="E179" s="164">
        <v>236.04</v>
      </c>
      <c r="F179" s="111">
        <f>4692.33</f>
        <v>4692.33</v>
      </c>
      <c r="G179" s="111">
        <f t="shared" si="12"/>
        <v>4456.29</v>
      </c>
    </row>
    <row r="180" spans="1:7" ht="20.149999999999999" customHeight="1">
      <c r="A180" s="189">
        <v>41</v>
      </c>
      <c r="B180" s="162" t="s">
        <v>468</v>
      </c>
      <c r="C180" s="110" t="s">
        <v>478</v>
      </c>
      <c r="D180" s="112" t="s">
        <v>1189</v>
      </c>
      <c r="E180" s="164">
        <v>236.04</v>
      </c>
      <c r="F180" s="111">
        <f>4377.04</f>
        <v>4377.04</v>
      </c>
      <c r="G180" s="111">
        <f t="shared" si="12"/>
        <v>4141</v>
      </c>
    </row>
    <row r="181" spans="1:7" ht="20.149999999999999" customHeight="1">
      <c r="A181" s="189">
        <v>42</v>
      </c>
      <c r="B181" s="190" t="s">
        <v>469</v>
      </c>
      <c r="C181" s="110" t="s">
        <v>478</v>
      </c>
      <c r="D181" s="112" t="s">
        <v>1189</v>
      </c>
      <c r="E181" s="164">
        <v>236.04</v>
      </c>
      <c r="F181" s="111">
        <f>4377.04</f>
        <v>4377.04</v>
      </c>
      <c r="G181" s="111">
        <f t="shared" si="12"/>
        <v>4141</v>
      </c>
    </row>
    <row r="182" spans="1:7" ht="20.149999999999999" customHeight="1">
      <c r="A182" s="189">
        <v>43</v>
      </c>
      <c r="B182" s="190" t="s">
        <v>470</v>
      </c>
      <c r="C182" s="110" t="s">
        <v>478</v>
      </c>
      <c r="D182" s="112" t="s">
        <v>1189</v>
      </c>
      <c r="E182" s="164">
        <v>236.04</v>
      </c>
      <c r="F182" s="111">
        <f>4692.33</f>
        <v>4692.33</v>
      </c>
      <c r="G182" s="111">
        <f t="shared" si="12"/>
        <v>4456.29</v>
      </c>
    </row>
    <row r="183" spans="1:7" ht="20.149999999999999" customHeight="1">
      <c r="A183" s="189">
        <v>44</v>
      </c>
      <c r="B183" s="162" t="s">
        <v>471</v>
      </c>
      <c r="C183" s="110" t="s">
        <v>478</v>
      </c>
      <c r="D183" s="112" t="s">
        <v>954</v>
      </c>
      <c r="E183" s="164">
        <v>236.04</v>
      </c>
      <c r="F183" s="111">
        <f>4227.52</f>
        <v>4227.5200000000004</v>
      </c>
      <c r="G183" s="111">
        <f t="shared" si="12"/>
        <v>3991.48</v>
      </c>
    </row>
    <row r="184" spans="1:7" ht="20.149999999999999" customHeight="1">
      <c r="A184" s="189">
        <v>45</v>
      </c>
      <c r="B184" s="162" t="s">
        <v>474</v>
      </c>
      <c r="C184" s="110" t="s">
        <v>478</v>
      </c>
      <c r="D184" s="112" t="s">
        <v>954</v>
      </c>
      <c r="E184" s="164">
        <v>236.04</v>
      </c>
      <c r="F184" s="111">
        <f>4227.52</f>
        <v>4227.5200000000004</v>
      </c>
      <c r="G184" s="111">
        <f t="shared" si="12"/>
        <v>3991.48</v>
      </c>
    </row>
    <row r="185" spans="1:7" ht="20.149999999999999" customHeight="1">
      <c r="A185" s="189">
        <v>46</v>
      </c>
      <c r="B185" s="190" t="s">
        <v>475</v>
      </c>
      <c r="C185" s="110" t="s">
        <v>478</v>
      </c>
      <c r="D185" s="112" t="s">
        <v>479</v>
      </c>
      <c r="E185" s="164">
        <v>236.04</v>
      </c>
      <c r="F185" s="111">
        <f>4365.33</f>
        <v>4365.33</v>
      </c>
      <c r="G185" s="111">
        <f t="shared" si="12"/>
        <v>4129.29</v>
      </c>
    </row>
    <row r="186" spans="1:7" ht="20.149999999999999" customHeight="1">
      <c r="A186" s="189">
        <v>47</v>
      </c>
      <c r="B186" s="162" t="s">
        <v>477</v>
      </c>
      <c r="C186" s="110" t="s">
        <v>478</v>
      </c>
      <c r="D186" s="112" t="s">
        <v>492</v>
      </c>
      <c r="E186" s="164">
        <v>236.04</v>
      </c>
      <c r="F186" s="111">
        <f>4089.72</f>
        <v>4089.72</v>
      </c>
      <c r="G186" s="111">
        <f t="shared" si="12"/>
        <v>3853.68</v>
      </c>
    </row>
    <row r="187" spans="1:7" ht="20.149999999999999" customHeight="1">
      <c r="A187" s="189">
        <v>48</v>
      </c>
      <c r="B187" s="162" t="s">
        <v>480</v>
      </c>
      <c r="C187" s="110" t="s">
        <v>481</v>
      </c>
      <c r="D187" s="112" t="s">
        <v>1190</v>
      </c>
      <c r="E187" s="164">
        <v>236.04</v>
      </c>
      <c r="F187" s="111">
        <f>3951.8</f>
        <v>3951.8</v>
      </c>
      <c r="G187" s="111">
        <f t="shared" si="12"/>
        <v>3715.76</v>
      </c>
    </row>
    <row r="188" spans="1:7" ht="20.149999999999999" customHeight="1">
      <c r="A188" s="189">
        <v>49</v>
      </c>
      <c r="B188" s="162" t="s">
        <v>483</v>
      </c>
      <c r="C188" s="110" t="s">
        <v>481</v>
      </c>
      <c r="D188" s="112" t="s">
        <v>1190</v>
      </c>
      <c r="E188" s="164">
        <v>236.04</v>
      </c>
      <c r="F188" s="111">
        <f>3687.8</f>
        <v>3687.8</v>
      </c>
      <c r="G188" s="111">
        <f t="shared" si="12"/>
        <v>3451.76</v>
      </c>
    </row>
    <row r="189" spans="1:7" ht="20.149999999999999" customHeight="1">
      <c r="A189" s="189">
        <v>50</v>
      </c>
      <c r="B189" s="162" t="s">
        <v>484</v>
      </c>
      <c r="C189" s="110" t="s">
        <v>481</v>
      </c>
      <c r="D189" s="112" t="s">
        <v>1190</v>
      </c>
      <c r="E189" s="164">
        <v>236.04</v>
      </c>
      <c r="F189" s="111">
        <f>3951.8</f>
        <v>3951.8</v>
      </c>
      <c r="G189" s="111">
        <f t="shared" si="12"/>
        <v>3715.76</v>
      </c>
    </row>
    <row r="190" spans="1:7" ht="20.149999999999999" customHeight="1">
      <c r="A190" s="189">
        <v>51</v>
      </c>
      <c r="B190" s="162" t="s">
        <v>485</v>
      </c>
      <c r="C190" s="110" t="s">
        <v>481</v>
      </c>
      <c r="D190" s="112" t="s">
        <v>1190</v>
      </c>
      <c r="E190" s="164">
        <v>236.04</v>
      </c>
      <c r="F190" s="111">
        <f>3687.8</f>
        <v>3687.8</v>
      </c>
      <c r="G190" s="111">
        <f t="shared" si="12"/>
        <v>3451.76</v>
      </c>
    </row>
    <row r="191" spans="1:7" ht="20.149999999999999" customHeight="1">
      <c r="A191" s="189">
        <v>52</v>
      </c>
      <c r="B191" s="162" t="s">
        <v>486</v>
      </c>
      <c r="C191" s="110" t="s">
        <v>481</v>
      </c>
      <c r="D191" s="112" t="s">
        <v>1190</v>
      </c>
      <c r="E191" s="164">
        <v>236.04</v>
      </c>
      <c r="F191" s="111">
        <f>3951.8</f>
        <v>3951.8</v>
      </c>
      <c r="G191" s="111">
        <f t="shared" si="12"/>
        <v>3715.76</v>
      </c>
    </row>
    <row r="192" spans="1:7" ht="20.149999999999999" customHeight="1">
      <c r="A192" s="189">
        <v>53</v>
      </c>
      <c r="B192" s="190" t="s">
        <v>487</v>
      </c>
      <c r="C192" s="110" t="s">
        <v>481</v>
      </c>
      <c r="D192" s="112" t="s">
        <v>502</v>
      </c>
      <c r="E192" s="164">
        <v>236.04</v>
      </c>
      <c r="F192" s="111">
        <f>3687.8</f>
        <v>3687.8</v>
      </c>
      <c r="G192" s="111">
        <f t="shared" si="12"/>
        <v>3451.76</v>
      </c>
    </row>
    <row r="193" spans="1:8" ht="20.149999999999999" customHeight="1">
      <c r="A193" s="189">
        <v>54</v>
      </c>
      <c r="B193" s="190" t="s">
        <v>488</v>
      </c>
      <c r="C193" s="110" t="s">
        <v>481</v>
      </c>
      <c r="D193" s="112" t="s">
        <v>502</v>
      </c>
      <c r="E193" s="164">
        <v>236.04</v>
      </c>
      <c r="F193" s="111">
        <f>3951.8</f>
        <v>3951.8</v>
      </c>
      <c r="G193" s="111">
        <f t="shared" si="12"/>
        <v>3715.76</v>
      </c>
    </row>
    <row r="194" spans="1:8" ht="20.149999999999999" customHeight="1">
      <c r="A194" s="189">
        <v>55</v>
      </c>
      <c r="B194" s="169" t="s">
        <v>489</v>
      </c>
      <c r="C194" s="110" t="s">
        <v>481</v>
      </c>
      <c r="D194" s="112" t="s">
        <v>494</v>
      </c>
      <c r="E194" s="164">
        <v>236.04</v>
      </c>
      <c r="F194" s="111">
        <f>3447.66</f>
        <v>3447.66</v>
      </c>
      <c r="G194" s="111">
        <f t="shared" si="12"/>
        <v>3211.62</v>
      </c>
    </row>
    <row r="195" spans="1:8" ht="20.149999999999999" customHeight="1">
      <c r="A195" s="189">
        <v>56</v>
      </c>
      <c r="B195" s="169" t="s">
        <v>490</v>
      </c>
      <c r="C195" s="110" t="s">
        <v>481</v>
      </c>
      <c r="D195" s="112" t="s">
        <v>494</v>
      </c>
      <c r="E195" s="164">
        <v>236.04</v>
      </c>
      <c r="F195" s="111">
        <f>3447.66</f>
        <v>3447.66</v>
      </c>
      <c r="G195" s="111">
        <f t="shared" si="12"/>
        <v>3211.62</v>
      </c>
    </row>
    <row r="196" spans="1:8" ht="20.149999999999999" customHeight="1">
      <c r="A196" s="189">
        <v>57</v>
      </c>
      <c r="B196" s="190" t="s">
        <v>491</v>
      </c>
      <c r="C196" s="110" t="s">
        <v>481</v>
      </c>
      <c r="D196" s="112" t="s">
        <v>494</v>
      </c>
      <c r="E196" s="164">
        <v>236.04</v>
      </c>
      <c r="F196" s="111">
        <f>3183.66</f>
        <v>3183.66</v>
      </c>
      <c r="G196" s="111">
        <f t="shared" si="12"/>
        <v>2947.62</v>
      </c>
    </row>
    <row r="197" spans="1:8" ht="20.149999999999999" customHeight="1">
      <c r="A197" s="189">
        <v>58</v>
      </c>
      <c r="B197" s="190" t="s">
        <v>493</v>
      </c>
      <c r="C197" s="110" t="s">
        <v>481</v>
      </c>
      <c r="D197" s="112" t="s">
        <v>497</v>
      </c>
      <c r="E197" s="164">
        <v>236.04</v>
      </c>
      <c r="F197" s="111">
        <f>2972.91</f>
        <v>2972.91</v>
      </c>
      <c r="G197" s="111">
        <f t="shared" si="12"/>
        <v>2736.87</v>
      </c>
    </row>
    <row r="198" spans="1:8" ht="20.149999999999999" customHeight="1">
      <c r="A198" s="189"/>
      <c r="B198" s="105" t="s">
        <v>34</v>
      </c>
      <c r="C198" s="151" t="s">
        <v>1191</v>
      </c>
      <c r="D198" s="152"/>
      <c r="E198" s="191">
        <v>236380.48</v>
      </c>
      <c r="F198" s="142">
        <f t="shared" ref="F198" si="13">SUM(F140:F197)</f>
        <v>1076921.6200000001</v>
      </c>
      <c r="G198" s="141">
        <f t="shared" si="12"/>
        <v>840541.13999999897</v>
      </c>
    </row>
    <row r="199" spans="1:8" ht="20.149999999999999" customHeight="1">
      <c r="A199" s="42"/>
      <c r="B199" s="153" t="s">
        <v>80</v>
      </c>
      <c r="C199" s="154">
        <f>C43+C48+C63+C68+C84+C91+C106+C113+C123+C137+C198</f>
        <v>157</v>
      </c>
      <c r="D199" s="155"/>
      <c r="E199" s="188">
        <v>1513919.94</v>
      </c>
      <c r="F199" s="142">
        <f>F43+F48+F63+F68+F84+F91+F106+F113+F123+F137+F198</f>
        <v>6976828.1251612902</v>
      </c>
      <c r="G199" s="142">
        <f t="shared" si="12"/>
        <v>5462908.1851612898</v>
      </c>
      <c r="H199" s="178"/>
    </row>
    <row r="200" spans="1:8" ht="20.149999999999999" customHeight="1">
      <c r="A200" s="42"/>
      <c r="B200" s="157"/>
      <c r="C200" s="153"/>
      <c r="D200" s="157"/>
      <c r="E200" s="157"/>
      <c r="F200" s="158"/>
      <c r="G200" s="158"/>
    </row>
    <row r="201" spans="1:8" ht="20.149999999999999" customHeight="1">
      <c r="A201" s="42"/>
      <c r="B201" s="157"/>
      <c r="C201" s="802" t="s">
        <v>1192</v>
      </c>
      <c r="D201" s="802"/>
      <c r="E201" s="159"/>
      <c r="F201" s="158"/>
      <c r="G201" s="158"/>
    </row>
    <row r="202" spans="1:8" ht="20.149999999999999" customHeight="1">
      <c r="A202" s="42"/>
      <c r="B202" s="157"/>
      <c r="C202" s="802"/>
      <c r="D202" s="802"/>
      <c r="E202" s="159"/>
      <c r="F202" s="158"/>
      <c r="G202" s="158"/>
    </row>
    <row r="203" spans="1:8" ht="20.149999999999999" customHeight="1">
      <c r="B203" s="160"/>
      <c r="C203" s="160"/>
      <c r="D203" s="160"/>
      <c r="E203" s="160"/>
      <c r="F203" s="160"/>
      <c r="G203" s="160"/>
    </row>
    <row r="204" spans="1:8" ht="20.149999999999999" customHeight="1">
      <c r="B204" s="160"/>
      <c r="C204" s="160"/>
      <c r="D204" s="160"/>
      <c r="E204" s="160"/>
      <c r="F204" s="160"/>
      <c r="G204" s="160"/>
    </row>
    <row r="205" spans="1:8" ht="20.149999999999999" customHeight="1">
      <c r="C205" s="160"/>
      <c r="D205" s="160"/>
      <c r="E205" s="160"/>
      <c r="F205" s="160"/>
      <c r="G205" s="160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796875" defaultRowHeight="20.149999999999999" customHeight="1"/>
  <cols>
    <col min="1" max="1" width="4.54296875" style="45" customWidth="1"/>
    <col min="2" max="2" width="4.81640625" style="45" customWidth="1"/>
    <col min="3" max="3" width="28.26953125" style="45" customWidth="1"/>
    <col min="4" max="4" width="32.54296875" style="45" customWidth="1"/>
    <col min="5" max="5" width="12.81640625" style="45" customWidth="1"/>
    <col min="6" max="6" width="18" style="45" customWidth="1"/>
    <col min="7" max="7" width="18.7265625" style="45" customWidth="1"/>
    <col min="8" max="8" width="23" style="45" customWidth="1"/>
    <col min="9" max="9" width="16.453125" style="45" customWidth="1"/>
    <col min="10" max="10" width="18.1796875" style="45" customWidth="1"/>
    <col min="11" max="11" width="18" style="45" customWidth="1"/>
    <col min="12" max="12" width="19.1796875" style="45" customWidth="1"/>
    <col min="13" max="13" width="20" style="45" customWidth="1"/>
    <col min="14" max="14" width="24.54296875" style="45" customWidth="1"/>
    <col min="15" max="15" width="19.453125" style="45" customWidth="1"/>
    <col min="16" max="16" width="16" style="45" customWidth="1"/>
    <col min="17" max="17" width="18.26953125" style="45" customWidth="1"/>
    <col min="18" max="18" width="20" style="45" customWidth="1"/>
    <col min="19" max="19" width="19.7265625" style="45" customWidth="1"/>
    <col min="20" max="20" width="20.1796875" style="45" customWidth="1"/>
    <col min="21" max="21" width="20.54296875" style="45" customWidth="1"/>
    <col min="22" max="22" width="18.26953125" style="45" customWidth="1"/>
    <col min="23" max="23" width="18.7265625" style="45" customWidth="1"/>
    <col min="24" max="25" width="18.26953125" style="45" customWidth="1"/>
    <col min="26" max="27" width="19.7265625" style="45" customWidth="1"/>
    <col min="28" max="28" width="21" style="45" customWidth="1"/>
    <col min="29" max="16384" width="9.1796875" style="45"/>
  </cols>
  <sheetData>
    <row r="1" spans="1:33" ht="29.2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AG1" s="45" t="s">
        <v>1148</v>
      </c>
    </row>
    <row r="2" spans="1:33" ht="5.25" customHeight="1"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33" ht="20.149999999999999" customHeight="1">
      <c r="A3" s="93"/>
      <c r="B3" s="800" t="s">
        <v>1193</v>
      </c>
      <c r="C3" s="800"/>
      <c r="D3" s="800"/>
      <c r="E3" s="800"/>
      <c r="F3" s="95"/>
      <c r="G3" s="95"/>
      <c r="H3" s="95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8"/>
      <c r="T3" s="138"/>
      <c r="U3" s="138"/>
      <c r="V3" s="138"/>
      <c r="W3" s="138"/>
      <c r="X3" s="138"/>
      <c r="Y3" s="138"/>
      <c r="Z3" s="138"/>
      <c r="AA3" s="138"/>
      <c r="AB3" s="138"/>
    </row>
    <row r="4" spans="1:33" ht="2.25" customHeight="1">
      <c r="A4" s="93"/>
      <c r="B4" s="93"/>
      <c r="C4" s="93"/>
      <c r="D4" s="93"/>
      <c r="E4" s="93"/>
      <c r="F4" s="96">
        <f>'[1]FEB 08'!E8/'[1]FEB 08'!M8</f>
        <v>0.22</v>
      </c>
      <c r="G4" s="96"/>
      <c r="H4" s="96"/>
      <c r="I4" s="96">
        <f>'[1]FEB 08'!F8/'[1]FEB 08'!Q8</f>
        <v>0.3</v>
      </c>
      <c r="J4" s="96"/>
      <c r="K4" s="96"/>
      <c r="L4" s="96"/>
      <c r="M4" s="96"/>
      <c r="N4" s="96"/>
      <c r="O4" s="96"/>
      <c r="P4" s="96"/>
      <c r="Q4" s="96"/>
      <c r="R4" s="96"/>
      <c r="S4" s="139"/>
      <c r="T4" s="139"/>
      <c r="U4" s="139"/>
      <c r="V4" s="139"/>
      <c r="W4" s="139"/>
      <c r="X4" s="139"/>
      <c r="Y4" s="139"/>
      <c r="Z4" s="139"/>
      <c r="AA4" s="139"/>
      <c r="AB4" s="139"/>
    </row>
    <row r="5" spans="1:33" ht="20.149999999999999" customHeight="1">
      <c r="A5" s="93"/>
      <c r="B5" s="800" t="s">
        <v>2</v>
      </c>
      <c r="C5" s="800"/>
      <c r="D5" s="97"/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801"/>
      <c r="V5" s="801"/>
      <c r="W5" s="801"/>
      <c r="X5" s="801"/>
      <c r="Y5" s="801"/>
      <c r="Z5" s="801"/>
      <c r="AA5" s="97"/>
      <c r="AB5" s="97"/>
    </row>
    <row r="6" spans="1:33" ht="35.5" customHeight="1">
      <c r="A6" s="99"/>
      <c r="B6" s="803"/>
      <c r="C6" s="803"/>
      <c r="D6" s="100" t="s">
        <v>3</v>
      </c>
      <c r="E6" s="100" t="s">
        <v>1150</v>
      </c>
      <c r="F6" s="101" t="s">
        <v>1194</v>
      </c>
      <c r="G6" s="42"/>
      <c r="H6" s="101"/>
      <c r="I6" s="101"/>
      <c r="J6" s="101"/>
      <c r="K6" s="101"/>
      <c r="L6" s="101"/>
      <c r="M6" s="101" t="s">
        <v>1195</v>
      </c>
      <c r="N6" s="101" t="s">
        <v>1196</v>
      </c>
      <c r="O6" s="101" t="s">
        <v>1197</v>
      </c>
      <c r="P6" s="101" t="s">
        <v>1198</v>
      </c>
      <c r="Q6" s="101" t="s">
        <v>1199</v>
      </c>
      <c r="R6" s="101" t="s">
        <v>1200</v>
      </c>
      <c r="S6" s="101" t="s">
        <v>1201</v>
      </c>
      <c r="T6" s="101" t="s">
        <v>1202</v>
      </c>
      <c r="U6" s="101" t="s">
        <v>511</v>
      </c>
      <c r="V6" s="101"/>
      <c r="W6" s="101"/>
      <c r="X6" s="101"/>
      <c r="Y6" s="102"/>
      <c r="Z6" s="102"/>
      <c r="AA6" s="143"/>
      <c r="AB6" s="143"/>
    </row>
    <row r="7" spans="1:33" ht="48" customHeight="1">
      <c r="A7" s="99"/>
      <c r="B7" s="804"/>
      <c r="C7" s="804"/>
      <c r="D7" s="100"/>
      <c r="E7" s="100" t="s">
        <v>1151</v>
      </c>
      <c r="F7" s="101" t="s">
        <v>195</v>
      </c>
      <c r="G7" s="103" t="s">
        <v>1203</v>
      </c>
      <c r="H7" s="101" t="s">
        <v>566</v>
      </c>
      <c r="I7" s="101" t="s">
        <v>567</v>
      </c>
      <c r="J7" s="101" t="s">
        <v>568</v>
      </c>
      <c r="K7" s="101" t="s">
        <v>569</v>
      </c>
      <c r="L7" s="101" t="s">
        <v>570</v>
      </c>
      <c r="M7" s="101" t="s">
        <v>571</v>
      </c>
      <c r="N7" s="101" t="s">
        <v>7</v>
      </c>
      <c r="O7" s="101" t="s">
        <v>7</v>
      </c>
      <c r="P7" s="101" t="s">
        <v>572</v>
      </c>
      <c r="Q7" s="101" t="s">
        <v>572</v>
      </c>
      <c r="R7" s="101" t="s">
        <v>8</v>
      </c>
      <c r="S7" s="101" t="s">
        <v>195</v>
      </c>
      <c r="T7" s="103" t="s">
        <v>195</v>
      </c>
      <c r="U7" s="103"/>
      <c r="V7" s="103"/>
      <c r="W7" s="101" t="s">
        <v>509</v>
      </c>
      <c r="X7" s="103" t="s">
        <v>516</v>
      </c>
      <c r="Y7" s="101" t="s">
        <v>511</v>
      </c>
      <c r="Z7" s="101"/>
      <c r="AA7" s="101"/>
      <c r="AB7" s="101"/>
    </row>
    <row r="8" spans="1:33" ht="20.149999999999999" customHeight="1">
      <c r="A8" s="104" t="s">
        <v>21</v>
      </c>
      <c r="B8" s="805" t="s">
        <v>1204</v>
      </c>
      <c r="C8" s="805"/>
      <c r="D8" s="105"/>
      <c r="E8" s="105"/>
      <c r="F8" s="106" t="s">
        <v>20</v>
      </c>
      <c r="G8" s="102"/>
      <c r="H8" s="106"/>
      <c r="I8" s="106" t="s">
        <v>20</v>
      </c>
      <c r="J8" s="106"/>
      <c r="K8" s="106"/>
      <c r="L8" s="106"/>
      <c r="M8" s="106"/>
      <c r="N8" s="106"/>
      <c r="O8" s="106"/>
      <c r="P8" s="106"/>
      <c r="Q8" s="106"/>
      <c r="R8" s="106"/>
      <c r="S8" s="106" t="s">
        <v>20</v>
      </c>
      <c r="T8" s="106" t="s">
        <v>20</v>
      </c>
      <c r="U8" s="106" t="s">
        <v>20</v>
      </c>
      <c r="V8" s="106"/>
      <c r="W8" s="106" t="s">
        <v>20</v>
      </c>
      <c r="X8" s="106" t="s">
        <v>20</v>
      </c>
      <c r="Y8" s="106" t="s">
        <v>20</v>
      </c>
      <c r="Z8" s="106"/>
      <c r="AA8" s="106"/>
      <c r="AB8" s="106"/>
    </row>
    <row r="9" spans="1:33" ht="20.149999999999999" customHeight="1">
      <c r="A9" s="107">
        <v>1</v>
      </c>
      <c r="B9" s="806" t="s">
        <v>236</v>
      </c>
      <c r="C9" s="807"/>
      <c r="D9" s="110" t="s">
        <v>237</v>
      </c>
      <c r="E9" s="110" t="s">
        <v>238</v>
      </c>
      <c r="F9" s="111">
        <v>160488.75</v>
      </c>
      <c r="G9" s="111"/>
      <c r="H9" s="111">
        <v>320977.5</v>
      </c>
      <c r="I9" s="111">
        <v>48146.63</v>
      </c>
      <c r="J9" s="111">
        <v>120366.57</v>
      </c>
      <c r="K9" s="111">
        <v>72219.94</v>
      </c>
      <c r="L9" s="111">
        <v>0</v>
      </c>
      <c r="M9" s="111">
        <v>120366.57</v>
      </c>
      <c r="N9" s="43">
        <f>250000</f>
        <v>250000</v>
      </c>
      <c r="O9" s="43"/>
      <c r="P9" s="111">
        <v>16048.88</v>
      </c>
      <c r="Q9" s="111">
        <v>25000</v>
      </c>
      <c r="R9" s="111">
        <v>25235</v>
      </c>
      <c r="S9" s="111">
        <f>R9+Q9+P9+O9+N9+M9+L9+K9+J9+I9+H9+G9+F9</f>
        <v>1158849.8400000001</v>
      </c>
      <c r="T9" s="111">
        <v>1158849.8400000001</v>
      </c>
      <c r="U9" s="111">
        <f>S9-T9</f>
        <v>0</v>
      </c>
      <c r="V9" s="111"/>
      <c r="W9" s="111">
        <v>113176.97</v>
      </c>
      <c r="X9" s="111">
        <v>113176.97</v>
      </c>
      <c r="Y9" s="111">
        <f>X9-W9</f>
        <v>0</v>
      </c>
      <c r="Z9" s="111"/>
      <c r="AA9" s="111"/>
      <c r="AB9" s="111"/>
      <c r="AC9" s="144"/>
    </row>
    <row r="10" spans="1:33" ht="20.149999999999999" customHeight="1">
      <c r="A10" s="107">
        <v>2</v>
      </c>
      <c r="B10" s="806" t="s">
        <v>1154</v>
      </c>
      <c r="C10" s="807"/>
      <c r="D10" s="110" t="s">
        <v>1155</v>
      </c>
      <c r="E10" s="112" t="s">
        <v>297</v>
      </c>
      <c r="F10" s="111">
        <v>81740.02</v>
      </c>
      <c r="G10" s="111"/>
      <c r="H10" s="111">
        <f>F10*300%</f>
        <v>245220.06</v>
      </c>
      <c r="I10" s="111">
        <f>F10*7.5%</f>
        <v>6130.5015000000003</v>
      </c>
      <c r="J10" s="111">
        <v>80244.38</v>
      </c>
      <c r="K10" s="111">
        <f>F10*50%</f>
        <v>40870.01</v>
      </c>
      <c r="L10" s="111">
        <f>F10*350%</f>
        <v>286090.07</v>
      </c>
      <c r="M10" s="111">
        <f>F10*100%</f>
        <v>81740.02</v>
      </c>
      <c r="N10" s="43">
        <f>200000</f>
        <v>200000</v>
      </c>
      <c r="O10" s="43"/>
      <c r="P10" s="111">
        <f>F10*10%</f>
        <v>8174.0020000000004</v>
      </c>
      <c r="Q10" s="111">
        <v>20000</v>
      </c>
      <c r="R10" s="111">
        <v>0</v>
      </c>
      <c r="S10" s="111">
        <f t="shared" ref="S10:S38" si="0">R10+Q10+P10+O10+N10+M10+L10+K10+J10+I10+H10+G10+F10</f>
        <v>1050209.0634999999</v>
      </c>
      <c r="T10" s="111">
        <v>1050209.0634999999</v>
      </c>
      <c r="U10" s="111">
        <f t="shared" ref="U10:U73" si="1">S10-T10</f>
        <v>0</v>
      </c>
      <c r="V10" s="111"/>
      <c r="W10" s="111">
        <v>52776.63</v>
      </c>
      <c r="X10" s="111">
        <v>52776.63</v>
      </c>
      <c r="Y10" s="111">
        <f t="shared" ref="Y10:Y73" si="2">X10-W10</f>
        <v>0</v>
      </c>
      <c r="Z10" s="111"/>
      <c r="AA10" s="111"/>
      <c r="AB10" s="111"/>
      <c r="AC10" s="144"/>
    </row>
    <row r="11" spans="1:33" ht="20.149999999999999" customHeight="1">
      <c r="A11" s="107">
        <v>3</v>
      </c>
      <c r="B11" s="808" t="s">
        <v>1205</v>
      </c>
      <c r="C11" s="809"/>
      <c r="D11" s="113" t="s">
        <v>1206</v>
      </c>
      <c r="E11" s="114" t="s">
        <v>231</v>
      </c>
      <c r="F11" s="115">
        <f>42653.17</f>
        <v>42653.17</v>
      </c>
      <c r="G11" s="116"/>
      <c r="H11" s="111">
        <f>F11*300%</f>
        <v>127959.51</v>
      </c>
      <c r="I11" s="111">
        <f>F11*7.5%</f>
        <v>3198.9877499999998</v>
      </c>
      <c r="J11" s="111">
        <v>40122.19</v>
      </c>
      <c r="K11" s="111">
        <f>F11*50%</f>
        <v>21326.584999999999</v>
      </c>
      <c r="L11" s="111">
        <f>F11*350%</f>
        <v>149286.095</v>
      </c>
      <c r="M11" s="111">
        <f>F11*100%</f>
        <v>42653.17</v>
      </c>
      <c r="N11" s="43"/>
      <c r="O11" s="43">
        <f>90000</f>
        <v>90000</v>
      </c>
      <c r="P11" s="111">
        <f>F11*10%</f>
        <v>4265.317</v>
      </c>
      <c r="Q11" s="111">
        <v>20000</v>
      </c>
      <c r="R11" s="140"/>
      <c r="S11" s="111">
        <f t="shared" si="0"/>
        <v>541465.02474999998</v>
      </c>
      <c r="T11" s="115">
        <v>541465.02474999998</v>
      </c>
      <c r="U11" s="111">
        <f t="shared" si="1"/>
        <v>0</v>
      </c>
      <c r="V11" s="115"/>
      <c r="W11" s="111">
        <v>21618.09</v>
      </c>
      <c r="X11" s="115">
        <v>21618.09</v>
      </c>
      <c r="Y11" s="111">
        <f t="shared" si="2"/>
        <v>0</v>
      </c>
      <c r="Z11" s="111"/>
      <c r="AA11" s="111"/>
      <c r="AB11" s="111"/>
      <c r="AC11" s="144"/>
    </row>
    <row r="12" spans="1:33" ht="20.149999999999999" customHeight="1">
      <c r="A12" s="107">
        <v>4</v>
      </c>
      <c r="B12" s="806" t="s">
        <v>1016</v>
      </c>
      <c r="C12" s="807"/>
      <c r="D12" s="99" t="s">
        <v>1156</v>
      </c>
      <c r="E12" s="107" t="s">
        <v>308</v>
      </c>
      <c r="F12" s="111">
        <f>41157.69</f>
        <v>41157.69</v>
      </c>
      <c r="G12" s="111"/>
      <c r="H12" s="111">
        <f>F12*300%</f>
        <v>123473.07</v>
      </c>
      <c r="I12" s="111">
        <f>F12*7.5%</f>
        <v>3086.8267500000002</v>
      </c>
      <c r="J12" s="111">
        <v>40122.19</v>
      </c>
      <c r="K12" s="111">
        <f>F12*50%</f>
        <v>20578.845000000001</v>
      </c>
      <c r="L12" s="111">
        <f>F12*350%</f>
        <v>144051.91500000001</v>
      </c>
      <c r="M12" s="111">
        <f>F12*100%</f>
        <v>41157.69</v>
      </c>
      <c r="N12" s="43">
        <f>180000</f>
        <v>180000</v>
      </c>
      <c r="O12" s="43"/>
      <c r="P12" s="111">
        <f>F12*10%</f>
        <v>4115.7690000000002</v>
      </c>
      <c r="Q12" s="111">
        <v>20000</v>
      </c>
      <c r="R12" s="111">
        <v>150000</v>
      </c>
      <c r="S12" s="111">
        <f t="shared" si="0"/>
        <v>767743.99575</v>
      </c>
      <c r="T12" s="111">
        <v>754023.33374999999</v>
      </c>
      <c r="U12" s="111">
        <f t="shared" si="1"/>
        <v>13720.662</v>
      </c>
      <c r="V12" s="111"/>
      <c r="W12" s="111">
        <f>21618.09</f>
        <v>21618.09</v>
      </c>
      <c r="X12" s="111">
        <v>21618.09</v>
      </c>
      <c r="Y12" s="111">
        <f t="shared" si="2"/>
        <v>0</v>
      </c>
      <c r="Z12" s="111"/>
      <c r="AA12" s="111"/>
      <c r="AB12" s="111"/>
      <c r="AC12" s="144"/>
    </row>
    <row r="13" spans="1:33" ht="20.149999999999999" customHeight="1">
      <c r="A13" s="107">
        <v>5</v>
      </c>
      <c r="B13" s="808" t="s">
        <v>1107</v>
      </c>
      <c r="C13" s="809"/>
      <c r="D13" s="113" t="s">
        <v>1108</v>
      </c>
      <c r="E13" s="114" t="s">
        <v>308</v>
      </c>
      <c r="F13" s="115">
        <f>41157.69</f>
        <v>41157.69</v>
      </c>
      <c r="G13" s="115"/>
      <c r="H13" s="111">
        <f>F13*300%</f>
        <v>123473.07</v>
      </c>
      <c r="I13" s="111">
        <f>F13*7.5%</f>
        <v>3086.8267500000002</v>
      </c>
      <c r="J13" s="111">
        <v>40122.19</v>
      </c>
      <c r="K13" s="111">
        <f>F13*50%</f>
        <v>20578.845000000001</v>
      </c>
      <c r="L13" s="111">
        <f>F13*350%</f>
        <v>144051.91500000001</v>
      </c>
      <c r="M13" s="111">
        <f>F13*100%</f>
        <v>41157.69</v>
      </c>
      <c r="N13" s="43">
        <f>180000</f>
        <v>180000</v>
      </c>
      <c r="O13" s="43"/>
      <c r="P13" s="111">
        <f>F13*10%</f>
        <v>4115.7690000000002</v>
      </c>
      <c r="Q13" s="111">
        <v>20000</v>
      </c>
      <c r="R13" s="115">
        <f>100000</f>
        <v>100000</v>
      </c>
      <c r="S13" s="111">
        <f t="shared" si="0"/>
        <v>717743.99575</v>
      </c>
      <c r="T13" s="115">
        <v>704023.33374999999</v>
      </c>
      <c r="U13" s="111">
        <f t="shared" si="1"/>
        <v>13720.662</v>
      </c>
      <c r="V13" s="115"/>
      <c r="W13" s="111">
        <f>21618.09</f>
        <v>21618.09</v>
      </c>
      <c r="X13" s="115">
        <v>21618.09</v>
      </c>
      <c r="Y13" s="111">
        <f t="shared" si="2"/>
        <v>0</v>
      </c>
      <c r="Z13" s="111"/>
      <c r="AA13" s="111"/>
      <c r="AB13" s="111"/>
      <c r="AC13" s="144"/>
    </row>
    <row r="14" spans="1:33" ht="20.149999999999999" customHeight="1">
      <c r="A14" s="107">
        <v>6</v>
      </c>
      <c r="B14" s="806" t="s">
        <v>239</v>
      </c>
      <c r="C14" s="807"/>
      <c r="D14" s="110" t="s">
        <v>240</v>
      </c>
      <c r="E14" s="107" t="s">
        <v>1157</v>
      </c>
      <c r="F14" s="115">
        <f>41157.69</f>
        <v>41157.69</v>
      </c>
      <c r="G14" s="115"/>
      <c r="H14" s="111">
        <f>F14*300%</f>
        <v>123473.07</v>
      </c>
      <c r="I14" s="111">
        <f>F14*7.5%</f>
        <v>3086.8267500000002</v>
      </c>
      <c r="J14" s="111">
        <v>40122.19</v>
      </c>
      <c r="K14" s="111">
        <f>F14*50%</f>
        <v>20578.845000000001</v>
      </c>
      <c r="L14" s="111">
        <f>F14*350%</f>
        <v>144051.91500000001</v>
      </c>
      <c r="M14" s="111">
        <f>F14*100%</f>
        <v>41157.69</v>
      </c>
      <c r="N14" s="43"/>
      <c r="O14" s="43">
        <f>90000</f>
        <v>90000</v>
      </c>
      <c r="P14" s="111">
        <f>F14*10%</f>
        <v>4115.7690000000002</v>
      </c>
      <c r="Q14" s="111">
        <v>20000</v>
      </c>
      <c r="R14" s="115">
        <v>0</v>
      </c>
      <c r="S14" s="111">
        <f t="shared" si="0"/>
        <v>527743.99575</v>
      </c>
      <c r="T14" s="115">
        <v>514023.33374999999</v>
      </c>
      <c r="U14" s="111">
        <f t="shared" si="1"/>
        <v>13720.662</v>
      </c>
      <c r="V14" s="115"/>
      <c r="W14" s="111">
        <f>21618.09</f>
        <v>21618.09</v>
      </c>
      <c r="X14" s="115">
        <v>21618.09</v>
      </c>
      <c r="Y14" s="111">
        <f t="shared" si="2"/>
        <v>0</v>
      </c>
      <c r="Z14" s="111"/>
      <c r="AA14" s="111"/>
      <c r="AB14" s="111"/>
      <c r="AC14" s="144"/>
    </row>
    <row r="15" spans="1:33" ht="20.149999999999999" customHeight="1">
      <c r="A15" s="107">
        <v>7</v>
      </c>
      <c r="B15" s="808" t="s">
        <v>363</v>
      </c>
      <c r="C15" s="809"/>
      <c r="D15" s="99" t="s">
        <v>1158</v>
      </c>
      <c r="E15" s="117" t="s">
        <v>249</v>
      </c>
      <c r="F15" s="111">
        <v>33507.5</v>
      </c>
      <c r="G15" s="111"/>
      <c r="H15" s="111">
        <f t="shared" ref="H15:H34" si="3">F15*300%</f>
        <v>100522.5</v>
      </c>
      <c r="I15" s="111">
        <f t="shared" ref="I15:I34" si="4">F15*7.5%</f>
        <v>2513.0625</v>
      </c>
      <c r="J15" s="111">
        <v>40122.19</v>
      </c>
      <c r="K15" s="111">
        <f t="shared" ref="K15:K34" si="5">F15*50%</f>
        <v>16753.75</v>
      </c>
      <c r="L15" s="111">
        <f t="shared" ref="L15:L34" si="6">F15*350%</f>
        <v>117276.25</v>
      </c>
      <c r="M15" s="111">
        <f t="shared" ref="M15:M34" si="7">F15*100%</f>
        <v>33507.5</v>
      </c>
      <c r="N15" s="43"/>
      <c r="O15" s="43">
        <f>80000</f>
        <v>80000</v>
      </c>
      <c r="P15" s="111">
        <f t="shared" ref="P15:P34" si="8">F15*10%</f>
        <v>3350.75</v>
      </c>
      <c r="Q15" s="111">
        <v>20000</v>
      </c>
      <c r="R15" s="111">
        <f>100000</f>
        <v>100000</v>
      </c>
      <c r="S15" s="111">
        <f t="shared" si="0"/>
        <v>547553.50249999994</v>
      </c>
      <c r="T15" s="111">
        <v>547553.50249999994</v>
      </c>
      <c r="U15" s="111">
        <f t="shared" si="1"/>
        <v>0</v>
      </c>
      <c r="V15" s="111"/>
      <c r="W15" s="111">
        <v>15548.33</v>
      </c>
      <c r="X15" s="111">
        <v>15548.33</v>
      </c>
      <c r="Y15" s="111">
        <f t="shared" si="2"/>
        <v>0</v>
      </c>
      <c r="Z15" s="111"/>
      <c r="AA15" s="111"/>
      <c r="AB15" s="111"/>
      <c r="AC15" s="144"/>
    </row>
    <row r="16" spans="1:33" ht="20.149999999999999" customHeight="1">
      <c r="A16" s="107">
        <v>8</v>
      </c>
      <c r="B16" s="810" t="s">
        <v>243</v>
      </c>
      <c r="C16" s="811"/>
      <c r="D16" s="16" t="s">
        <v>326</v>
      </c>
      <c r="E16" s="9" t="s">
        <v>249</v>
      </c>
      <c r="F16" s="71">
        <f>33507.5</f>
        <v>33507.5</v>
      </c>
      <c r="G16" s="71"/>
      <c r="H16" s="71">
        <f t="shared" si="3"/>
        <v>100522.5</v>
      </c>
      <c r="I16" s="71">
        <f t="shared" si="4"/>
        <v>2513.0625</v>
      </c>
      <c r="J16" s="71">
        <v>40122.19</v>
      </c>
      <c r="K16" s="71">
        <f t="shared" si="5"/>
        <v>16753.75</v>
      </c>
      <c r="L16" s="71">
        <f t="shared" si="6"/>
        <v>117276.25</v>
      </c>
      <c r="M16" s="71">
        <f t="shared" si="7"/>
        <v>33507.5</v>
      </c>
      <c r="N16" s="43"/>
      <c r="O16" s="43">
        <f>80000</f>
        <v>80000</v>
      </c>
      <c r="P16" s="71">
        <f t="shared" si="8"/>
        <v>3350.75</v>
      </c>
      <c r="Q16" s="71">
        <v>20000</v>
      </c>
      <c r="R16" s="71">
        <v>0</v>
      </c>
      <c r="S16" s="111">
        <f t="shared" si="0"/>
        <v>447553.5025</v>
      </c>
      <c r="T16" s="111">
        <v>447553.5025</v>
      </c>
      <c r="U16" s="111">
        <f t="shared" si="1"/>
        <v>0</v>
      </c>
      <c r="V16" s="71"/>
      <c r="W16" s="71">
        <v>15548.33</v>
      </c>
      <c r="X16" s="71">
        <v>15548.33</v>
      </c>
      <c r="Y16" s="111">
        <f t="shared" si="2"/>
        <v>0</v>
      </c>
      <c r="Z16" s="111"/>
      <c r="AA16" s="71"/>
      <c r="AB16" s="71"/>
      <c r="AC16" s="144"/>
    </row>
    <row r="17" spans="1:29" ht="20.149999999999999" customHeight="1">
      <c r="A17" s="107">
        <v>9</v>
      </c>
      <c r="B17" s="808" t="s">
        <v>245</v>
      </c>
      <c r="C17" s="809"/>
      <c r="D17" s="99" t="s">
        <v>1159</v>
      </c>
      <c r="E17" s="107" t="s">
        <v>249</v>
      </c>
      <c r="F17" s="111">
        <f>33507.5</f>
        <v>33507.5</v>
      </c>
      <c r="G17" s="111"/>
      <c r="H17" s="111">
        <f t="shared" si="3"/>
        <v>100522.5</v>
      </c>
      <c r="I17" s="111">
        <f t="shared" si="4"/>
        <v>2513.0625</v>
      </c>
      <c r="J17" s="111">
        <v>40122.19</v>
      </c>
      <c r="K17" s="111">
        <f t="shared" si="5"/>
        <v>16753.75</v>
      </c>
      <c r="L17" s="111">
        <f t="shared" si="6"/>
        <v>117276.25</v>
      </c>
      <c r="M17" s="111">
        <f t="shared" si="7"/>
        <v>33507.5</v>
      </c>
      <c r="N17" s="43"/>
      <c r="O17" s="43">
        <f>80000</f>
        <v>80000</v>
      </c>
      <c r="P17" s="111">
        <f t="shared" si="8"/>
        <v>3350.75</v>
      </c>
      <c r="Q17" s="111">
        <v>20000</v>
      </c>
      <c r="R17" s="141">
        <v>0</v>
      </c>
      <c r="S17" s="111">
        <f t="shared" si="0"/>
        <v>447553.5025</v>
      </c>
      <c r="T17" s="111">
        <v>447553.5025</v>
      </c>
      <c r="U17" s="111">
        <f t="shared" si="1"/>
        <v>0</v>
      </c>
      <c r="V17" s="111"/>
      <c r="W17" s="111">
        <v>15548.33</v>
      </c>
      <c r="X17" s="111">
        <v>15548.33</v>
      </c>
      <c r="Y17" s="111">
        <f t="shared" si="2"/>
        <v>0</v>
      </c>
      <c r="Z17" s="111"/>
      <c r="AA17" s="111"/>
      <c r="AB17" s="111"/>
      <c r="AC17" s="144"/>
    </row>
    <row r="18" spans="1:29" ht="20.149999999999999" customHeight="1">
      <c r="A18" s="107">
        <v>10</v>
      </c>
      <c r="B18" s="812" t="s">
        <v>247</v>
      </c>
      <c r="C18" s="812"/>
      <c r="D18" s="110" t="s">
        <v>1160</v>
      </c>
      <c r="E18" s="112" t="s">
        <v>249</v>
      </c>
      <c r="F18" s="111">
        <f>33507.5</f>
        <v>33507.5</v>
      </c>
      <c r="G18" s="111"/>
      <c r="H18" s="111">
        <f t="shared" si="3"/>
        <v>100522.5</v>
      </c>
      <c r="I18" s="111">
        <f t="shared" si="4"/>
        <v>2513.0625</v>
      </c>
      <c r="J18" s="111">
        <f>40122.19</f>
        <v>40122.19</v>
      </c>
      <c r="K18" s="111">
        <f t="shared" si="5"/>
        <v>16753.75</v>
      </c>
      <c r="L18" s="111">
        <f t="shared" si="6"/>
        <v>117276.25</v>
      </c>
      <c r="M18" s="111">
        <f t="shared" si="7"/>
        <v>33507.5</v>
      </c>
      <c r="N18" s="43"/>
      <c r="O18" s="43">
        <f t="shared" ref="O18:O124" si="9">80000</f>
        <v>80000</v>
      </c>
      <c r="P18" s="111">
        <f t="shared" si="8"/>
        <v>3350.75</v>
      </c>
      <c r="Q18" s="111">
        <v>20000</v>
      </c>
      <c r="R18" s="111">
        <v>0</v>
      </c>
      <c r="S18" s="111">
        <f>SUM(F18:R18)</f>
        <v>447553.5025</v>
      </c>
      <c r="T18" s="111">
        <v>436137.05</v>
      </c>
      <c r="U18" s="111">
        <f t="shared" si="1"/>
        <v>11416.452499999999</v>
      </c>
      <c r="V18" s="111"/>
      <c r="W18" s="111">
        <f>15548.33</f>
        <v>15548.33</v>
      </c>
      <c r="X18" s="111">
        <v>15548.33</v>
      </c>
      <c r="Y18" s="111">
        <f t="shared" si="2"/>
        <v>0</v>
      </c>
      <c r="Z18" s="111"/>
      <c r="AA18" s="111"/>
      <c r="AB18" s="111"/>
      <c r="AC18" s="144"/>
    </row>
    <row r="19" spans="1:29" ht="20.149999999999999" customHeight="1">
      <c r="A19" s="107">
        <v>11</v>
      </c>
      <c r="B19" s="108" t="s">
        <v>223</v>
      </c>
      <c r="C19" s="109"/>
      <c r="D19" s="110" t="s">
        <v>224</v>
      </c>
      <c r="E19" s="47" t="s">
        <v>952</v>
      </c>
      <c r="F19" s="111">
        <v>31018.84</v>
      </c>
      <c r="G19" s="111"/>
      <c r="H19" s="111">
        <f t="shared" ref="H19" si="10">F19*300%</f>
        <v>93056.52</v>
      </c>
      <c r="I19" s="111">
        <f t="shared" ref="I19" si="11">F19*7.5%</f>
        <v>2326.413</v>
      </c>
      <c r="J19" s="111">
        <v>40122.19</v>
      </c>
      <c r="K19" s="111">
        <f t="shared" ref="K19" si="12">F19*50%</f>
        <v>15509.42</v>
      </c>
      <c r="L19" s="111">
        <f t="shared" ref="L19" si="13">F19*350%</f>
        <v>108565.94</v>
      </c>
      <c r="M19" s="111">
        <f t="shared" ref="M19" si="14">F19*100%</f>
        <v>31018.84</v>
      </c>
      <c r="N19" s="43"/>
      <c r="O19" s="43">
        <f t="shared" si="9"/>
        <v>80000</v>
      </c>
      <c r="P19" s="111">
        <f t="shared" ref="P19" si="15">F19*10%</f>
        <v>3101.884</v>
      </c>
      <c r="Q19" s="111">
        <v>20000</v>
      </c>
      <c r="R19" s="141">
        <v>0</v>
      </c>
      <c r="S19" s="111">
        <f t="shared" si="0"/>
        <v>424720.04700000002</v>
      </c>
      <c r="T19" s="111">
        <v>424720.04700000002</v>
      </c>
      <c r="U19" s="111">
        <f t="shared" si="1"/>
        <v>0</v>
      </c>
      <c r="V19" s="111"/>
      <c r="W19" s="111">
        <v>15548.33</v>
      </c>
      <c r="X19" s="111">
        <v>15548.33</v>
      </c>
      <c r="Y19" s="111">
        <f t="shared" si="2"/>
        <v>0</v>
      </c>
      <c r="Z19" s="111"/>
      <c r="AA19" s="111"/>
      <c r="AB19" s="111"/>
      <c r="AC19" s="144"/>
    </row>
    <row r="20" spans="1:29" ht="20.149999999999999" customHeight="1">
      <c r="A20" s="107">
        <v>12</v>
      </c>
      <c r="B20" s="808" t="s">
        <v>1109</v>
      </c>
      <c r="C20" s="809"/>
      <c r="D20" s="113" t="s">
        <v>1110</v>
      </c>
      <c r="E20" s="120" t="s">
        <v>342</v>
      </c>
      <c r="F20" s="115">
        <f>26732.65</f>
        <v>26732.65</v>
      </c>
      <c r="G20" s="115"/>
      <c r="H20" s="115">
        <f t="shared" si="3"/>
        <v>80197.95</v>
      </c>
      <c r="I20" s="115">
        <f t="shared" si="4"/>
        <v>2004.94875</v>
      </c>
      <c r="J20" s="115"/>
      <c r="K20" s="115">
        <f t="shared" si="5"/>
        <v>13366.325000000001</v>
      </c>
      <c r="L20" s="115">
        <f t="shared" si="6"/>
        <v>93564.274999999994</v>
      </c>
      <c r="M20" s="115">
        <f t="shared" si="7"/>
        <v>26732.65</v>
      </c>
      <c r="N20" s="43"/>
      <c r="O20" s="43">
        <f t="shared" ref="O20:O24" si="16">70000</f>
        <v>70000</v>
      </c>
      <c r="P20" s="115">
        <f t="shared" si="8"/>
        <v>2673.2649999999999</v>
      </c>
      <c r="Q20" s="115">
        <v>20000</v>
      </c>
      <c r="R20" s="115">
        <v>50000</v>
      </c>
      <c r="S20" s="111">
        <f t="shared" si="0"/>
        <v>385272.06374999997</v>
      </c>
      <c r="T20" s="115">
        <v>377211.36749999999</v>
      </c>
      <c r="U20" s="111">
        <f t="shared" si="1"/>
        <v>8060.6962500001</v>
      </c>
      <c r="V20" s="115"/>
      <c r="W20" s="115">
        <v>7709.76</v>
      </c>
      <c r="X20" s="115">
        <v>7709.76</v>
      </c>
      <c r="Y20" s="111">
        <f t="shared" si="2"/>
        <v>0</v>
      </c>
      <c r="Z20" s="111"/>
      <c r="AA20" s="111"/>
      <c r="AB20" s="111"/>
      <c r="AC20" s="144"/>
    </row>
    <row r="21" spans="1:29" ht="19.5" customHeight="1">
      <c r="A21" s="107">
        <v>13</v>
      </c>
      <c r="B21" s="808" t="s">
        <v>1019</v>
      </c>
      <c r="C21" s="809"/>
      <c r="D21" s="113" t="s">
        <v>253</v>
      </c>
      <c r="E21" s="107" t="s">
        <v>342</v>
      </c>
      <c r="F21" s="115">
        <f>26732.65</f>
        <v>26732.65</v>
      </c>
      <c r="G21" s="111"/>
      <c r="H21" s="111">
        <f t="shared" si="3"/>
        <v>80197.95</v>
      </c>
      <c r="I21" s="111">
        <f t="shared" si="4"/>
        <v>2004.94875</v>
      </c>
      <c r="J21" s="111"/>
      <c r="K21" s="111">
        <f t="shared" si="5"/>
        <v>13366.325000000001</v>
      </c>
      <c r="L21" s="111">
        <f t="shared" si="6"/>
        <v>93564.274999999994</v>
      </c>
      <c r="M21" s="111">
        <f t="shared" si="7"/>
        <v>26732.65</v>
      </c>
      <c r="N21" s="43"/>
      <c r="O21" s="43">
        <f t="shared" si="16"/>
        <v>70000</v>
      </c>
      <c r="P21" s="111">
        <f t="shared" si="8"/>
        <v>2673.2649999999999</v>
      </c>
      <c r="Q21" s="111">
        <v>20000</v>
      </c>
      <c r="R21" s="111">
        <v>0</v>
      </c>
      <c r="S21" s="111">
        <f t="shared" si="0"/>
        <v>335272.06374999997</v>
      </c>
      <c r="T21" s="111">
        <v>327211.36749999999</v>
      </c>
      <c r="U21" s="111">
        <f t="shared" si="1"/>
        <v>8060.69625000015</v>
      </c>
      <c r="V21" s="111"/>
      <c r="W21" s="111">
        <v>7709.76</v>
      </c>
      <c r="X21" s="111">
        <v>7709.76</v>
      </c>
      <c r="Y21" s="111">
        <f t="shared" si="2"/>
        <v>0</v>
      </c>
      <c r="Z21" s="111"/>
      <c r="AA21" s="111"/>
      <c r="AB21" s="111"/>
      <c r="AC21" s="144"/>
    </row>
    <row r="22" spans="1:29" ht="19.5" customHeight="1">
      <c r="A22" s="107">
        <v>14</v>
      </c>
      <c r="B22" s="808" t="s">
        <v>1111</v>
      </c>
      <c r="C22" s="809"/>
      <c r="D22" s="99" t="s">
        <v>1112</v>
      </c>
      <c r="E22" s="107" t="s">
        <v>342</v>
      </c>
      <c r="F22" s="115">
        <f>26732.65</f>
        <v>26732.65</v>
      </c>
      <c r="G22" s="111"/>
      <c r="H22" s="111">
        <f t="shared" si="3"/>
        <v>80197.95</v>
      </c>
      <c r="I22" s="111">
        <f t="shared" si="4"/>
        <v>2004.94875</v>
      </c>
      <c r="J22" s="111"/>
      <c r="K22" s="111">
        <f t="shared" si="5"/>
        <v>13366.325000000001</v>
      </c>
      <c r="L22" s="111">
        <f t="shared" si="6"/>
        <v>93564.274999999994</v>
      </c>
      <c r="M22" s="111">
        <f t="shared" si="7"/>
        <v>26732.65</v>
      </c>
      <c r="N22" s="43">
        <f>140000</f>
        <v>140000</v>
      </c>
      <c r="O22" s="43"/>
      <c r="P22" s="111">
        <f t="shared" si="8"/>
        <v>2673.2649999999999</v>
      </c>
      <c r="Q22" s="111">
        <v>20000</v>
      </c>
      <c r="R22" s="111">
        <f>50000+100000</f>
        <v>150000</v>
      </c>
      <c r="S22" s="111">
        <f t="shared" si="0"/>
        <v>555272.06374999997</v>
      </c>
      <c r="T22" s="111">
        <v>547211.36750000005</v>
      </c>
      <c r="U22" s="111">
        <f t="shared" si="1"/>
        <v>8060.69625000015</v>
      </c>
      <c r="V22" s="111"/>
      <c r="W22" s="111">
        <f t="shared" ref="W22:W104" si="17">7709.76</f>
        <v>7709.76</v>
      </c>
      <c r="X22" s="111">
        <v>7709.76</v>
      </c>
      <c r="Y22" s="111">
        <f t="shared" si="2"/>
        <v>0</v>
      </c>
      <c r="Z22" s="111"/>
      <c r="AA22" s="111"/>
      <c r="AB22" s="111"/>
      <c r="AC22" s="144"/>
    </row>
    <row r="23" spans="1:29" ht="20.149999999999999" customHeight="1">
      <c r="A23" s="107">
        <v>15</v>
      </c>
      <c r="B23" s="806" t="s">
        <v>252</v>
      </c>
      <c r="C23" s="807"/>
      <c r="D23" s="113" t="s">
        <v>1161</v>
      </c>
      <c r="E23" s="112" t="s">
        <v>263</v>
      </c>
      <c r="F23" s="111">
        <f>26339.3</f>
        <v>26339.3</v>
      </c>
      <c r="G23" s="111"/>
      <c r="H23" s="111">
        <f t="shared" si="3"/>
        <v>79017.899999999994</v>
      </c>
      <c r="I23" s="111">
        <f t="shared" si="4"/>
        <v>1975.4475</v>
      </c>
      <c r="J23" s="111">
        <v>0</v>
      </c>
      <c r="K23" s="111">
        <f t="shared" si="5"/>
        <v>13169.65</v>
      </c>
      <c r="L23" s="111">
        <f t="shared" si="6"/>
        <v>92187.55</v>
      </c>
      <c r="M23" s="111">
        <f t="shared" si="7"/>
        <v>26339.3</v>
      </c>
      <c r="N23" s="43"/>
      <c r="O23" s="43">
        <f t="shared" si="16"/>
        <v>70000</v>
      </c>
      <c r="P23" s="111">
        <f t="shared" si="8"/>
        <v>2633.93</v>
      </c>
      <c r="Q23" s="111">
        <v>15000</v>
      </c>
      <c r="R23" s="111">
        <f>0</f>
        <v>0</v>
      </c>
      <c r="S23" s="111">
        <f t="shared" si="0"/>
        <v>326663.07750000001</v>
      </c>
      <c r="T23" s="111">
        <v>326663.07750000001</v>
      </c>
      <c r="U23" s="111">
        <f t="shared" si="1"/>
        <v>0</v>
      </c>
      <c r="V23" s="111"/>
      <c r="W23" s="111">
        <f t="shared" si="17"/>
        <v>7709.76</v>
      </c>
      <c r="X23" s="111">
        <v>7709.76</v>
      </c>
      <c r="Y23" s="111">
        <f t="shared" si="2"/>
        <v>0</v>
      </c>
      <c r="Z23" s="111"/>
      <c r="AA23" s="111"/>
      <c r="AB23" s="111"/>
      <c r="AC23" s="144"/>
    </row>
    <row r="24" spans="1:29" ht="20.149999999999999" customHeight="1">
      <c r="A24" s="107">
        <v>16</v>
      </c>
      <c r="B24" s="808" t="s">
        <v>241</v>
      </c>
      <c r="C24" s="809"/>
      <c r="D24" s="99" t="s">
        <v>1207</v>
      </c>
      <c r="E24" s="112" t="s">
        <v>1163</v>
      </c>
      <c r="F24" s="111">
        <f>23074.99</f>
        <v>23074.99</v>
      </c>
      <c r="G24" s="111"/>
      <c r="H24" s="111">
        <f t="shared" si="3"/>
        <v>69224.97</v>
      </c>
      <c r="I24" s="111">
        <f t="shared" si="4"/>
        <v>1730.6242500000001</v>
      </c>
      <c r="J24" s="111">
        <f>265272</f>
        <v>265272</v>
      </c>
      <c r="K24" s="111">
        <f t="shared" si="5"/>
        <v>11537.495000000001</v>
      </c>
      <c r="L24" s="111">
        <f t="shared" si="6"/>
        <v>80762.464999999997</v>
      </c>
      <c r="M24" s="111">
        <f t="shared" si="7"/>
        <v>23074.99</v>
      </c>
      <c r="N24" s="43"/>
      <c r="O24" s="43">
        <f t="shared" si="16"/>
        <v>70000</v>
      </c>
      <c r="P24" s="111">
        <f t="shared" si="8"/>
        <v>2307.4989999999998</v>
      </c>
      <c r="Q24" s="111">
        <v>15000</v>
      </c>
      <c r="R24" s="111">
        <f>100000+100000</f>
        <v>200000</v>
      </c>
      <c r="S24" s="111">
        <f t="shared" si="0"/>
        <v>761985.03324999998</v>
      </c>
      <c r="T24" s="111">
        <v>761985.03324999998</v>
      </c>
      <c r="U24" s="111">
        <f t="shared" si="1"/>
        <v>0</v>
      </c>
      <c r="V24" s="111"/>
      <c r="W24" s="111">
        <f t="shared" si="17"/>
        <v>7709.76</v>
      </c>
      <c r="X24" s="111">
        <v>7709.76</v>
      </c>
      <c r="Y24" s="111">
        <f t="shared" si="2"/>
        <v>0</v>
      </c>
      <c r="Z24" s="111"/>
      <c r="AA24" s="111"/>
      <c r="AB24" s="111"/>
      <c r="AC24" s="144"/>
    </row>
    <row r="25" spans="1:29" ht="20.149999999999999" customHeight="1">
      <c r="A25" s="107">
        <v>17</v>
      </c>
      <c r="B25" s="806" t="s">
        <v>264</v>
      </c>
      <c r="C25" s="807"/>
      <c r="D25" s="110" t="s">
        <v>265</v>
      </c>
      <c r="E25" s="112" t="s">
        <v>1162</v>
      </c>
      <c r="F25" s="111">
        <f>23891.12</f>
        <v>23891.119999999999</v>
      </c>
      <c r="G25" s="111"/>
      <c r="H25" s="111">
        <f t="shared" si="3"/>
        <v>71673.36</v>
      </c>
      <c r="I25" s="111">
        <f t="shared" si="4"/>
        <v>1791.8340000000001</v>
      </c>
      <c r="J25" s="111">
        <v>0</v>
      </c>
      <c r="K25" s="111">
        <f t="shared" si="5"/>
        <v>11945.56</v>
      </c>
      <c r="L25" s="111">
        <f t="shared" si="6"/>
        <v>83618.92</v>
      </c>
      <c r="M25" s="111">
        <f t="shared" si="7"/>
        <v>23891.119999999999</v>
      </c>
      <c r="N25" s="43">
        <f>120000</f>
        <v>120000</v>
      </c>
      <c r="O25" s="43"/>
      <c r="P25" s="111">
        <f t="shared" si="8"/>
        <v>2389.1120000000001</v>
      </c>
      <c r="Q25" s="111">
        <v>15000</v>
      </c>
      <c r="R25" s="111">
        <v>0</v>
      </c>
      <c r="S25" s="111">
        <f t="shared" si="0"/>
        <v>354201.02600000001</v>
      </c>
      <c r="T25" s="111">
        <v>346713.03324999998</v>
      </c>
      <c r="U25" s="111">
        <f t="shared" si="1"/>
        <v>7487.9927500000304</v>
      </c>
      <c r="V25" s="111"/>
      <c r="W25" s="111">
        <f t="shared" ref="W25:W98" si="18">7709.76</f>
        <v>7709.76</v>
      </c>
      <c r="X25" s="111">
        <v>7709.76</v>
      </c>
      <c r="Y25" s="111">
        <f t="shared" si="2"/>
        <v>0</v>
      </c>
      <c r="Z25" s="111"/>
      <c r="AA25" s="111"/>
      <c r="AB25" s="111"/>
      <c r="AC25" s="144"/>
    </row>
    <row r="26" spans="1:29" ht="20.149999999999999" customHeight="1">
      <c r="A26" s="107">
        <v>18</v>
      </c>
      <c r="B26" s="806" t="s">
        <v>270</v>
      </c>
      <c r="C26" s="807"/>
      <c r="D26" s="110" t="s">
        <v>1164</v>
      </c>
      <c r="E26" s="112" t="s">
        <v>432</v>
      </c>
      <c r="F26" s="111">
        <f>18779.3</f>
        <v>18779.3</v>
      </c>
      <c r="G26" s="111"/>
      <c r="H26" s="111">
        <f t="shared" si="3"/>
        <v>56337.9</v>
      </c>
      <c r="I26" s="111">
        <f t="shared" si="4"/>
        <v>1408.4475</v>
      </c>
      <c r="J26" s="111"/>
      <c r="K26" s="111">
        <f t="shared" si="5"/>
        <v>9389.65</v>
      </c>
      <c r="L26" s="111">
        <f t="shared" si="6"/>
        <v>65727.55</v>
      </c>
      <c r="M26" s="111">
        <f t="shared" si="7"/>
        <v>18779.3</v>
      </c>
      <c r="N26" s="43"/>
      <c r="O26" s="43">
        <f>60000</f>
        <v>60000</v>
      </c>
      <c r="P26" s="111">
        <f t="shared" si="8"/>
        <v>1877.93</v>
      </c>
      <c r="Q26" s="111">
        <v>10000</v>
      </c>
      <c r="R26" s="111"/>
      <c r="S26" s="111">
        <f t="shared" si="0"/>
        <v>242300.07750000001</v>
      </c>
      <c r="T26" s="111">
        <v>237734.04699999999</v>
      </c>
      <c r="U26" s="111">
        <f t="shared" si="1"/>
        <v>4566.0304999999598</v>
      </c>
      <c r="V26" s="111"/>
      <c r="W26" s="111">
        <v>3369.51</v>
      </c>
      <c r="X26" s="111">
        <v>3369.51</v>
      </c>
      <c r="Y26" s="111">
        <f t="shared" si="2"/>
        <v>0</v>
      </c>
      <c r="Z26" s="111"/>
      <c r="AA26" s="111"/>
      <c r="AB26" s="111"/>
      <c r="AC26" s="144"/>
    </row>
    <row r="27" spans="1:29" ht="18.75" customHeight="1">
      <c r="A27" s="107">
        <v>19</v>
      </c>
      <c r="B27" s="806" t="s">
        <v>389</v>
      </c>
      <c r="C27" s="807"/>
      <c r="D27" s="110" t="s">
        <v>390</v>
      </c>
      <c r="E27" s="112" t="s">
        <v>332</v>
      </c>
      <c r="F27" s="111">
        <f>21520.88</f>
        <v>21520.880000000001</v>
      </c>
      <c r="G27" s="111"/>
      <c r="H27" s="111">
        <f t="shared" si="3"/>
        <v>64562.64</v>
      </c>
      <c r="I27" s="111">
        <f t="shared" si="4"/>
        <v>1614.066</v>
      </c>
      <c r="J27" s="111"/>
      <c r="K27" s="111">
        <f t="shared" si="5"/>
        <v>10760.44</v>
      </c>
      <c r="L27" s="111">
        <f t="shared" si="6"/>
        <v>75323.08</v>
      </c>
      <c r="M27" s="111">
        <f t="shared" si="7"/>
        <v>21520.880000000001</v>
      </c>
      <c r="N27" s="43"/>
      <c r="O27" s="43">
        <f>60000</f>
        <v>60000</v>
      </c>
      <c r="P27" s="111">
        <f t="shared" si="8"/>
        <v>2152.0880000000002</v>
      </c>
      <c r="Q27" s="111">
        <v>15000</v>
      </c>
      <c r="R27" s="111"/>
      <c r="S27" s="111">
        <f t="shared" si="0"/>
        <v>272454.07400000002</v>
      </c>
      <c r="T27" s="111">
        <v>265372.07500000001</v>
      </c>
      <c r="U27" s="111">
        <f t="shared" si="1"/>
        <v>7081.9990000000698</v>
      </c>
      <c r="V27" s="111"/>
      <c r="W27" s="111">
        <v>3369.51</v>
      </c>
      <c r="X27" s="111">
        <v>3369.51</v>
      </c>
      <c r="Y27" s="111">
        <f t="shared" si="2"/>
        <v>0</v>
      </c>
      <c r="Z27" s="111"/>
      <c r="AA27" s="111"/>
      <c r="AB27" s="111"/>
      <c r="AC27" s="144"/>
    </row>
    <row r="28" spans="1:29" ht="18.75" customHeight="1">
      <c r="A28" s="107">
        <v>20</v>
      </c>
      <c r="B28" s="108" t="s">
        <v>267</v>
      </c>
      <c r="C28" s="109"/>
      <c r="D28" s="99" t="s">
        <v>268</v>
      </c>
      <c r="E28" s="112" t="s">
        <v>345</v>
      </c>
      <c r="F28" s="71">
        <f>18281.64</f>
        <v>18281.64</v>
      </c>
      <c r="G28" s="71"/>
      <c r="H28" s="71">
        <f t="shared" si="3"/>
        <v>54844.92</v>
      </c>
      <c r="I28" s="71">
        <f t="shared" si="4"/>
        <v>1371.123</v>
      </c>
      <c r="J28" s="71"/>
      <c r="K28" s="71">
        <f t="shared" si="5"/>
        <v>9140.82</v>
      </c>
      <c r="L28" s="71">
        <f t="shared" si="6"/>
        <v>63985.74</v>
      </c>
      <c r="M28" s="71">
        <f t="shared" si="7"/>
        <v>18281.64</v>
      </c>
      <c r="N28" s="43">
        <f>100000</f>
        <v>100000</v>
      </c>
      <c r="O28" s="43"/>
      <c r="P28" s="71">
        <f t="shared" si="8"/>
        <v>1828.164</v>
      </c>
      <c r="Q28" s="71">
        <v>10000</v>
      </c>
      <c r="R28" s="71">
        <f>100000</f>
        <v>100000</v>
      </c>
      <c r="S28" s="111">
        <f t="shared" si="0"/>
        <v>377734.04700000002</v>
      </c>
      <c r="T28" s="111">
        <v>373168.2</v>
      </c>
      <c r="U28" s="111">
        <f t="shared" si="1"/>
        <v>4565.8470000000098</v>
      </c>
      <c r="V28" s="71"/>
      <c r="W28" s="71">
        <v>3369.51</v>
      </c>
      <c r="X28" s="71">
        <v>3369.51</v>
      </c>
      <c r="Y28" s="111">
        <f t="shared" si="2"/>
        <v>0</v>
      </c>
      <c r="Z28" s="111"/>
      <c r="AA28" s="71"/>
      <c r="AB28" s="71"/>
      <c r="AC28" s="144"/>
    </row>
    <row r="29" spans="1:29" ht="18.75" customHeight="1">
      <c r="A29" s="107">
        <v>21</v>
      </c>
      <c r="B29" s="108" t="s">
        <v>280</v>
      </c>
      <c r="C29" s="109"/>
      <c r="D29" s="110" t="s">
        <v>176</v>
      </c>
      <c r="E29" s="112" t="s">
        <v>1129</v>
      </c>
      <c r="F29" s="121">
        <f>13492.21</f>
        <v>13492.21</v>
      </c>
      <c r="G29" s="111"/>
      <c r="H29" s="111">
        <f t="shared" si="3"/>
        <v>40476.629999999997</v>
      </c>
      <c r="I29" s="111">
        <f t="shared" si="4"/>
        <v>1011.91575</v>
      </c>
      <c r="J29" s="111"/>
      <c r="K29" s="111">
        <f t="shared" si="5"/>
        <v>6746.1049999999996</v>
      </c>
      <c r="L29" s="111">
        <f t="shared" si="6"/>
        <v>47222.735000000001</v>
      </c>
      <c r="M29" s="111">
        <f t="shared" si="7"/>
        <v>13492.21</v>
      </c>
      <c r="N29" s="43"/>
      <c r="O29" s="43">
        <f>50000</f>
        <v>50000</v>
      </c>
      <c r="P29" s="111">
        <f t="shared" si="8"/>
        <v>1349.221</v>
      </c>
      <c r="Q29" s="111">
        <v>10000</v>
      </c>
      <c r="R29" s="111"/>
      <c r="S29" s="111">
        <f t="shared" si="0"/>
        <v>183791.02674999999</v>
      </c>
      <c r="T29" s="111">
        <v>180304.068</v>
      </c>
      <c r="U29" s="111">
        <f t="shared" si="1"/>
        <v>3486.9587499999898</v>
      </c>
      <c r="V29" s="111"/>
      <c r="W29" s="111">
        <v>1484.37</v>
      </c>
      <c r="X29" s="111">
        <v>1484.37</v>
      </c>
      <c r="Y29" s="111">
        <f t="shared" si="2"/>
        <v>0</v>
      </c>
      <c r="Z29" s="111"/>
      <c r="AA29" s="111"/>
      <c r="AB29" s="111"/>
      <c r="AC29" s="144"/>
    </row>
    <row r="30" spans="1:29" ht="18.75" customHeight="1">
      <c r="A30" s="107">
        <v>22</v>
      </c>
      <c r="B30" s="108" t="s">
        <v>933</v>
      </c>
      <c r="C30" s="109"/>
      <c r="D30" s="110" t="s">
        <v>293</v>
      </c>
      <c r="E30" s="112" t="s">
        <v>31</v>
      </c>
      <c r="F30" s="71">
        <f>12351.94</f>
        <v>12351.94</v>
      </c>
      <c r="G30" s="71"/>
      <c r="H30" s="71">
        <f t="shared" si="3"/>
        <v>37055.82</v>
      </c>
      <c r="I30" s="71">
        <f t="shared" si="4"/>
        <v>926.39549999999997</v>
      </c>
      <c r="J30" s="71"/>
      <c r="K30" s="71">
        <f t="shared" si="5"/>
        <v>6175.97</v>
      </c>
      <c r="L30" s="71">
        <f t="shared" si="6"/>
        <v>43231.79</v>
      </c>
      <c r="M30" s="71">
        <f t="shared" si="7"/>
        <v>12351.94</v>
      </c>
      <c r="N30" s="43"/>
      <c r="O30" s="43">
        <f>50000</f>
        <v>50000</v>
      </c>
      <c r="P30" s="71">
        <f t="shared" si="8"/>
        <v>1235.194</v>
      </c>
      <c r="Q30" s="71">
        <v>10000</v>
      </c>
      <c r="R30" s="71"/>
      <c r="S30" s="111">
        <f t="shared" si="0"/>
        <v>173329.04949999999</v>
      </c>
      <c r="T30" s="111">
        <v>173329.04949999999</v>
      </c>
      <c r="U30" s="111">
        <f t="shared" si="1"/>
        <v>0</v>
      </c>
      <c r="V30" s="71"/>
      <c r="W30" s="43">
        <f t="shared" ref="W30:W31" si="19">1484.37</f>
        <v>1484.37</v>
      </c>
      <c r="X30" s="71">
        <v>1484.37</v>
      </c>
      <c r="Y30" s="111">
        <f t="shared" si="2"/>
        <v>0</v>
      </c>
      <c r="Z30" s="111"/>
      <c r="AA30" s="71"/>
      <c r="AB30" s="71"/>
      <c r="AC30" s="144"/>
    </row>
    <row r="31" spans="1:29" ht="18.75" customHeight="1">
      <c r="A31" s="107">
        <v>23</v>
      </c>
      <c r="B31" s="108" t="s">
        <v>1113</v>
      </c>
      <c r="C31" s="109"/>
      <c r="D31" s="110" t="s">
        <v>293</v>
      </c>
      <c r="E31" s="112" t="s">
        <v>301</v>
      </c>
      <c r="F31" s="71">
        <f>17784.1</f>
        <v>17784.099999999999</v>
      </c>
      <c r="G31" s="71"/>
      <c r="H31" s="71">
        <f t="shared" si="3"/>
        <v>53352.3</v>
      </c>
      <c r="I31" s="71">
        <f t="shared" si="4"/>
        <v>1333.8074999999999</v>
      </c>
      <c r="J31" s="71"/>
      <c r="K31" s="71">
        <f t="shared" si="5"/>
        <v>8892.0499999999993</v>
      </c>
      <c r="L31" s="71">
        <f t="shared" si="6"/>
        <v>62244.35</v>
      </c>
      <c r="M31" s="71">
        <f t="shared" si="7"/>
        <v>17784.099999999999</v>
      </c>
      <c r="N31" s="43"/>
      <c r="O31" s="43">
        <f>60000</f>
        <v>60000</v>
      </c>
      <c r="P31" s="71">
        <f t="shared" si="8"/>
        <v>1778.41</v>
      </c>
      <c r="Q31" s="71">
        <v>10000</v>
      </c>
      <c r="R31" s="71"/>
      <c r="S31" s="111">
        <f t="shared" si="0"/>
        <v>233169.11749999999</v>
      </c>
      <c r="T31" s="111">
        <v>228602.07775</v>
      </c>
      <c r="U31" s="111">
        <f t="shared" si="1"/>
        <v>4567.0397499999099</v>
      </c>
      <c r="V31" s="71"/>
      <c r="W31" s="43">
        <f t="shared" si="19"/>
        <v>1484.37</v>
      </c>
      <c r="X31" s="71">
        <v>1484.37</v>
      </c>
      <c r="Y31" s="111">
        <f t="shared" si="2"/>
        <v>0</v>
      </c>
      <c r="Z31" s="111"/>
      <c r="AA31" s="71"/>
      <c r="AB31" s="71"/>
      <c r="AC31" s="144"/>
    </row>
    <row r="32" spans="1:29" ht="18.75" customHeight="1">
      <c r="A32" s="107">
        <v>24</v>
      </c>
      <c r="B32" s="812" t="s">
        <v>340</v>
      </c>
      <c r="C32" s="812"/>
      <c r="D32" s="99" t="s">
        <v>968</v>
      </c>
      <c r="E32" s="112" t="s">
        <v>950</v>
      </c>
      <c r="F32" s="111">
        <f>24741.26</f>
        <v>24741.26</v>
      </c>
      <c r="G32" s="111"/>
      <c r="H32" s="111">
        <f t="shared" si="3"/>
        <v>74223.78</v>
      </c>
      <c r="I32" s="111">
        <f t="shared" si="4"/>
        <v>1855.5944999999999</v>
      </c>
      <c r="J32" s="111">
        <v>0</v>
      </c>
      <c r="K32" s="111">
        <f t="shared" si="5"/>
        <v>12370.63</v>
      </c>
      <c r="L32" s="111">
        <f t="shared" si="6"/>
        <v>86594.41</v>
      </c>
      <c r="M32" s="111">
        <f t="shared" si="7"/>
        <v>24741.26</v>
      </c>
      <c r="N32" s="43"/>
      <c r="O32" s="43">
        <f>70000</f>
        <v>70000</v>
      </c>
      <c r="P32" s="111">
        <f t="shared" si="8"/>
        <v>2474.1260000000002</v>
      </c>
      <c r="Q32" s="111">
        <v>15000</v>
      </c>
      <c r="R32" s="111">
        <v>0</v>
      </c>
      <c r="S32" s="111">
        <f t="shared" si="0"/>
        <v>312001.06050000002</v>
      </c>
      <c r="T32" s="111">
        <v>304201.02600000001</v>
      </c>
      <c r="U32" s="111">
        <f t="shared" si="1"/>
        <v>7800.0345000000098</v>
      </c>
      <c r="V32" s="111"/>
      <c r="W32" s="111">
        <f>7709.76</f>
        <v>7709.76</v>
      </c>
      <c r="X32" s="111">
        <v>7709.76</v>
      </c>
      <c r="Y32" s="111">
        <f t="shared" si="2"/>
        <v>0</v>
      </c>
      <c r="Z32" s="111"/>
      <c r="AA32" s="111"/>
      <c r="AB32" s="111"/>
      <c r="AC32" s="144"/>
    </row>
    <row r="33" spans="1:29" ht="18.75" customHeight="1">
      <c r="A33" s="107">
        <v>25</v>
      </c>
      <c r="B33" s="806" t="s">
        <v>387</v>
      </c>
      <c r="C33" s="807"/>
      <c r="D33" s="99" t="s">
        <v>1165</v>
      </c>
      <c r="E33" s="112" t="s">
        <v>432</v>
      </c>
      <c r="F33" s="111">
        <f>18779.3</f>
        <v>18779.3</v>
      </c>
      <c r="G33" s="111"/>
      <c r="H33" s="111">
        <f t="shared" si="3"/>
        <v>56337.9</v>
      </c>
      <c r="I33" s="111">
        <f t="shared" si="4"/>
        <v>1408.4475</v>
      </c>
      <c r="J33" s="111"/>
      <c r="K33" s="111">
        <f t="shared" si="5"/>
        <v>9389.65</v>
      </c>
      <c r="L33" s="111">
        <f t="shared" si="6"/>
        <v>65727.55</v>
      </c>
      <c r="M33" s="111">
        <f t="shared" si="7"/>
        <v>18779.3</v>
      </c>
      <c r="N33" s="43"/>
      <c r="O33" s="43">
        <f>60000</f>
        <v>60000</v>
      </c>
      <c r="P33" s="111">
        <f t="shared" si="8"/>
        <v>1877.93</v>
      </c>
      <c r="Q33" s="111">
        <v>10000</v>
      </c>
      <c r="R33" s="111"/>
      <c r="S33" s="111">
        <f t="shared" si="0"/>
        <v>242300.07750000001</v>
      </c>
      <c r="T33" s="111">
        <v>237734.04699999999</v>
      </c>
      <c r="U33" s="111">
        <f t="shared" si="1"/>
        <v>4566.0304999999598</v>
      </c>
      <c r="V33" s="111"/>
      <c r="W33" s="111">
        <v>3369.51</v>
      </c>
      <c r="X33" s="111">
        <v>3369.51</v>
      </c>
      <c r="Y33" s="111">
        <f t="shared" si="2"/>
        <v>0</v>
      </c>
      <c r="Z33" s="111"/>
      <c r="AA33" s="111"/>
      <c r="AB33" s="111"/>
      <c r="AC33" s="144"/>
    </row>
    <row r="34" spans="1:29" ht="18.75" customHeight="1">
      <c r="A34" s="107">
        <v>26</v>
      </c>
      <c r="B34" s="108" t="s">
        <v>427</v>
      </c>
      <c r="C34" s="109"/>
      <c r="D34" s="99" t="s">
        <v>1128</v>
      </c>
      <c r="E34" s="112" t="s">
        <v>345</v>
      </c>
      <c r="F34" s="71">
        <f>18281.64</f>
        <v>18281.64</v>
      </c>
      <c r="G34" s="71"/>
      <c r="H34" s="71">
        <f t="shared" si="3"/>
        <v>54844.92</v>
      </c>
      <c r="I34" s="71">
        <f t="shared" si="4"/>
        <v>1371.123</v>
      </c>
      <c r="J34" s="71"/>
      <c r="K34" s="71">
        <f t="shared" si="5"/>
        <v>9140.82</v>
      </c>
      <c r="L34" s="71">
        <f t="shared" si="6"/>
        <v>63985.74</v>
      </c>
      <c r="M34" s="71">
        <f t="shared" si="7"/>
        <v>18281.64</v>
      </c>
      <c r="N34" s="43"/>
      <c r="O34" s="43">
        <v>60000</v>
      </c>
      <c r="P34" s="71">
        <f t="shared" si="8"/>
        <v>1828.164</v>
      </c>
      <c r="Q34" s="71">
        <v>10000</v>
      </c>
      <c r="R34" s="71"/>
      <c r="S34" s="111">
        <f t="shared" si="0"/>
        <v>237734.04699999999</v>
      </c>
      <c r="T34" s="111">
        <v>233168.2</v>
      </c>
      <c r="U34" s="111">
        <f t="shared" si="1"/>
        <v>4565.8470000000398</v>
      </c>
      <c r="V34" s="111"/>
      <c r="W34" s="111">
        <v>3369.51</v>
      </c>
      <c r="X34" s="111">
        <v>3369.51</v>
      </c>
      <c r="Y34" s="111">
        <f t="shared" si="2"/>
        <v>0</v>
      </c>
      <c r="Z34" s="111"/>
      <c r="AA34" s="111"/>
      <c r="AB34" s="111"/>
      <c r="AC34" s="144"/>
    </row>
    <row r="35" spans="1:29" ht="18.75" customHeight="1">
      <c r="A35" s="107">
        <v>27</v>
      </c>
      <c r="B35" s="806" t="s">
        <v>1020</v>
      </c>
      <c r="C35" s="807"/>
      <c r="D35" s="110" t="s">
        <v>967</v>
      </c>
      <c r="E35" s="112" t="s">
        <v>945</v>
      </c>
      <c r="F35" s="121">
        <f>13492.21</f>
        <v>13492.21</v>
      </c>
      <c r="G35" s="111"/>
      <c r="H35" s="111">
        <f t="shared" ref="H35:H38" si="20">F35*300%</f>
        <v>40476.629999999997</v>
      </c>
      <c r="I35" s="111">
        <f t="shared" ref="I35:I38" si="21">F35*7.5%</f>
        <v>1011.91575</v>
      </c>
      <c r="J35" s="111"/>
      <c r="K35" s="111">
        <f t="shared" ref="K35:K38" si="22">F35*50%</f>
        <v>6746.1049999999996</v>
      </c>
      <c r="L35" s="111">
        <f t="shared" ref="L35:L38" si="23">F35*350%</f>
        <v>47222.735000000001</v>
      </c>
      <c r="M35" s="111">
        <f t="shared" ref="M35:M38" si="24">F35*100%</f>
        <v>13492.21</v>
      </c>
      <c r="N35" s="43"/>
      <c r="O35" s="43">
        <f>50000</f>
        <v>50000</v>
      </c>
      <c r="P35" s="111">
        <f t="shared" ref="P35:P38" si="25">F35*10%</f>
        <v>1349.221</v>
      </c>
      <c r="Q35" s="111">
        <v>10000</v>
      </c>
      <c r="R35" s="111"/>
      <c r="S35" s="111">
        <f t="shared" ref="S35:S36" si="26">SUM(F35:R35)</f>
        <v>183791.02674999999</v>
      </c>
      <c r="T35" s="111">
        <v>180304.068</v>
      </c>
      <c r="U35" s="111">
        <f t="shared" si="1"/>
        <v>3486.9587499999898</v>
      </c>
      <c r="V35" s="111"/>
      <c r="W35" s="111">
        <v>1484.37</v>
      </c>
      <c r="X35" s="111">
        <v>1484.37</v>
      </c>
      <c r="Y35" s="111">
        <f t="shared" si="2"/>
        <v>0</v>
      </c>
      <c r="Z35" s="111"/>
      <c r="AA35" s="111"/>
      <c r="AB35" s="111"/>
      <c r="AC35" s="144"/>
    </row>
    <row r="36" spans="1:29" ht="18.75" customHeight="1">
      <c r="A36" s="107">
        <v>28</v>
      </c>
      <c r="B36" s="108" t="s">
        <v>282</v>
      </c>
      <c r="C36" s="109"/>
      <c r="D36" s="110" t="s">
        <v>967</v>
      </c>
      <c r="E36" s="112" t="s">
        <v>1166</v>
      </c>
      <c r="F36" s="121">
        <f>13112.16</f>
        <v>13112.16</v>
      </c>
      <c r="G36" s="111"/>
      <c r="H36" s="111">
        <f t="shared" si="20"/>
        <v>39336.480000000003</v>
      </c>
      <c r="I36" s="111">
        <f t="shared" si="21"/>
        <v>983.41200000000003</v>
      </c>
      <c r="J36" s="111"/>
      <c r="K36" s="111">
        <f t="shared" si="22"/>
        <v>6556.08</v>
      </c>
      <c r="L36" s="111">
        <f t="shared" si="23"/>
        <v>45892.56</v>
      </c>
      <c r="M36" s="111">
        <f t="shared" si="24"/>
        <v>13112.16</v>
      </c>
      <c r="N36" s="43"/>
      <c r="O36" s="43">
        <f>50000</f>
        <v>50000</v>
      </c>
      <c r="P36" s="111">
        <f t="shared" si="25"/>
        <v>1311.2159999999999</v>
      </c>
      <c r="Q36" s="111">
        <v>10000</v>
      </c>
      <c r="S36" s="111">
        <f t="shared" si="26"/>
        <v>180304.068</v>
      </c>
      <c r="T36" s="111">
        <v>176816.1</v>
      </c>
      <c r="U36" s="111">
        <f t="shared" si="1"/>
        <v>3487.9679999999898</v>
      </c>
      <c r="V36" s="111"/>
      <c r="W36" s="111">
        <f>(1484.37)</f>
        <v>1484.37</v>
      </c>
      <c r="X36" s="111">
        <v>1484.37</v>
      </c>
      <c r="Y36" s="111">
        <f t="shared" si="2"/>
        <v>0</v>
      </c>
      <c r="Z36" s="111"/>
      <c r="AA36" s="111"/>
      <c r="AB36" s="111"/>
      <c r="AC36" s="144"/>
    </row>
    <row r="37" spans="1:29" ht="18.75" customHeight="1">
      <c r="A37" s="107">
        <v>29</v>
      </c>
      <c r="B37" s="810" t="s">
        <v>370</v>
      </c>
      <c r="C37" s="811"/>
      <c r="D37" s="16" t="s">
        <v>1130</v>
      </c>
      <c r="E37" s="112" t="s">
        <v>291</v>
      </c>
      <c r="F37" s="71">
        <f>13112.16</f>
        <v>13112.16</v>
      </c>
      <c r="G37" s="71"/>
      <c r="H37" s="71">
        <f t="shared" si="20"/>
        <v>39336.480000000003</v>
      </c>
      <c r="I37" s="71">
        <f t="shared" si="21"/>
        <v>983.41200000000003</v>
      </c>
      <c r="J37" s="71"/>
      <c r="K37" s="71">
        <f t="shared" si="22"/>
        <v>6556.08</v>
      </c>
      <c r="L37" s="71">
        <f t="shared" si="23"/>
        <v>45892.56</v>
      </c>
      <c r="M37" s="71">
        <f t="shared" si="24"/>
        <v>13112.16</v>
      </c>
      <c r="N37" s="43"/>
      <c r="O37" s="43">
        <f>50000</f>
        <v>50000</v>
      </c>
      <c r="P37" s="71">
        <f t="shared" si="25"/>
        <v>1311.2159999999999</v>
      </c>
      <c r="Q37" s="71">
        <v>10000</v>
      </c>
      <c r="R37" s="71"/>
      <c r="S37" s="111">
        <f t="shared" si="0"/>
        <v>180304.068</v>
      </c>
      <c r="T37" s="111">
        <v>176816.1</v>
      </c>
      <c r="U37" s="111">
        <f t="shared" si="1"/>
        <v>3487.9680000000199</v>
      </c>
      <c r="V37" s="111"/>
      <c r="W37" s="43">
        <f t="shared" ref="W37:W38" si="27">1484.37</f>
        <v>1484.37</v>
      </c>
      <c r="X37" s="111">
        <v>1484.37</v>
      </c>
      <c r="Y37" s="111">
        <f t="shared" si="2"/>
        <v>0</v>
      </c>
      <c r="Z37" s="111"/>
      <c r="AA37" s="111"/>
      <c r="AB37" s="111"/>
      <c r="AC37" s="144"/>
    </row>
    <row r="38" spans="1:29" ht="18.75" customHeight="1">
      <c r="A38" s="107">
        <v>30</v>
      </c>
      <c r="B38" s="118" t="s">
        <v>287</v>
      </c>
      <c r="C38" s="119"/>
      <c r="D38" s="16" t="s">
        <v>288</v>
      </c>
      <c r="E38" s="112" t="s">
        <v>31</v>
      </c>
      <c r="F38" s="71">
        <f>12351.94</f>
        <v>12351.94</v>
      </c>
      <c r="G38" s="71"/>
      <c r="H38" s="71">
        <f t="shared" si="20"/>
        <v>37055.82</v>
      </c>
      <c r="I38" s="71">
        <f t="shared" si="21"/>
        <v>926.39549999999997</v>
      </c>
      <c r="J38" s="71"/>
      <c r="K38" s="71">
        <f t="shared" si="22"/>
        <v>6175.97</v>
      </c>
      <c r="L38" s="71">
        <f t="shared" si="23"/>
        <v>43231.79</v>
      </c>
      <c r="M38" s="71">
        <f t="shared" si="24"/>
        <v>12351.94</v>
      </c>
      <c r="N38" s="43"/>
      <c r="O38" s="43">
        <f>50000</f>
        <v>50000</v>
      </c>
      <c r="P38" s="71">
        <f t="shared" si="25"/>
        <v>1235.194</v>
      </c>
      <c r="Q38" s="71">
        <v>10000</v>
      </c>
      <c r="R38" s="71"/>
      <c r="S38" s="111">
        <f t="shared" si="0"/>
        <v>173329.04949999999</v>
      </c>
      <c r="T38" s="111">
        <v>173329.04949999999</v>
      </c>
      <c r="U38" s="111">
        <f t="shared" si="1"/>
        <v>0</v>
      </c>
      <c r="V38" s="111"/>
      <c r="W38" s="43">
        <f t="shared" si="27"/>
        <v>1484.37</v>
      </c>
      <c r="X38" s="111">
        <v>1484.37</v>
      </c>
      <c r="Y38" s="111">
        <f t="shared" si="2"/>
        <v>0</v>
      </c>
      <c r="Z38" s="111"/>
      <c r="AA38" s="111"/>
      <c r="AB38" s="111"/>
      <c r="AC38" s="144"/>
    </row>
    <row r="39" spans="1:29" ht="18.75" customHeight="1">
      <c r="A39" s="107"/>
      <c r="B39" s="813" t="s">
        <v>34</v>
      </c>
      <c r="C39" s="813"/>
      <c r="D39" s="102">
        <v>30</v>
      </c>
      <c r="E39" s="112"/>
      <c r="F39" s="123">
        <f t="shared" ref="F39:S39" si="28">SUM(F9:F38)</f>
        <v>942987.95</v>
      </c>
      <c r="G39" s="123">
        <f t="shared" si="28"/>
        <v>0</v>
      </c>
      <c r="H39" s="123">
        <f t="shared" si="28"/>
        <v>2668475.1</v>
      </c>
      <c r="I39" s="123">
        <f t="shared" si="28"/>
        <v>106834.07</v>
      </c>
      <c r="J39" s="123">
        <f t="shared" si="28"/>
        <v>826982.66</v>
      </c>
      <c r="K39" s="123">
        <f t="shared" si="28"/>
        <v>463469.54</v>
      </c>
      <c r="L39" s="123">
        <f t="shared" si="28"/>
        <v>2738747.2</v>
      </c>
      <c r="M39" s="123">
        <f t="shared" si="28"/>
        <v>902865.77</v>
      </c>
      <c r="N39" s="135">
        <f t="shared" si="28"/>
        <v>1170000</v>
      </c>
      <c r="O39" s="135">
        <f t="shared" si="28"/>
        <v>1530000</v>
      </c>
      <c r="P39" s="123">
        <f t="shared" si="28"/>
        <v>94298.8</v>
      </c>
      <c r="Q39" s="123">
        <f t="shared" si="28"/>
        <v>470000</v>
      </c>
      <c r="R39" s="123">
        <f t="shared" si="28"/>
        <v>875235</v>
      </c>
      <c r="S39" s="123">
        <f t="shared" si="28"/>
        <v>12789896.09</v>
      </c>
      <c r="T39" s="123">
        <v>12388712.888250001</v>
      </c>
      <c r="U39" s="142">
        <f>SUM(U9:U38)</f>
        <v>135911.20175000001</v>
      </c>
      <c r="V39" s="123"/>
      <c r="W39" s="123">
        <f t="shared" ref="W39" si="29">SUM(W9:W38)</f>
        <v>411374.07</v>
      </c>
      <c r="X39" s="123">
        <v>411374.07</v>
      </c>
      <c r="Y39" s="111">
        <f t="shared" si="2"/>
        <v>0</v>
      </c>
      <c r="Z39" s="123"/>
      <c r="AA39" s="123"/>
      <c r="AB39" s="123"/>
      <c r="AC39" s="144"/>
    </row>
    <row r="40" spans="1:29" ht="18.75" customHeight="1">
      <c r="A40" s="107"/>
      <c r="B40" s="122"/>
      <c r="C40" s="122"/>
      <c r="D40" s="99"/>
      <c r="E40" s="112"/>
      <c r="F40" s="123"/>
      <c r="G40" s="123"/>
      <c r="H40" s="123"/>
      <c r="I40" s="123"/>
      <c r="J40" s="123"/>
      <c r="K40" s="123"/>
      <c r="L40" s="123"/>
      <c r="M40" s="123"/>
      <c r="N40" s="43"/>
      <c r="O40" s="43"/>
      <c r="P40" s="123"/>
      <c r="Q40" s="123"/>
      <c r="R40" s="123"/>
      <c r="S40" s="123"/>
      <c r="T40" s="123"/>
      <c r="U40" s="111">
        <f t="shared" si="1"/>
        <v>0</v>
      </c>
      <c r="V40" s="123"/>
      <c r="W40" s="123"/>
      <c r="X40" s="123"/>
      <c r="Y40" s="111">
        <f t="shared" si="2"/>
        <v>0</v>
      </c>
      <c r="Z40" s="123"/>
      <c r="AA40" s="123"/>
      <c r="AB40" s="123"/>
    </row>
    <row r="41" spans="1:29" ht="18.75" customHeight="1">
      <c r="A41" s="107"/>
      <c r="B41" s="813" t="s">
        <v>35</v>
      </c>
      <c r="C41" s="813"/>
      <c r="D41" s="99"/>
      <c r="E41" s="112"/>
      <c r="F41" s="111"/>
      <c r="G41" s="111"/>
      <c r="H41" s="111"/>
      <c r="I41" s="111"/>
      <c r="J41" s="111"/>
      <c r="K41" s="111"/>
      <c r="L41" s="111"/>
      <c r="M41" s="111"/>
      <c r="N41" s="43"/>
      <c r="O41" s="43"/>
      <c r="P41" s="111"/>
      <c r="Q41" s="111"/>
      <c r="R41" s="111"/>
      <c r="S41" s="111"/>
      <c r="T41" s="111"/>
      <c r="U41" s="111">
        <f t="shared" si="1"/>
        <v>0</v>
      </c>
      <c r="V41" s="111"/>
      <c r="W41" s="111"/>
      <c r="X41" s="111"/>
      <c r="Y41" s="111">
        <f t="shared" si="2"/>
        <v>0</v>
      </c>
      <c r="Z41" s="111"/>
      <c r="AA41" s="111"/>
      <c r="AB41" s="111"/>
    </row>
    <row r="42" spans="1:29" ht="18.75" customHeight="1">
      <c r="A42" s="107">
        <v>1</v>
      </c>
      <c r="B42" s="108" t="s">
        <v>295</v>
      </c>
      <c r="C42" s="109"/>
      <c r="D42" s="99" t="s">
        <v>296</v>
      </c>
      <c r="E42" s="107" t="s">
        <v>1168</v>
      </c>
      <c r="F42" s="111">
        <f>79039.64</f>
        <v>79039.64</v>
      </c>
      <c r="G42" s="111"/>
      <c r="H42" s="111">
        <f>F42*300%</f>
        <v>237118.92</v>
      </c>
      <c r="I42" s="111">
        <f>F42*7.5%</f>
        <v>5927.973</v>
      </c>
      <c r="J42" s="111">
        <v>80244.38</v>
      </c>
      <c r="K42" s="111">
        <f>F42*50%</f>
        <v>39519.82</v>
      </c>
      <c r="L42" s="111">
        <f>F42*350%</f>
        <v>276638.74</v>
      </c>
      <c r="M42" s="111">
        <f t="shared" ref="M42" si="30">F42*100%</f>
        <v>79039.64</v>
      </c>
      <c r="N42" s="43"/>
      <c r="O42" s="43">
        <f>100000</f>
        <v>100000</v>
      </c>
      <c r="P42" s="111">
        <f t="shared" ref="P42" si="31">F42*10%</f>
        <v>7903.9639999999999</v>
      </c>
      <c r="Q42" s="111">
        <v>20000</v>
      </c>
      <c r="R42" s="111"/>
      <c r="S42" s="111">
        <f>SUM(F42:R42)</f>
        <v>925433.07700000005</v>
      </c>
      <c r="T42" s="111">
        <v>900657.45750000002</v>
      </c>
      <c r="U42" s="111">
        <f t="shared" si="1"/>
        <v>24775.619499999899</v>
      </c>
      <c r="V42" s="111"/>
      <c r="W42" s="111">
        <f>(52776.63)</f>
        <v>52776.63</v>
      </c>
      <c r="X42" s="111">
        <v>52776.63</v>
      </c>
      <c r="Y42" s="111">
        <f t="shared" si="2"/>
        <v>0</v>
      </c>
      <c r="Z42" s="111"/>
      <c r="AA42" s="111"/>
      <c r="AB42" s="111"/>
    </row>
    <row r="43" spans="1:29" ht="19.5" customHeight="1">
      <c r="A43" s="107"/>
      <c r="B43" s="124"/>
      <c r="C43" s="125" t="s">
        <v>34</v>
      </c>
      <c r="D43" s="102">
        <v>1</v>
      </c>
      <c r="E43" s="107"/>
      <c r="F43" s="123">
        <f t="shared" ref="F43:M43" si="32">SUM(F42:F42)</f>
        <v>79039.64</v>
      </c>
      <c r="G43" s="123">
        <f t="shared" si="32"/>
        <v>0</v>
      </c>
      <c r="H43" s="123">
        <f t="shared" si="32"/>
        <v>237118.92</v>
      </c>
      <c r="I43" s="123">
        <f t="shared" si="32"/>
        <v>5927.973</v>
      </c>
      <c r="J43" s="123">
        <f t="shared" si="32"/>
        <v>80244.38</v>
      </c>
      <c r="K43" s="123">
        <f t="shared" si="32"/>
        <v>39519.82</v>
      </c>
      <c r="L43" s="123">
        <f t="shared" si="32"/>
        <v>276638.74</v>
      </c>
      <c r="M43" s="123">
        <f t="shared" si="32"/>
        <v>79039.64</v>
      </c>
      <c r="N43" s="135"/>
      <c r="O43" s="135">
        <f>SUM(O42:O42)</f>
        <v>100000</v>
      </c>
      <c r="P43" s="123">
        <f>SUM(P42:P42)</f>
        <v>7903.9639999999999</v>
      </c>
      <c r="Q43" s="123">
        <f>SUM(Q42:Q42)</f>
        <v>20000</v>
      </c>
      <c r="R43" s="123">
        <f>SUM(R42:R42)</f>
        <v>0</v>
      </c>
      <c r="S43" s="123">
        <f>SUM(S42:S42)</f>
        <v>925433.07700000005</v>
      </c>
      <c r="T43" s="123">
        <v>900657.45750000002</v>
      </c>
      <c r="U43" s="142">
        <f t="shared" si="1"/>
        <v>24775.619499999899</v>
      </c>
      <c r="V43" s="123"/>
      <c r="W43" s="123">
        <f>SUM(W42:W42)</f>
        <v>52776.63</v>
      </c>
      <c r="X43" s="123">
        <v>52776.63</v>
      </c>
      <c r="Y43" s="111">
        <f t="shared" si="2"/>
        <v>0</v>
      </c>
      <c r="Z43" s="123"/>
      <c r="AA43" s="123"/>
      <c r="AB43" s="123"/>
    </row>
    <row r="44" spans="1:29" ht="20.149999999999999" customHeight="1">
      <c r="A44" s="107"/>
      <c r="B44" s="814"/>
      <c r="C44" s="815"/>
      <c r="D44" s="99"/>
      <c r="E44" s="107"/>
      <c r="F44" s="123"/>
      <c r="G44" s="123"/>
      <c r="H44" s="123"/>
      <c r="I44" s="123"/>
      <c r="J44" s="123"/>
      <c r="K44" s="123"/>
      <c r="L44" s="123"/>
      <c r="M44" s="123"/>
      <c r="N44" s="43"/>
      <c r="O44" s="43"/>
      <c r="P44" s="123"/>
      <c r="Q44" s="123"/>
      <c r="R44" s="123"/>
      <c r="S44" s="123"/>
      <c r="T44" s="123"/>
      <c r="U44" s="111">
        <f t="shared" si="1"/>
        <v>0</v>
      </c>
      <c r="V44" s="123"/>
      <c r="W44" s="123"/>
      <c r="X44" s="123"/>
      <c r="Y44" s="111">
        <f t="shared" si="2"/>
        <v>0</v>
      </c>
      <c r="Z44" s="111"/>
      <c r="AA44" s="111"/>
      <c r="AB44" s="111"/>
      <c r="AC44" s="93"/>
    </row>
    <row r="45" spans="1:29" ht="20.149999999999999" customHeight="1">
      <c r="A45" s="107"/>
      <c r="B45" s="816" t="s">
        <v>39</v>
      </c>
      <c r="C45" s="817"/>
      <c r="D45" s="126"/>
      <c r="E45" s="101"/>
      <c r="F45" s="123"/>
      <c r="G45" s="123"/>
      <c r="H45" s="123"/>
      <c r="I45" s="111"/>
      <c r="J45" s="111"/>
      <c r="K45" s="111"/>
      <c r="L45" s="111"/>
      <c r="M45" s="111"/>
      <c r="N45" s="43"/>
      <c r="O45" s="43"/>
      <c r="P45" s="111"/>
      <c r="Q45" s="111"/>
      <c r="R45" s="111"/>
      <c r="S45" s="111"/>
      <c r="T45" s="111"/>
      <c r="U45" s="111">
        <f t="shared" si="1"/>
        <v>0</v>
      </c>
      <c r="V45" s="111"/>
      <c r="W45" s="111"/>
      <c r="X45" s="111"/>
      <c r="Y45" s="111">
        <f t="shared" si="2"/>
        <v>0</v>
      </c>
      <c r="Z45" s="111"/>
      <c r="AA45" s="111"/>
      <c r="AB45" s="111"/>
    </row>
    <row r="46" spans="1:29" ht="20.149999999999999" customHeight="1">
      <c r="A46" s="107">
        <v>1</v>
      </c>
      <c r="B46" s="806" t="s">
        <v>302</v>
      </c>
      <c r="C46" s="807"/>
      <c r="D46" s="99" t="s">
        <v>303</v>
      </c>
      <c r="E46" s="107" t="s">
        <v>297</v>
      </c>
      <c r="F46" s="111">
        <f>81740.02</f>
        <v>81740.02</v>
      </c>
      <c r="G46" s="111"/>
      <c r="H46" s="111">
        <f>F46*300%</f>
        <v>245220.06</v>
      </c>
      <c r="I46" s="111">
        <f>F46*7.5%</f>
        <v>6130.5015000000003</v>
      </c>
      <c r="J46" s="111">
        <v>80244.38</v>
      </c>
      <c r="K46" s="111">
        <f>F46*50%</f>
        <v>40870.01</v>
      </c>
      <c r="L46" s="111">
        <f>F46*350%</f>
        <v>286090.07</v>
      </c>
      <c r="M46" s="111">
        <f t="shared" ref="M46:M55" si="33">F46*100%</f>
        <v>81740.02</v>
      </c>
      <c r="N46" s="43">
        <f>200000</f>
        <v>200000</v>
      </c>
      <c r="O46" s="43"/>
      <c r="P46" s="111">
        <f t="shared" ref="P46:P55" si="34">F46*10%</f>
        <v>8174.0020000000004</v>
      </c>
      <c r="Q46" s="111">
        <v>20000</v>
      </c>
      <c r="R46" s="111"/>
      <c r="S46" s="111">
        <f t="shared" ref="S46:S55" si="35">SUM(F46:R46)</f>
        <v>1050209.0634999999</v>
      </c>
      <c r="T46" s="111">
        <v>1050209.0634999999</v>
      </c>
      <c r="U46" s="111">
        <f t="shared" si="1"/>
        <v>0</v>
      </c>
      <c r="V46" s="111"/>
      <c r="W46" s="111">
        <f>52776.63</f>
        <v>52776.63</v>
      </c>
      <c r="X46" s="111">
        <v>52776.63</v>
      </c>
      <c r="Y46" s="111">
        <f t="shared" si="2"/>
        <v>0</v>
      </c>
      <c r="Z46" s="111"/>
      <c r="AA46" s="111"/>
      <c r="AB46" s="111"/>
    </row>
    <row r="47" spans="1:29" ht="20.149999999999999" customHeight="1">
      <c r="A47" s="107">
        <v>2</v>
      </c>
      <c r="B47" s="806" t="s">
        <v>304</v>
      </c>
      <c r="C47" s="807"/>
      <c r="D47" s="99" t="s">
        <v>305</v>
      </c>
      <c r="E47" s="107" t="s">
        <v>249</v>
      </c>
      <c r="F47" s="111">
        <f>33507.5</f>
        <v>33507.5</v>
      </c>
      <c r="G47" s="111"/>
      <c r="H47" s="111">
        <f>F47*300%</f>
        <v>100522.5</v>
      </c>
      <c r="I47" s="111">
        <f>F47*7.5%</f>
        <v>2513.0625</v>
      </c>
      <c r="J47" s="111">
        <v>40122.19</v>
      </c>
      <c r="K47" s="111">
        <f>F47*50%</f>
        <v>16753.75</v>
      </c>
      <c r="L47" s="111">
        <f>F47*350%</f>
        <v>117276.25</v>
      </c>
      <c r="M47" s="111">
        <f t="shared" si="33"/>
        <v>33507.5</v>
      </c>
      <c r="N47" s="43">
        <f>160000</f>
        <v>160000</v>
      </c>
      <c r="O47" s="43"/>
      <c r="P47" s="111">
        <f t="shared" si="34"/>
        <v>3350.75</v>
      </c>
      <c r="Q47" s="111">
        <v>20000</v>
      </c>
      <c r="R47" s="111">
        <v>0</v>
      </c>
      <c r="S47" s="111">
        <f t="shared" si="35"/>
        <v>527553.50249999994</v>
      </c>
      <c r="T47" s="111">
        <v>527553.50249999994</v>
      </c>
      <c r="U47" s="111">
        <f t="shared" si="1"/>
        <v>0</v>
      </c>
      <c r="V47" s="111"/>
      <c r="W47" s="111">
        <v>15548.33</v>
      </c>
      <c r="X47" s="111">
        <v>15548.33</v>
      </c>
      <c r="Y47" s="111">
        <f t="shared" si="2"/>
        <v>0</v>
      </c>
      <c r="Z47" s="111"/>
      <c r="AA47" s="111"/>
      <c r="AB47" s="111"/>
    </row>
    <row r="48" spans="1:29" ht="20.149999999999999" customHeight="1">
      <c r="A48" s="107">
        <v>3</v>
      </c>
      <c r="B48" s="806" t="s">
        <v>306</v>
      </c>
      <c r="C48" s="807"/>
      <c r="D48" s="99" t="s">
        <v>310</v>
      </c>
      <c r="E48" s="107" t="s">
        <v>249</v>
      </c>
      <c r="F48" s="111">
        <f>33507.5</f>
        <v>33507.5</v>
      </c>
      <c r="G48" s="111"/>
      <c r="H48" s="111">
        <f>F48*300%</f>
        <v>100522.5</v>
      </c>
      <c r="I48" s="111">
        <f>F48*7.5%</f>
        <v>2513.0625</v>
      </c>
      <c r="J48" s="111">
        <v>40122.19</v>
      </c>
      <c r="K48" s="111">
        <f>F48*50%</f>
        <v>16753.75</v>
      </c>
      <c r="L48" s="111">
        <f>F48*350%</f>
        <v>117276.25</v>
      </c>
      <c r="M48" s="111">
        <f t="shared" si="33"/>
        <v>33507.5</v>
      </c>
      <c r="N48" s="43">
        <f>160000</f>
        <v>160000</v>
      </c>
      <c r="O48" s="43"/>
      <c r="P48" s="111">
        <f t="shared" si="34"/>
        <v>3350.75</v>
      </c>
      <c r="Q48" s="111">
        <v>20000</v>
      </c>
      <c r="R48" s="111"/>
      <c r="S48" s="111">
        <f t="shared" si="35"/>
        <v>527553.50249999994</v>
      </c>
      <c r="T48" s="111">
        <v>527553.50249999994</v>
      </c>
      <c r="U48" s="111">
        <f t="shared" si="1"/>
        <v>0</v>
      </c>
      <c r="V48" s="111"/>
      <c r="W48" s="111">
        <v>15548.33</v>
      </c>
      <c r="X48" s="111">
        <v>15548.33</v>
      </c>
      <c r="Y48" s="111">
        <f t="shared" si="2"/>
        <v>0</v>
      </c>
      <c r="Z48" s="111"/>
      <c r="AA48" s="111"/>
      <c r="AB48" s="111"/>
    </row>
    <row r="49" spans="1:28" ht="20.149999999999999" customHeight="1">
      <c r="A49" s="107">
        <v>4</v>
      </c>
      <c r="B49" s="806" t="s">
        <v>309</v>
      </c>
      <c r="C49" s="807"/>
      <c r="D49" s="99" t="s">
        <v>310</v>
      </c>
      <c r="E49" s="107" t="s">
        <v>327</v>
      </c>
      <c r="F49" s="111">
        <f>32263.2</f>
        <v>32263.200000000001</v>
      </c>
      <c r="G49" s="111"/>
      <c r="H49" s="111">
        <f>F49*300%</f>
        <v>96789.6</v>
      </c>
      <c r="I49" s="111">
        <f>F49*7.5%</f>
        <v>2419.7399999999998</v>
      </c>
      <c r="J49" s="111">
        <v>40122.19</v>
      </c>
      <c r="K49" s="111">
        <f>F49*50%</f>
        <v>16131.6</v>
      </c>
      <c r="L49" s="111">
        <f>F49*350%</f>
        <v>112921.2</v>
      </c>
      <c r="M49" s="111">
        <f t="shared" si="33"/>
        <v>32263.200000000001</v>
      </c>
      <c r="N49" s="43">
        <f>160000</f>
        <v>160000</v>
      </c>
      <c r="O49" s="43"/>
      <c r="P49" s="111">
        <f t="shared" si="34"/>
        <v>3226.32</v>
      </c>
      <c r="Q49" s="111">
        <v>20000</v>
      </c>
      <c r="R49" s="111"/>
      <c r="S49" s="111">
        <f t="shared" si="35"/>
        <v>516137.05</v>
      </c>
      <c r="T49" s="111">
        <v>504720.04700000002</v>
      </c>
      <c r="U49" s="111">
        <f t="shared" si="1"/>
        <v>11417.003000000001</v>
      </c>
      <c r="V49" s="111"/>
      <c r="W49" s="111">
        <f>15548.33</f>
        <v>15548.33</v>
      </c>
      <c r="X49" s="111">
        <v>15548.33</v>
      </c>
      <c r="Y49" s="111">
        <f t="shared" si="2"/>
        <v>0</v>
      </c>
      <c r="Z49" s="111"/>
      <c r="AA49" s="111"/>
      <c r="AB49" s="111"/>
    </row>
    <row r="50" spans="1:28" ht="20.149999999999999" customHeight="1">
      <c r="A50" s="107">
        <v>5</v>
      </c>
      <c r="B50" s="806" t="s">
        <v>311</v>
      </c>
      <c r="C50" s="807"/>
      <c r="D50" s="99" t="s">
        <v>259</v>
      </c>
      <c r="E50" s="107" t="s">
        <v>254</v>
      </c>
      <c r="F50" s="111">
        <f>28489.81</f>
        <v>28489.81</v>
      </c>
      <c r="G50" s="111"/>
      <c r="H50" s="111">
        <f t="shared" ref="H50:H55" si="36">F50*300%</f>
        <v>85469.43</v>
      </c>
      <c r="I50" s="111">
        <f t="shared" ref="I50:I55" si="37">F50*7.5%</f>
        <v>2136.7357499999998</v>
      </c>
      <c r="J50" s="111">
        <v>0</v>
      </c>
      <c r="K50" s="111">
        <f t="shared" ref="K50:K55" si="38">F50*50%</f>
        <v>14244.905000000001</v>
      </c>
      <c r="L50" s="111">
        <f t="shared" ref="L50:L55" si="39">F50*350%</f>
        <v>99714.335000000006</v>
      </c>
      <c r="M50" s="111">
        <f t="shared" si="33"/>
        <v>28489.81</v>
      </c>
      <c r="N50" s="43">
        <f t="shared" ref="N50:N52" si="40">140000</f>
        <v>140000</v>
      </c>
      <c r="O50" s="43"/>
      <c r="P50" s="111">
        <f t="shared" si="34"/>
        <v>2848.9810000000002</v>
      </c>
      <c r="Q50" s="111">
        <v>20000</v>
      </c>
      <c r="R50" s="111">
        <v>0</v>
      </c>
      <c r="S50" s="111">
        <f t="shared" si="35"/>
        <v>421394.00675</v>
      </c>
      <c r="T50" s="111">
        <v>421394.00675</v>
      </c>
      <c r="U50" s="111">
        <f t="shared" si="1"/>
        <v>0</v>
      </c>
      <c r="V50" s="111"/>
      <c r="W50" s="111">
        <v>7709.76</v>
      </c>
      <c r="X50" s="111">
        <v>7709.76</v>
      </c>
      <c r="Y50" s="111">
        <f t="shared" si="2"/>
        <v>0</v>
      </c>
      <c r="Z50" s="111"/>
      <c r="AA50" s="111"/>
      <c r="AB50" s="111"/>
    </row>
    <row r="51" spans="1:28" ht="20.149999999999999" customHeight="1">
      <c r="A51" s="107">
        <v>6</v>
      </c>
      <c r="B51" s="806" t="s">
        <v>312</v>
      </c>
      <c r="C51" s="807"/>
      <c r="D51" s="99" t="s">
        <v>259</v>
      </c>
      <c r="E51" s="107" t="s">
        <v>342</v>
      </c>
      <c r="F51" s="111">
        <f>26732.65</f>
        <v>26732.65</v>
      </c>
      <c r="G51" s="111"/>
      <c r="H51" s="111">
        <f t="shared" si="36"/>
        <v>80197.95</v>
      </c>
      <c r="I51" s="111">
        <f t="shared" si="37"/>
        <v>2004.94875</v>
      </c>
      <c r="J51" s="111"/>
      <c r="K51" s="111">
        <f t="shared" si="38"/>
        <v>13366.325000000001</v>
      </c>
      <c r="L51" s="111">
        <f t="shared" si="39"/>
        <v>93564.274999999994</v>
      </c>
      <c r="M51" s="111">
        <f t="shared" si="33"/>
        <v>26732.65</v>
      </c>
      <c r="N51" s="43">
        <f t="shared" si="40"/>
        <v>140000</v>
      </c>
      <c r="O51" s="43"/>
      <c r="P51" s="111">
        <f t="shared" si="34"/>
        <v>2673.2649999999999</v>
      </c>
      <c r="Q51" s="111">
        <v>20000</v>
      </c>
      <c r="R51" s="111"/>
      <c r="S51" s="111">
        <f t="shared" si="35"/>
        <v>405272.06374999997</v>
      </c>
      <c r="T51" s="111">
        <v>397211.36749999999</v>
      </c>
      <c r="U51" s="111">
        <f t="shared" si="1"/>
        <v>8060.69624999998</v>
      </c>
      <c r="V51" s="111"/>
      <c r="W51" s="111">
        <v>7709.76</v>
      </c>
      <c r="X51" s="111">
        <v>7709.76</v>
      </c>
      <c r="Y51" s="111">
        <f t="shared" si="2"/>
        <v>0</v>
      </c>
      <c r="Z51" s="111"/>
      <c r="AA51" s="111"/>
      <c r="AB51" s="111"/>
    </row>
    <row r="52" spans="1:28" ht="20.149999999999999" customHeight="1">
      <c r="A52" s="107">
        <v>7</v>
      </c>
      <c r="B52" s="818" t="s">
        <v>313</v>
      </c>
      <c r="C52" s="819"/>
      <c r="D52" s="99" t="s">
        <v>256</v>
      </c>
      <c r="E52" s="15" t="s">
        <v>342</v>
      </c>
      <c r="F52" s="71">
        <f>26732.65</f>
        <v>26732.65</v>
      </c>
      <c r="G52" s="71"/>
      <c r="H52" s="71">
        <f t="shared" si="36"/>
        <v>80197.95</v>
      </c>
      <c r="I52" s="71">
        <f t="shared" si="37"/>
        <v>2004.94875</v>
      </c>
      <c r="J52" s="71"/>
      <c r="K52" s="71">
        <f t="shared" si="38"/>
        <v>13366.325000000001</v>
      </c>
      <c r="L52" s="71">
        <f t="shared" si="39"/>
        <v>93564.274999999994</v>
      </c>
      <c r="M52" s="71">
        <f t="shared" si="33"/>
        <v>26732.65</v>
      </c>
      <c r="N52" s="43">
        <f t="shared" si="40"/>
        <v>140000</v>
      </c>
      <c r="O52" s="43"/>
      <c r="P52" s="71">
        <f t="shared" si="34"/>
        <v>2673.2649999999999</v>
      </c>
      <c r="Q52" s="71">
        <v>20000</v>
      </c>
      <c r="R52" s="71"/>
      <c r="S52" s="111">
        <f t="shared" si="35"/>
        <v>405272.06374999997</v>
      </c>
      <c r="T52" s="111">
        <v>397211.36749999999</v>
      </c>
      <c r="U52" s="111">
        <f t="shared" si="1"/>
        <v>8060.69624999998</v>
      </c>
      <c r="V52" s="71"/>
      <c r="W52" s="71">
        <v>7709.76</v>
      </c>
      <c r="X52" s="71">
        <v>7709.76</v>
      </c>
      <c r="Y52" s="111">
        <f t="shared" si="2"/>
        <v>0</v>
      </c>
      <c r="Z52" s="111"/>
      <c r="AA52" s="111"/>
      <c r="AB52" s="111"/>
    </row>
    <row r="53" spans="1:28" ht="20.149999999999999" customHeight="1">
      <c r="A53" s="107">
        <v>8</v>
      </c>
      <c r="B53" s="806" t="s">
        <v>1025</v>
      </c>
      <c r="C53" s="807"/>
      <c r="D53" s="99" t="s">
        <v>47</v>
      </c>
      <c r="E53" s="107" t="s">
        <v>266</v>
      </c>
      <c r="F53" s="111">
        <f>25523.45</f>
        <v>25523.45</v>
      </c>
      <c r="G53" s="111"/>
      <c r="H53" s="111">
        <f t="shared" si="36"/>
        <v>76570.350000000006</v>
      </c>
      <c r="I53" s="111">
        <f t="shared" si="37"/>
        <v>1914.25875</v>
      </c>
      <c r="J53" s="111">
        <v>0</v>
      </c>
      <c r="K53" s="111">
        <f t="shared" si="38"/>
        <v>12761.725</v>
      </c>
      <c r="L53" s="111">
        <f t="shared" si="39"/>
        <v>89332.074999999997</v>
      </c>
      <c r="M53" s="111">
        <f t="shared" si="33"/>
        <v>25523.45</v>
      </c>
      <c r="N53" s="43">
        <f>120000</f>
        <v>120000</v>
      </c>
      <c r="O53" s="43"/>
      <c r="P53" s="111">
        <f t="shared" si="34"/>
        <v>2552.3449999999998</v>
      </c>
      <c r="Q53" s="111">
        <v>15000</v>
      </c>
      <c r="R53" s="111">
        <v>0</v>
      </c>
      <c r="S53" s="111">
        <f t="shared" si="35"/>
        <v>369177.65375</v>
      </c>
      <c r="T53" s="111">
        <v>362001.06050000002</v>
      </c>
      <c r="U53" s="111">
        <f t="shared" si="1"/>
        <v>7176.5932500000299</v>
      </c>
      <c r="V53" s="111"/>
      <c r="W53" s="111">
        <v>7709.76</v>
      </c>
      <c r="X53" s="111">
        <v>7709.76</v>
      </c>
      <c r="Y53" s="111">
        <f t="shared" si="2"/>
        <v>0</v>
      </c>
      <c r="Z53" s="111"/>
      <c r="AA53" s="111"/>
      <c r="AB53" s="111"/>
    </row>
    <row r="54" spans="1:28" ht="20.149999999999999" customHeight="1">
      <c r="A54" s="107">
        <v>9</v>
      </c>
      <c r="B54" s="820" t="s">
        <v>1208</v>
      </c>
      <c r="C54" s="821"/>
      <c r="D54" s="127" t="s">
        <v>256</v>
      </c>
      <c r="E54" s="128" t="s">
        <v>260</v>
      </c>
      <c r="F54" s="129">
        <f>25854.1</f>
        <v>25854.1</v>
      </c>
      <c r="G54" s="129"/>
      <c r="H54" s="129">
        <f t="shared" si="36"/>
        <v>77562.3</v>
      </c>
      <c r="I54" s="129">
        <f t="shared" si="37"/>
        <v>1939.0574999999999</v>
      </c>
      <c r="J54" s="129">
        <v>0</v>
      </c>
      <c r="K54" s="129">
        <f t="shared" si="38"/>
        <v>12927.05</v>
      </c>
      <c r="L54" s="129">
        <f t="shared" si="39"/>
        <v>90489.35</v>
      </c>
      <c r="M54" s="129">
        <f t="shared" si="33"/>
        <v>25854.1</v>
      </c>
      <c r="N54" s="136">
        <v>140000</v>
      </c>
      <c r="O54" s="136"/>
      <c r="P54" s="129">
        <f t="shared" si="34"/>
        <v>2585.41</v>
      </c>
      <c r="Q54" s="129">
        <v>20000</v>
      </c>
      <c r="R54" s="129">
        <v>0</v>
      </c>
      <c r="S54" s="129">
        <f t="shared" si="35"/>
        <v>397211.36749999999</v>
      </c>
      <c r="T54" s="129">
        <v>397211.36749999999</v>
      </c>
      <c r="U54" s="111">
        <f t="shared" si="1"/>
        <v>0</v>
      </c>
      <c r="V54" s="129"/>
      <c r="W54" s="129">
        <v>7709.76</v>
      </c>
      <c r="X54" s="129">
        <v>7709.76</v>
      </c>
      <c r="Y54" s="111">
        <f t="shared" si="2"/>
        <v>0</v>
      </c>
      <c r="Z54" s="111"/>
      <c r="AA54" s="111"/>
      <c r="AB54" s="111"/>
    </row>
    <row r="55" spans="1:28" ht="20.149999999999999" customHeight="1">
      <c r="A55" s="107">
        <v>10</v>
      </c>
      <c r="B55" s="810" t="s">
        <v>258</v>
      </c>
      <c r="C55" s="811"/>
      <c r="D55" s="99" t="s">
        <v>353</v>
      </c>
      <c r="E55" s="9" t="s">
        <v>950</v>
      </c>
      <c r="F55" s="71">
        <f>24741.26</f>
        <v>24741.26</v>
      </c>
      <c r="G55" s="111"/>
      <c r="H55" s="71">
        <f t="shared" si="36"/>
        <v>74223.78</v>
      </c>
      <c r="I55" s="71">
        <f t="shared" si="37"/>
        <v>1855.5944999999999</v>
      </c>
      <c r="J55" s="71"/>
      <c r="K55" s="71">
        <f t="shared" si="38"/>
        <v>12370.63</v>
      </c>
      <c r="L55" s="71">
        <f t="shared" si="39"/>
        <v>86594.41</v>
      </c>
      <c r="M55" s="71">
        <f t="shared" si="33"/>
        <v>24741.26</v>
      </c>
      <c r="N55" s="43">
        <f t="shared" ref="N55" si="41">120000</f>
        <v>120000</v>
      </c>
      <c r="O55" s="43"/>
      <c r="P55" s="71">
        <f t="shared" si="34"/>
        <v>2474.1260000000002</v>
      </c>
      <c r="Q55" s="71">
        <v>15000</v>
      </c>
      <c r="R55" s="71"/>
      <c r="S55" s="111">
        <f t="shared" si="35"/>
        <v>362001.06050000002</v>
      </c>
      <c r="T55" s="111">
        <v>354201.02600000001</v>
      </c>
      <c r="U55" s="111">
        <f t="shared" si="1"/>
        <v>7800.0344999999497</v>
      </c>
      <c r="V55" s="71"/>
      <c r="W55" s="71">
        <f>7709.76</f>
        <v>7709.76</v>
      </c>
      <c r="X55" s="71">
        <v>7709.76</v>
      </c>
      <c r="Y55" s="111">
        <f t="shared" si="2"/>
        <v>0</v>
      </c>
      <c r="Z55" s="111"/>
      <c r="AA55" s="111"/>
      <c r="AB55" s="111"/>
    </row>
    <row r="56" spans="1:28" ht="20.149999999999999" customHeight="1">
      <c r="A56" s="107"/>
      <c r="B56" s="822" t="s">
        <v>34</v>
      </c>
      <c r="C56" s="823"/>
      <c r="D56" s="20">
        <v>10</v>
      </c>
      <c r="E56" s="20"/>
      <c r="F56" s="79">
        <f t="shared" ref="F56:N56" si="42">SUM(F46:F55)</f>
        <v>339092.14</v>
      </c>
      <c r="G56" s="79">
        <f t="shared" si="42"/>
        <v>0</v>
      </c>
      <c r="H56" s="79">
        <f t="shared" si="42"/>
        <v>1017276.42</v>
      </c>
      <c r="I56" s="79">
        <f t="shared" si="42"/>
        <v>25431.910500000002</v>
      </c>
      <c r="J56" s="79">
        <f t="shared" si="42"/>
        <v>200610.95</v>
      </c>
      <c r="K56" s="79">
        <f t="shared" si="42"/>
        <v>169546.07</v>
      </c>
      <c r="L56" s="79">
        <f t="shared" si="42"/>
        <v>1186822.49</v>
      </c>
      <c r="M56" s="79">
        <f t="shared" si="42"/>
        <v>339092.14</v>
      </c>
      <c r="N56" s="135">
        <f t="shared" si="42"/>
        <v>1480000</v>
      </c>
      <c r="O56" s="135"/>
      <c r="P56" s="79">
        <f>SUM(P46:P55)</f>
        <v>33909.214</v>
      </c>
      <c r="Q56" s="79">
        <f>SUM(Q46:Q55)</f>
        <v>190000</v>
      </c>
      <c r="R56" s="79">
        <f>SUM(R46:R55)</f>
        <v>0</v>
      </c>
      <c r="S56" s="79">
        <f>SUM(S46:S55)</f>
        <v>4981781.3344999999</v>
      </c>
      <c r="T56" s="79">
        <v>4939266.3112500003</v>
      </c>
      <c r="U56" s="142">
        <f t="shared" si="1"/>
        <v>42515.023249998703</v>
      </c>
      <c r="V56" s="79"/>
      <c r="W56" s="79">
        <f>SUM(W46:W55)</f>
        <v>145680.18</v>
      </c>
      <c r="X56" s="79">
        <v>145680.18</v>
      </c>
      <c r="Y56" s="111">
        <f t="shared" si="2"/>
        <v>0</v>
      </c>
      <c r="Z56" s="79"/>
      <c r="AA56" s="79"/>
      <c r="AB56" s="79"/>
    </row>
    <row r="57" spans="1:28" ht="20.149999999999999" customHeight="1">
      <c r="A57" s="107"/>
      <c r="B57" s="132"/>
      <c r="C57" s="132"/>
      <c r="D57" s="20"/>
      <c r="E57" s="20"/>
      <c r="F57" s="133"/>
      <c r="G57" s="133"/>
      <c r="H57" s="133"/>
      <c r="I57" s="133"/>
      <c r="J57" s="133"/>
      <c r="K57" s="133"/>
      <c r="L57" s="133"/>
      <c r="M57" s="133"/>
      <c r="N57" s="43"/>
      <c r="O57" s="43"/>
      <c r="P57" s="133"/>
      <c r="Q57" s="133"/>
      <c r="R57" s="133"/>
      <c r="S57" s="133"/>
      <c r="T57" s="133"/>
      <c r="U57" s="111">
        <f t="shared" si="1"/>
        <v>0</v>
      </c>
      <c r="V57" s="133"/>
      <c r="W57" s="133"/>
      <c r="X57" s="133"/>
      <c r="Y57" s="111">
        <f t="shared" si="2"/>
        <v>0</v>
      </c>
      <c r="Z57" s="133"/>
      <c r="AA57" s="133"/>
      <c r="AB57" s="133"/>
    </row>
    <row r="58" spans="1:28" ht="20.149999999999999" customHeight="1">
      <c r="A58" s="107"/>
      <c r="B58" s="822" t="s">
        <v>318</v>
      </c>
      <c r="C58" s="823"/>
      <c r="D58" s="20"/>
      <c r="E58" s="20"/>
      <c r="F58" s="133"/>
      <c r="G58" s="133"/>
      <c r="H58" s="133"/>
      <c r="I58" s="133"/>
      <c r="J58" s="133"/>
      <c r="K58" s="133"/>
      <c r="L58" s="133"/>
      <c r="M58" s="133"/>
      <c r="N58" s="43"/>
      <c r="O58" s="43"/>
      <c r="P58" s="133"/>
      <c r="Q58" s="133"/>
      <c r="R58" s="133"/>
      <c r="S58" s="133"/>
      <c r="T58" s="133"/>
      <c r="U58" s="111">
        <f t="shared" si="1"/>
        <v>0</v>
      </c>
      <c r="V58" s="133"/>
      <c r="W58" s="133"/>
      <c r="X58" s="133"/>
      <c r="Y58" s="111">
        <f t="shared" si="2"/>
        <v>0</v>
      </c>
      <c r="Z58" s="133"/>
      <c r="AA58" s="133"/>
      <c r="AB58" s="133"/>
    </row>
    <row r="59" spans="1:28" ht="20.149999999999999" customHeight="1">
      <c r="A59" s="107">
        <v>1</v>
      </c>
      <c r="B59" s="806" t="s">
        <v>319</v>
      </c>
      <c r="C59" s="807"/>
      <c r="D59" s="110" t="s">
        <v>320</v>
      </c>
      <c r="E59" s="112" t="s">
        <v>297</v>
      </c>
      <c r="F59" s="111">
        <f>81740.02</f>
        <v>81740.02</v>
      </c>
      <c r="G59" s="111"/>
      <c r="H59" s="111">
        <f>F59*300%</f>
        <v>245220.06</v>
      </c>
      <c r="I59" s="111">
        <f>F59*7.5%</f>
        <v>6130.5015000000003</v>
      </c>
      <c r="J59" s="111">
        <v>80244.38</v>
      </c>
      <c r="K59" s="111">
        <f>F59*50%</f>
        <v>40870.01</v>
      </c>
      <c r="L59" s="111">
        <f>F59*350%</f>
        <v>286090.07</v>
      </c>
      <c r="M59" s="111">
        <f>F59*100%</f>
        <v>81740.02</v>
      </c>
      <c r="N59" s="43">
        <f>200000</f>
        <v>200000</v>
      </c>
      <c r="O59" s="43"/>
      <c r="P59" s="111">
        <f>F59*10%</f>
        <v>8174.0020000000004</v>
      </c>
      <c r="Q59" s="111">
        <v>20000</v>
      </c>
      <c r="R59" s="111">
        <v>0</v>
      </c>
      <c r="S59" s="111">
        <f>SUM(F59:R59)</f>
        <v>1050209.0634999999</v>
      </c>
      <c r="T59" s="111">
        <v>1050209.0634999999</v>
      </c>
      <c r="U59" s="111">
        <f t="shared" si="1"/>
        <v>0</v>
      </c>
      <c r="V59" s="111"/>
      <c r="W59" s="111">
        <v>52776.63</v>
      </c>
      <c r="X59" s="111">
        <v>52776.63</v>
      </c>
      <c r="Y59" s="111">
        <f t="shared" si="2"/>
        <v>0</v>
      </c>
      <c r="Z59" s="111"/>
      <c r="AA59" s="111"/>
      <c r="AB59" s="111"/>
    </row>
    <row r="60" spans="1:28" ht="20.149999999999999" customHeight="1">
      <c r="A60" s="107">
        <v>2</v>
      </c>
      <c r="B60" s="108" t="s">
        <v>321</v>
      </c>
      <c r="C60" s="109"/>
      <c r="D60" s="110" t="s">
        <v>322</v>
      </c>
      <c r="E60" s="112" t="s">
        <v>222</v>
      </c>
      <c r="F60" s="111">
        <f>32263.2</f>
        <v>32263.200000000001</v>
      </c>
      <c r="G60" s="111"/>
      <c r="H60" s="111">
        <f t="shared" ref="H60" si="43">F60*300%</f>
        <v>96789.6</v>
      </c>
      <c r="I60" s="111">
        <f t="shared" ref="I60" si="44">F60*7.5%</f>
        <v>2419.7399999999998</v>
      </c>
      <c r="J60" s="111">
        <v>40122.19</v>
      </c>
      <c r="K60" s="111">
        <f t="shared" ref="K60" si="45">F60*50%</f>
        <v>16131.6</v>
      </c>
      <c r="L60" s="111">
        <f t="shared" ref="L60" si="46">F60*350%</f>
        <v>112921.2</v>
      </c>
      <c r="M60" s="111">
        <f t="shared" ref="M60" si="47">F60*100%</f>
        <v>32263.200000000001</v>
      </c>
      <c r="N60" s="43"/>
      <c r="O60" s="43">
        <f>80000</f>
        <v>80000</v>
      </c>
      <c r="P60" s="111">
        <f t="shared" ref="P60" si="48">F60*10%</f>
        <v>3226.32</v>
      </c>
      <c r="Q60" s="111">
        <v>20000</v>
      </c>
      <c r="R60" s="141">
        <v>0</v>
      </c>
      <c r="S60" s="111">
        <f t="shared" ref="S60" si="49">SUM(F60:R60)</f>
        <v>436137.05</v>
      </c>
      <c r="T60" s="111">
        <v>424720.04700000002</v>
      </c>
      <c r="U60" s="111">
        <f t="shared" si="1"/>
        <v>11417.003000000001</v>
      </c>
      <c r="V60" s="111"/>
      <c r="W60" s="111">
        <f>15548.33</f>
        <v>15548.33</v>
      </c>
      <c r="X60" s="111">
        <v>15548.33</v>
      </c>
      <c r="Y60" s="111">
        <f t="shared" si="2"/>
        <v>0</v>
      </c>
      <c r="Z60" s="111"/>
      <c r="AA60" s="111"/>
      <c r="AB60" s="111"/>
    </row>
    <row r="61" spans="1:28" ht="20.149999999999999" customHeight="1">
      <c r="A61" s="107"/>
      <c r="B61" s="822" t="s">
        <v>34</v>
      </c>
      <c r="C61" s="823"/>
      <c r="D61" s="20">
        <v>2</v>
      </c>
      <c r="E61" s="20"/>
      <c r="F61" s="79">
        <f>SUM(F59:F60)</f>
        <v>114003.22</v>
      </c>
      <c r="G61" s="79"/>
      <c r="H61" s="79">
        <f t="shared" ref="H61:S61" si="50">SUM(H59:H60)</f>
        <v>342009.66</v>
      </c>
      <c r="I61" s="79">
        <f t="shared" si="50"/>
        <v>8550.2415000000001</v>
      </c>
      <c r="J61" s="79">
        <f t="shared" si="50"/>
        <v>120366.57</v>
      </c>
      <c r="K61" s="79">
        <f t="shared" si="50"/>
        <v>57001.61</v>
      </c>
      <c r="L61" s="79">
        <f t="shared" si="50"/>
        <v>399011.27</v>
      </c>
      <c r="M61" s="79">
        <f t="shared" si="50"/>
        <v>114003.22</v>
      </c>
      <c r="N61" s="135">
        <f t="shared" si="50"/>
        <v>200000</v>
      </c>
      <c r="O61" s="135">
        <f t="shared" si="50"/>
        <v>80000</v>
      </c>
      <c r="P61" s="79">
        <f t="shared" si="50"/>
        <v>11400.322</v>
      </c>
      <c r="Q61" s="79">
        <f t="shared" si="50"/>
        <v>40000</v>
      </c>
      <c r="R61" s="79">
        <f t="shared" si="50"/>
        <v>0</v>
      </c>
      <c r="S61" s="79">
        <f t="shared" si="50"/>
        <v>1486346.1135</v>
      </c>
      <c r="T61" s="79">
        <v>1474929.1105</v>
      </c>
      <c r="U61" s="142">
        <f t="shared" si="1"/>
        <v>11417.003000000001</v>
      </c>
      <c r="V61" s="79"/>
      <c r="W61" s="79">
        <f>SUM(W59:W60)</f>
        <v>68324.960000000006</v>
      </c>
      <c r="X61" s="79">
        <v>68324.960000000006</v>
      </c>
      <c r="Y61" s="111">
        <f t="shared" si="2"/>
        <v>0</v>
      </c>
      <c r="Z61" s="79"/>
      <c r="AA61" s="79"/>
      <c r="AB61" s="79"/>
    </row>
    <row r="62" spans="1:28" ht="20.149999999999999" customHeight="1">
      <c r="A62" s="107"/>
      <c r="B62" s="822"/>
      <c r="C62" s="823"/>
      <c r="D62" s="20"/>
      <c r="E62" s="20"/>
      <c r="F62" s="133"/>
      <c r="G62" s="133"/>
      <c r="H62" s="133"/>
      <c r="I62" s="133"/>
      <c r="J62" s="133"/>
      <c r="K62" s="133"/>
      <c r="L62" s="133"/>
      <c r="M62" s="133"/>
      <c r="N62" s="43"/>
      <c r="O62" s="43"/>
      <c r="P62" s="133"/>
      <c r="Q62" s="133"/>
      <c r="R62" s="133"/>
      <c r="S62" s="133"/>
      <c r="T62" s="133"/>
      <c r="U62" s="111">
        <f t="shared" si="1"/>
        <v>0</v>
      </c>
      <c r="V62" s="133"/>
      <c r="W62" s="133"/>
      <c r="X62" s="133"/>
      <c r="Y62" s="111">
        <f t="shared" si="2"/>
        <v>0</v>
      </c>
      <c r="Z62" s="133"/>
      <c r="AA62" s="133"/>
      <c r="AB62" s="133"/>
    </row>
    <row r="63" spans="1:28" ht="20.149999999999999" customHeight="1">
      <c r="A63" s="107"/>
      <c r="B63" s="822" t="s">
        <v>1169</v>
      </c>
      <c r="C63" s="823"/>
      <c r="D63" s="20"/>
      <c r="E63" s="20"/>
      <c r="F63" s="133"/>
      <c r="G63" s="133"/>
      <c r="H63" s="133"/>
      <c r="I63" s="133"/>
      <c r="J63" s="133"/>
      <c r="K63" s="133"/>
      <c r="L63" s="133"/>
      <c r="M63" s="133"/>
      <c r="N63" s="43"/>
      <c r="O63" s="43"/>
      <c r="P63" s="133"/>
      <c r="Q63" s="133"/>
      <c r="R63" s="133"/>
      <c r="S63" s="133"/>
      <c r="T63" s="133"/>
      <c r="U63" s="111">
        <f t="shared" si="1"/>
        <v>0</v>
      </c>
      <c r="V63" s="133"/>
      <c r="W63" s="133"/>
      <c r="X63" s="133"/>
      <c r="Y63" s="111">
        <f t="shared" si="2"/>
        <v>0</v>
      </c>
      <c r="Z63" s="133"/>
      <c r="AA63" s="133"/>
      <c r="AB63" s="133"/>
    </row>
    <row r="64" spans="1:28" ht="20.149999999999999" customHeight="1">
      <c r="A64" s="107">
        <v>1</v>
      </c>
      <c r="B64" s="810" t="s">
        <v>323</v>
      </c>
      <c r="C64" s="811"/>
      <c r="D64" s="16" t="s">
        <v>324</v>
      </c>
      <c r="E64" s="9" t="s">
        <v>297</v>
      </c>
      <c r="F64" s="71">
        <f>81740.02</f>
        <v>81740.02</v>
      </c>
      <c r="G64" s="71"/>
      <c r="H64" s="71">
        <f t="shared" ref="H64:H75" si="51">F64*300%</f>
        <v>245220.06</v>
      </c>
      <c r="I64" s="71">
        <f t="shared" ref="I64:I75" si="52">F64*7.5%</f>
        <v>6130.5015000000003</v>
      </c>
      <c r="J64" s="111">
        <v>80244.38</v>
      </c>
      <c r="K64" s="71">
        <f t="shared" ref="K64:K75" si="53">F64*50%</f>
        <v>40870.01</v>
      </c>
      <c r="L64" s="71">
        <f t="shared" ref="L64:L75" si="54">F64*350%</f>
        <v>286090.07</v>
      </c>
      <c r="M64" s="71">
        <f t="shared" ref="M64:M75" si="55">F64*100%</f>
        <v>81740.02</v>
      </c>
      <c r="N64" s="43">
        <f>200000</f>
        <v>200000</v>
      </c>
      <c r="O64" s="43"/>
      <c r="P64" s="71">
        <f t="shared" ref="P64:P75" si="56">F64*10%</f>
        <v>8174.0020000000004</v>
      </c>
      <c r="Q64" s="71">
        <v>20000</v>
      </c>
      <c r="R64" s="71">
        <v>0</v>
      </c>
      <c r="S64" s="71">
        <v>1050209.0634999999</v>
      </c>
      <c r="T64" s="71">
        <v>1025433.077</v>
      </c>
      <c r="U64" s="111">
        <f t="shared" si="1"/>
        <v>24775.986500000101</v>
      </c>
      <c r="V64" s="71"/>
      <c r="W64" s="71">
        <f>52776.63</f>
        <v>52776.63</v>
      </c>
      <c r="X64" s="71">
        <v>52776.63</v>
      </c>
      <c r="Y64" s="111">
        <f t="shared" si="2"/>
        <v>0</v>
      </c>
      <c r="Z64" s="71"/>
      <c r="AA64" s="71"/>
      <c r="AB64" s="71"/>
    </row>
    <row r="65" spans="1:28" ht="20.149999999999999" customHeight="1">
      <c r="A65" s="107">
        <v>2</v>
      </c>
      <c r="B65" s="118" t="s">
        <v>325</v>
      </c>
      <c r="C65" s="119"/>
      <c r="D65" s="16" t="s">
        <v>326</v>
      </c>
      <c r="E65" s="112" t="s">
        <v>952</v>
      </c>
      <c r="F65" s="111">
        <v>31018.84</v>
      </c>
      <c r="G65" s="111"/>
      <c r="H65" s="111">
        <f t="shared" si="51"/>
        <v>93056.52</v>
      </c>
      <c r="I65" s="111">
        <f t="shared" si="52"/>
        <v>2326.413</v>
      </c>
      <c r="J65" s="111">
        <v>40122.19</v>
      </c>
      <c r="K65" s="111">
        <f t="shared" si="53"/>
        <v>15509.42</v>
      </c>
      <c r="L65" s="111">
        <f t="shared" si="54"/>
        <v>108565.94</v>
      </c>
      <c r="M65" s="111">
        <f t="shared" si="55"/>
        <v>31018.84</v>
      </c>
      <c r="N65" s="43">
        <f>160000</f>
        <v>160000</v>
      </c>
      <c r="O65" s="43"/>
      <c r="P65" s="111">
        <f t="shared" si="56"/>
        <v>3101.884</v>
      </c>
      <c r="Q65" s="111">
        <v>20000</v>
      </c>
      <c r="R65" s="141">
        <v>0</v>
      </c>
      <c r="S65" s="111">
        <f t="shared" ref="S65:S75" si="57">SUM(F65:R65)</f>
        <v>504720.04700000002</v>
      </c>
      <c r="T65" s="111">
        <v>504720.04700000002</v>
      </c>
      <c r="U65" s="111">
        <f t="shared" si="1"/>
        <v>0</v>
      </c>
      <c r="V65" s="111"/>
      <c r="W65" s="111">
        <f>15548.33</f>
        <v>15548.33</v>
      </c>
      <c r="X65" s="111">
        <v>15548.33</v>
      </c>
      <c r="Y65" s="111">
        <f t="shared" si="2"/>
        <v>0</v>
      </c>
      <c r="Z65" s="71"/>
      <c r="AA65" s="111"/>
      <c r="AB65" s="111"/>
    </row>
    <row r="66" spans="1:28" ht="20.149999999999999" customHeight="1">
      <c r="A66" s="107">
        <v>3</v>
      </c>
      <c r="B66" s="810" t="s">
        <v>1209</v>
      </c>
      <c r="C66" s="811"/>
      <c r="D66" s="3" t="s">
        <v>353</v>
      </c>
      <c r="E66" s="9" t="s">
        <v>263</v>
      </c>
      <c r="F66" s="71">
        <f>26339.3</f>
        <v>26339.3</v>
      </c>
      <c r="G66" s="71"/>
      <c r="H66" s="71">
        <f t="shared" si="51"/>
        <v>79017.899999999994</v>
      </c>
      <c r="I66" s="71">
        <f t="shared" si="52"/>
        <v>1975.4475</v>
      </c>
      <c r="J66" s="71"/>
      <c r="K66" s="71">
        <f t="shared" si="53"/>
        <v>13169.65</v>
      </c>
      <c r="L66" s="71">
        <f t="shared" si="54"/>
        <v>92187.55</v>
      </c>
      <c r="M66" s="71">
        <f t="shared" si="55"/>
        <v>26339.3</v>
      </c>
      <c r="N66" s="43">
        <f t="shared" ref="N66:N68" si="58">120000</f>
        <v>120000</v>
      </c>
      <c r="O66" s="43"/>
      <c r="P66" s="71">
        <f t="shared" si="56"/>
        <v>2633.93</v>
      </c>
      <c r="Q66" s="71">
        <v>15000</v>
      </c>
      <c r="R66" s="71"/>
      <c r="S66" s="111">
        <f t="shared" si="57"/>
        <v>376663.07750000001</v>
      </c>
      <c r="T66" s="111">
        <v>369177.65375</v>
      </c>
      <c r="U66" s="111">
        <f t="shared" si="1"/>
        <v>7485.4237499999599</v>
      </c>
      <c r="V66" s="71"/>
      <c r="W66" s="71">
        <v>7709.76</v>
      </c>
      <c r="X66" s="71">
        <v>7709.76</v>
      </c>
      <c r="Y66" s="111">
        <f t="shared" si="2"/>
        <v>0</v>
      </c>
      <c r="Z66" s="71"/>
      <c r="AA66" s="111"/>
      <c r="AB66" s="111"/>
    </row>
    <row r="67" spans="1:28" ht="20.149999999999999" customHeight="1">
      <c r="A67" s="107">
        <v>4</v>
      </c>
      <c r="B67" s="810" t="s">
        <v>328</v>
      </c>
      <c r="C67" s="811"/>
      <c r="D67" s="99" t="s">
        <v>47</v>
      </c>
      <c r="E67" s="9" t="s">
        <v>950</v>
      </c>
      <c r="F67" s="71">
        <f>24741.26</f>
        <v>24741.26</v>
      </c>
      <c r="G67" s="71"/>
      <c r="H67" s="71">
        <f t="shared" si="51"/>
        <v>74223.78</v>
      </c>
      <c r="I67" s="71">
        <f t="shared" si="52"/>
        <v>1855.5944999999999</v>
      </c>
      <c r="J67" s="71"/>
      <c r="K67" s="71">
        <f t="shared" si="53"/>
        <v>12370.63</v>
      </c>
      <c r="L67" s="71">
        <f t="shared" si="54"/>
        <v>86594.41</v>
      </c>
      <c r="M67" s="71">
        <f t="shared" si="55"/>
        <v>24741.26</v>
      </c>
      <c r="N67" s="43">
        <f t="shared" si="58"/>
        <v>120000</v>
      </c>
      <c r="O67" s="43"/>
      <c r="P67" s="71">
        <f t="shared" si="56"/>
        <v>2474.1260000000002</v>
      </c>
      <c r="Q67" s="71">
        <v>15000</v>
      </c>
      <c r="R67" s="71"/>
      <c r="S67" s="71">
        <f t="shared" si="57"/>
        <v>362001.06050000002</v>
      </c>
      <c r="T67" s="71">
        <v>354201.02600000001</v>
      </c>
      <c r="U67" s="111">
        <f t="shared" si="1"/>
        <v>7800.0344999999497</v>
      </c>
      <c r="V67" s="71"/>
      <c r="W67" s="71">
        <f>7709.76</f>
        <v>7709.76</v>
      </c>
      <c r="X67" s="71">
        <v>7709.76</v>
      </c>
      <c r="Y67" s="111">
        <f t="shared" si="2"/>
        <v>0</v>
      </c>
      <c r="Z67" s="71"/>
      <c r="AA67" s="71"/>
      <c r="AB67" s="71"/>
    </row>
    <row r="68" spans="1:28" ht="20.149999999999999" customHeight="1">
      <c r="A68" s="107">
        <v>5</v>
      </c>
      <c r="B68" s="118" t="s">
        <v>1210</v>
      </c>
      <c r="C68" s="119"/>
      <c r="D68" s="16" t="s">
        <v>47</v>
      </c>
      <c r="E68" s="112" t="s">
        <v>1162</v>
      </c>
      <c r="F68" s="111">
        <f>23891.12</f>
        <v>23891.119999999999</v>
      </c>
      <c r="G68" s="111"/>
      <c r="H68" s="111">
        <f t="shared" si="51"/>
        <v>71673.36</v>
      </c>
      <c r="I68" s="111">
        <f t="shared" si="52"/>
        <v>1791.8340000000001</v>
      </c>
      <c r="J68" s="111">
        <v>0</v>
      </c>
      <c r="K68" s="111">
        <f t="shared" si="53"/>
        <v>11945.56</v>
      </c>
      <c r="L68" s="111">
        <f t="shared" si="54"/>
        <v>83618.92</v>
      </c>
      <c r="M68" s="111">
        <f t="shared" si="55"/>
        <v>23891.119999999999</v>
      </c>
      <c r="N68" s="43">
        <f t="shared" si="58"/>
        <v>120000</v>
      </c>
      <c r="O68" s="43"/>
      <c r="P68" s="111">
        <f t="shared" si="56"/>
        <v>2389.1120000000001</v>
      </c>
      <c r="Q68" s="111">
        <v>15000</v>
      </c>
      <c r="R68" s="111">
        <v>0</v>
      </c>
      <c r="S68" s="111">
        <f t="shared" si="57"/>
        <v>354201.02600000001</v>
      </c>
      <c r="T68" s="111">
        <v>346713.03324999998</v>
      </c>
      <c r="U68" s="111">
        <f t="shared" si="1"/>
        <v>7487.9927499999803</v>
      </c>
      <c r="V68" s="111"/>
      <c r="W68" s="111">
        <v>7709.76</v>
      </c>
      <c r="X68" s="111">
        <v>7709.76</v>
      </c>
      <c r="Y68" s="111">
        <f t="shared" si="2"/>
        <v>0</v>
      </c>
      <c r="Z68" s="71"/>
      <c r="AA68" s="111"/>
      <c r="AB68" s="111"/>
    </row>
    <row r="69" spans="1:28" ht="20.149999999999999" customHeight="1">
      <c r="A69" s="107">
        <v>6</v>
      </c>
      <c r="B69" s="808" t="s">
        <v>330</v>
      </c>
      <c r="C69" s="809"/>
      <c r="D69" s="16" t="s">
        <v>256</v>
      </c>
      <c r="E69" s="112" t="s">
        <v>342</v>
      </c>
      <c r="F69" s="111">
        <f>26732.65</f>
        <v>26732.65</v>
      </c>
      <c r="G69" s="111"/>
      <c r="H69" s="111">
        <f t="shared" si="51"/>
        <v>80197.95</v>
      </c>
      <c r="I69" s="111">
        <f t="shared" si="52"/>
        <v>2004.94875</v>
      </c>
      <c r="J69" s="111"/>
      <c r="K69" s="111">
        <f t="shared" si="53"/>
        <v>13366.325000000001</v>
      </c>
      <c r="L69" s="111">
        <f t="shared" si="54"/>
        <v>93564.274999999994</v>
      </c>
      <c r="M69" s="111">
        <f t="shared" si="55"/>
        <v>26732.65</v>
      </c>
      <c r="N69" s="43">
        <f>140000</f>
        <v>140000</v>
      </c>
      <c r="O69" s="43"/>
      <c r="P69" s="111">
        <f t="shared" si="56"/>
        <v>2673.2649999999999</v>
      </c>
      <c r="Q69" s="111">
        <v>20000</v>
      </c>
      <c r="R69" s="111"/>
      <c r="S69" s="111">
        <f t="shared" si="57"/>
        <v>405272.06374999997</v>
      </c>
      <c r="T69" s="111">
        <v>397211.36749999999</v>
      </c>
      <c r="U69" s="111">
        <f t="shared" si="1"/>
        <v>8060.69624999998</v>
      </c>
      <c r="V69" s="111"/>
      <c r="W69" s="111">
        <f>7709.76</f>
        <v>7709.76</v>
      </c>
      <c r="X69" s="111">
        <v>7709.76</v>
      </c>
      <c r="Y69" s="111">
        <f t="shared" si="2"/>
        <v>0</v>
      </c>
      <c r="Z69" s="71"/>
      <c r="AA69" s="111"/>
      <c r="AB69" s="111"/>
    </row>
    <row r="70" spans="1:28" ht="20.149999999999999" customHeight="1">
      <c r="A70" s="107">
        <v>7</v>
      </c>
      <c r="B70" s="810" t="s">
        <v>331</v>
      </c>
      <c r="C70" s="811"/>
      <c r="D70" s="3" t="s">
        <v>63</v>
      </c>
      <c r="E70" s="9" t="s">
        <v>1170</v>
      </c>
      <c r="F70" s="71">
        <f>19774.62</f>
        <v>19774.62</v>
      </c>
      <c r="G70" s="71"/>
      <c r="H70" s="71">
        <f t="shared" si="51"/>
        <v>59323.86</v>
      </c>
      <c r="I70" s="71">
        <f t="shared" si="52"/>
        <v>1483.0965000000001</v>
      </c>
      <c r="J70" s="71">
        <v>0</v>
      </c>
      <c r="K70" s="71">
        <f t="shared" si="53"/>
        <v>9887.31</v>
      </c>
      <c r="L70" s="71">
        <f t="shared" si="54"/>
        <v>69211.17</v>
      </c>
      <c r="M70" s="71">
        <f t="shared" si="55"/>
        <v>19774.62</v>
      </c>
      <c r="N70" s="43">
        <f>100000</f>
        <v>100000</v>
      </c>
      <c r="O70" s="43"/>
      <c r="P70" s="71">
        <f t="shared" si="56"/>
        <v>1977.462</v>
      </c>
      <c r="Q70" s="71">
        <v>10000</v>
      </c>
      <c r="R70" s="71">
        <v>0</v>
      </c>
      <c r="S70" s="111">
        <f t="shared" si="57"/>
        <v>291432.1385</v>
      </c>
      <c r="T70" s="111">
        <v>291432.1385</v>
      </c>
      <c r="U70" s="111">
        <f t="shared" si="1"/>
        <v>0</v>
      </c>
      <c r="V70" s="71"/>
      <c r="W70" s="71">
        <v>3369.51</v>
      </c>
      <c r="X70" s="71">
        <v>3369.51</v>
      </c>
      <c r="Y70" s="111">
        <f t="shared" si="2"/>
        <v>0</v>
      </c>
      <c r="Z70" s="71"/>
      <c r="AA70" s="111"/>
      <c r="AB70" s="111"/>
    </row>
    <row r="71" spans="1:28" ht="20.149999999999999" customHeight="1">
      <c r="A71" s="107">
        <v>8</v>
      </c>
      <c r="B71" s="812" t="s">
        <v>1033</v>
      </c>
      <c r="C71" s="812"/>
      <c r="D71" s="16" t="s">
        <v>63</v>
      </c>
      <c r="E71" s="112" t="s">
        <v>332</v>
      </c>
      <c r="F71" s="111">
        <f>21520.88</f>
        <v>21520.880000000001</v>
      </c>
      <c r="G71" s="111"/>
      <c r="H71" s="111">
        <f t="shared" si="51"/>
        <v>64562.64</v>
      </c>
      <c r="I71" s="111">
        <f t="shared" si="52"/>
        <v>1614.066</v>
      </c>
      <c r="J71" s="111">
        <v>0</v>
      </c>
      <c r="K71" s="111">
        <f t="shared" si="53"/>
        <v>10760.44</v>
      </c>
      <c r="L71" s="111">
        <f t="shared" si="54"/>
        <v>75323.08</v>
      </c>
      <c r="M71" s="111">
        <f t="shared" si="55"/>
        <v>21520.880000000001</v>
      </c>
      <c r="N71" s="43">
        <f>110000</f>
        <v>110000</v>
      </c>
      <c r="O71" s="43"/>
      <c r="P71" s="111">
        <f t="shared" si="56"/>
        <v>2152.0880000000002</v>
      </c>
      <c r="Q71" s="111">
        <v>15000</v>
      </c>
      <c r="R71" s="111">
        <v>0</v>
      </c>
      <c r="S71" s="111">
        <f t="shared" si="57"/>
        <v>322454.07400000002</v>
      </c>
      <c r="T71" s="111">
        <v>315372.07500000001</v>
      </c>
      <c r="U71" s="111">
        <f t="shared" si="1"/>
        <v>7081.9990000000098</v>
      </c>
      <c r="V71" s="111"/>
      <c r="W71" s="111">
        <f>3369.51</f>
        <v>3369.51</v>
      </c>
      <c r="X71" s="111">
        <v>3369.51</v>
      </c>
      <c r="Y71" s="111">
        <f t="shared" si="2"/>
        <v>0</v>
      </c>
      <c r="Z71" s="71"/>
      <c r="AA71" s="111"/>
      <c r="AB71" s="111"/>
    </row>
    <row r="72" spans="1:28" ht="20.149999999999999" customHeight="1">
      <c r="A72" s="107">
        <v>9</v>
      </c>
      <c r="B72" s="806" t="s">
        <v>335</v>
      </c>
      <c r="C72" s="807"/>
      <c r="D72" s="99" t="s">
        <v>344</v>
      </c>
      <c r="E72" s="107" t="s">
        <v>432</v>
      </c>
      <c r="F72" s="111">
        <f>18779.3</f>
        <v>18779.3</v>
      </c>
      <c r="G72" s="111"/>
      <c r="H72" s="111">
        <f t="shared" si="51"/>
        <v>56337.9</v>
      </c>
      <c r="I72" s="111">
        <f t="shared" si="52"/>
        <v>1408.4475</v>
      </c>
      <c r="J72" s="111"/>
      <c r="K72" s="111">
        <f t="shared" si="53"/>
        <v>9389.65</v>
      </c>
      <c r="L72" s="111">
        <f t="shared" si="54"/>
        <v>65727.55</v>
      </c>
      <c r="M72" s="111">
        <f t="shared" si="55"/>
        <v>18779.3</v>
      </c>
      <c r="N72" s="43">
        <f t="shared" ref="N72:N75" si="59">100000</f>
        <v>100000</v>
      </c>
      <c r="O72" s="43"/>
      <c r="P72" s="111">
        <f t="shared" si="56"/>
        <v>1877.93</v>
      </c>
      <c r="Q72" s="111">
        <v>10000</v>
      </c>
      <c r="R72" s="111"/>
      <c r="S72" s="111">
        <f t="shared" si="57"/>
        <v>282300.07750000001</v>
      </c>
      <c r="T72" s="111">
        <v>277734.04700000002</v>
      </c>
      <c r="U72" s="111">
        <f t="shared" si="1"/>
        <v>4566.0304999999898</v>
      </c>
      <c r="V72" s="111"/>
      <c r="W72" s="111">
        <v>3369.51</v>
      </c>
      <c r="X72" s="111">
        <v>3369.51</v>
      </c>
      <c r="Y72" s="111">
        <f t="shared" si="2"/>
        <v>0</v>
      </c>
      <c r="Z72" s="71"/>
      <c r="AA72" s="111"/>
      <c r="AB72" s="111"/>
    </row>
    <row r="73" spans="1:28" ht="20.149999999999999" customHeight="1">
      <c r="A73" s="107">
        <v>10</v>
      </c>
      <c r="B73" s="810" t="s">
        <v>1115</v>
      </c>
      <c r="C73" s="811"/>
      <c r="D73" s="16" t="s">
        <v>63</v>
      </c>
      <c r="E73" s="107" t="s">
        <v>38</v>
      </c>
      <c r="F73" s="111">
        <f>17286.33</f>
        <v>17286.330000000002</v>
      </c>
      <c r="G73" s="111"/>
      <c r="H73" s="111">
        <f t="shared" si="51"/>
        <v>51858.99</v>
      </c>
      <c r="I73" s="111">
        <f t="shared" si="52"/>
        <v>1296.4747500000001</v>
      </c>
      <c r="J73" s="111"/>
      <c r="K73" s="111">
        <f t="shared" si="53"/>
        <v>8643.1650000000009</v>
      </c>
      <c r="L73" s="111">
        <f t="shared" si="54"/>
        <v>60502.154999999999</v>
      </c>
      <c r="M73" s="111">
        <f t="shared" si="55"/>
        <v>17286.330000000002</v>
      </c>
      <c r="N73" s="43">
        <f t="shared" si="59"/>
        <v>100000</v>
      </c>
      <c r="O73" s="43"/>
      <c r="P73" s="111">
        <f t="shared" si="56"/>
        <v>1728.633</v>
      </c>
      <c r="Q73" s="111">
        <v>10000</v>
      </c>
      <c r="R73" s="111"/>
      <c r="S73" s="111">
        <f t="shared" si="57"/>
        <v>268602.07775</v>
      </c>
      <c r="T73" s="111">
        <v>268602.07775</v>
      </c>
      <c r="U73" s="111">
        <f t="shared" si="1"/>
        <v>0</v>
      </c>
      <c r="V73" s="111"/>
      <c r="W73" s="111">
        <v>3369.51</v>
      </c>
      <c r="X73" s="111">
        <v>3369.51</v>
      </c>
      <c r="Y73" s="111">
        <f t="shared" si="2"/>
        <v>0</v>
      </c>
      <c r="Z73" s="71"/>
      <c r="AA73" s="111"/>
      <c r="AB73" s="111"/>
    </row>
    <row r="74" spans="1:28" ht="20.149999999999999" customHeight="1">
      <c r="A74" s="107">
        <v>11</v>
      </c>
      <c r="B74" s="810" t="s">
        <v>281</v>
      </c>
      <c r="C74" s="811"/>
      <c r="D74" s="16" t="s">
        <v>273</v>
      </c>
      <c r="E74" s="107" t="s">
        <v>31</v>
      </c>
      <c r="F74" s="111">
        <f>12351.94</f>
        <v>12351.94</v>
      </c>
      <c r="G74" s="111"/>
      <c r="H74" s="111">
        <f t="shared" si="51"/>
        <v>37055.82</v>
      </c>
      <c r="I74" s="111">
        <f t="shared" si="52"/>
        <v>926.39549999999997</v>
      </c>
      <c r="J74" s="111"/>
      <c r="K74" s="111">
        <f t="shared" si="53"/>
        <v>6175.97</v>
      </c>
      <c r="L74" s="111">
        <f t="shared" si="54"/>
        <v>43231.79</v>
      </c>
      <c r="M74" s="111">
        <f t="shared" si="55"/>
        <v>12351.94</v>
      </c>
      <c r="N74" s="43">
        <f t="shared" si="59"/>
        <v>100000</v>
      </c>
      <c r="O74" s="43"/>
      <c r="P74" s="111">
        <f t="shared" si="56"/>
        <v>1235.194</v>
      </c>
      <c r="Q74" s="111">
        <v>10000</v>
      </c>
      <c r="R74" s="111"/>
      <c r="S74" s="111">
        <f t="shared" si="57"/>
        <v>223329.04949999999</v>
      </c>
      <c r="T74" s="111">
        <v>223329.04949999999</v>
      </c>
      <c r="U74" s="111">
        <f t="shared" ref="U74:U137" si="60">S74-T74</f>
        <v>0</v>
      </c>
      <c r="V74" s="111"/>
      <c r="W74" s="111">
        <v>1484.37</v>
      </c>
      <c r="X74" s="111">
        <v>1484.37</v>
      </c>
      <c r="Y74" s="111">
        <f t="shared" ref="Y74:Y137" si="61">X74-W74</f>
        <v>0</v>
      </c>
      <c r="Z74" s="71"/>
      <c r="AA74" s="111"/>
      <c r="AB74" s="111"/>
    </row>
    <row r="75" spans="1:28" ht="20.149999999999999" customHeight="1">
      <c r="A75" s="107">
        <v>12</v>
      </c>
      <c r="B75" s="808" t="s">
        <v>272</v>
      </c>
      <c r="C75" s="809"/>
      <c r="D75" s="16" t="s">
        <v>273</v>
      </c>
      <c r="E75" s="107" t="s">
        <v>31</v>
      </c>
      <c r="F75" s="111">
        <f>12351.94</f>
        <v>12351.94</v>
      </c>
      <c r="G75" s="111"/>
      <c r="H75" s="111">
        <f t="shared" si="51"/>
        <v>37055.82</v>
      </c>
      <c r="I75" s="111">
        <f t="shared" si="52"/>
        <v>926.39549999999997</v>
      </c>
      <c r="J75" s="111"/>
      <c r="K75" s="111">
        <f t="shared" si="53"/>
        <v>6175.97</v>
      </c>
      <c r="L75" s="111">
        <f t="shared" si="54"/>
        <v>43231.79</v>
      </c>
      <c r="M75" s="111">
        <f t="shared" si="55"/>
        <v>12351.94</v>
      </c>
      <c r="N75" s="43">
        <f t="shared" si="59"/>
        <v>100000</v>
      </c>
      <c r="O75" s="43"/>
      <c r="P75" s="111">
        <f t="shared" si="56"/>
        <v>1235.194</v>
      </c>
      <c r="Q75" s="111">
        <v>10000</v>
      </c>
      <c r="R75" s="111"/>
      <c r="S75" s="111">
        <f t="shared" si="57"/>
        <v>223329.04949999999</v>
      </c>
      <c r="T75" s="111">
        <v>223329.04949999999</v>
      </c>
      <c r="U75" s="111">
        <f t="shared" si="60"/>
        <v>0</v>
      </c>
      <c r="V75" s="111"/>
      <c r="W75" s="111">
        <v>1484.37</v>
      </c>
      <c r="X75" s="111">
        <v>1484.37</v>
      </c>
      <c r="Y75" s="111">
        <f t="shared" si="61"/>
        <v>0</v>
      </c>
      <c r="Z75" s="71"/>
      <c r="AA75" s="111"/>
      <c r="AB75" s="111"/>
    </row>
    <row r="76" spans="1:28" ht="20.149999999999999" customHeight="1">
      <c r="A76" s="107"/>
      <c r="B76" s="822" t="s">
        <v>34</v>
      </c>
      <c r="C76" s="823"/>
      <c r="D76" s="20">
        <v>12</v>
      </c>
      <c r="E76" s="20"/>
      <c r="F76" s="79">
        <f t="shared" ref="F76:N76" si="62">SUM(F64:F75)</f>
        <v>316528.2</v>
      </c>
      <c r="G76" s="79">
        <f t="shared" si="62"/>
        <v>0</v>
      </c>
      <c r="H76" s="79">
        <f t="shared" si="62"/>
        <v>949584.6</v>
      </c>
      <c r="I76" s="79">
        <f t="shared" si="62"/>
        <v>23739.615000000002</v>
      </c>
      <c r="J76" s="79">
        <f t="shared" si="62"/>
        <v>120366.57</v>
      </c>
      <c r="K76" s="79">
        <f t="shared" si="62"/>
        <v>158264.1</v>
      </c>
      <c r="L76" s="79">
        <f t="shared" si="62"/>
        <v>1107848.7</v>
      </c>
      <c r="M76" s="79">
        <f t="shared" si="62"/>
        <v>316528.2</v>
      </c>
      <c r="N76" s="135">
        <f t="shared" si="62"/>
        <v>1470000</v>
      </c>
      <c r="O76" s="135"/>
      <c r="P76" s="79">
        <f>SUM(P64:P75)</f>
        <v>31652.82</v>
      </c>
      <c r="Q76" s="79">
        <f>SUM(Q64:Q75)</f>
        <v>170000</v>
      </c>
      <c r="R76" s="79">
        <f>SUM(R64:R75)</f>
        <v>0</v>
      </c>
      <c r="S76" s="79">
        <f>SUM(S64:S75)</f>
        <v>4664512.8049999997</v>
      </c>
      <c r="T76" s="79">
        <v>4597254.6417500004</v>
      </c>
      <c r="U76" s="142">
        <f t="shared" si="60"/>
        <v>67258.163250000202</v>
      </c>
      <c r="V76" s="79"/>
      <c r="W76" s="79">
        <f t="shared" ref="W76" si="63">SUM(W64:W75)</f>
        <v>115610.78</v>
      </c>
      <c r="X76" s="79">
        <v>115610.78</v>
      </c>
      <c r="Y76" s="111">
        <f t="shared" si="61"/>
        <v>0</v>
      </c>
      <c r="Z76" s="79"/>
      <c r="AA76" s="79"/>
      <c r="AB76" s="79"/>
    </row>
    <row r="77" spans="1:28" ht="20.149999999999999" customHeight="1">
      <c r="A77" s="107"/>
      <c r="B77" s="130"/>
      <c r="C77" s="131"/>
      <c r="D77" s="20"/>
      <c r="E77" s="20"/>
      <c r="F77" s="133"/>
      <c r="G77" s="133"/>
      <c r="H77" s="133"/>
      <c r="I77" s="133"/>
      <c r="J77" s="133"/>
      <c r="K77" s="133"/>
      <c r="L77" s="133"/>
      <c r="M77" s="133"/>
      <c r="N77" s="43"/>
      <c r="O77" s="43"/>
      <c r="P77" s="133"/>
      <c r="Q77" s="133"/>
      <c r="R77" s="133"/>
      <c r="S77" s="133"/>
      <c r="T77" s="133"/>
      <c r="U77" s="111">
        <f t="shared" si="60"/>
        <v>0</v>
      </c>
      <c r="V77" s="133"/>
      <c r="W77" s="133"/>
      <c r="X77" s="133"/>
      <c r="Y77" s="111">
        <f t="shared" si="61"/>
        <v>0</v>
      </c>
      <c r="Z77" s="133"/>
      <c r="AA77" s="133"/>
      <c r="AB77" s="133"/>
    </row>
    <row r="78" spans="1:28" ht="20.149999999999999" customHeight="1">
      <c r="A78" s="107"/>
      <c r="B78" s="822" t="s">
        <v>1171</v>
      </c>
      <c r="C78" s="823"/>
      <c r="D78" s="20"/>
      <c r="E78" s="20"/>
      <c r="F78" s="133"/>
      <c r="G78" s="133"/>
      <c r="H78" s="133"/>
      <c r="I78" s="133"/>
      <c r="J78" s="133"/>
      <c r="K78" s="133"/>
      <c r="L78" s="133"/>
      <c r="M78" s="133"/>
      <c r="N78" s="43"/>
      <c r="O78" s="43"/>
      <c r="P78" s="133"/>
      <c r="Q78" s="133"/>
      <c r="R78" s="133"/>
      <c r="S78" s="133"/>
      <c r="T78" s="133"/>
      <c r="U78" s="111">
        <f t="shared" si="60"/>
        <v>0</v>
      </c>
      <c r="V78" s="133"/>
      <c r="W78" s="133"/>
      <c r="X78" s="133"/>
      <c r="Y78" s="111">
        <f t="shared" si="61"/>
        <v>0</v>
      </c>
      <c r="Z78" s="133"/>
      <c r="AA78" s="133"/>
      <c r="AB78" s="133"/>
    </row>
    <row r="79" spans="1:28" ht="20.149999999999999" customHeight="1">
      <c r="A79" s="107">
        <v>1</v>
      </c>
      <c r="B79" s="806" t="s">
        <v>338</v>
      </c>
      <c r="C79" s="807"/>
      <c r="D79" s="99" t="s">
        <v>339</v>
      </c>
      <c r="E79" s="107" t="s">
        <v>297</v>
      </c>
      <c r="F79" s="111">
        <f>81740.02</f>
        <v>81740.02</v>
      </c>
      <c r="G79" s="111"/>
      <c r="H79" s="111">
        <f t="shared" ref="H79:H85" si="64">F79*300%</f>
        <v>245220.06</v>
      </c>
      <c r="I79" s="111">
        <f t="shared" ref="I79:I85" si="65">F79*7.5%</f>
        <v>6130.5015000000003</v>
      </c>
      <c r="J79" s="111">
        <v>80244.38</v>
      </c>
      <c r="K79" s="111">
        <f>F79*50%</f>
        <v>40870.01</v>
      </c>
      <c r="L79" s="111">
        <f t="shared" ref="L79:L85" si="66">F79*350%</f>
        <v>286090.07</v>
      </c>
      <c r="M79" s="111">
        <f>F79*100%</f>
        <v>81740.02</v>
      </c>
      <c r="N79" s="43">
        <f>200000</f>
        <v>200000</v>
      </c>
      <c r="O79" s="43"/>
      <c r="P79" s="111">
        <f>F79*10%</f>
        <v>8174.0020000000004</v>
      </c>
      <c r="Q79" s="111">
        <v>20000</v>
      </c>
      <c r="R79" s="111">
        <v>0</v>
      </c>
      <c r="S79" s="111">
        <f>SUM(F79:R79)</f>
        <v>1050209.0634999999</v>
      </c>
      <c r="T79" s="111">
        <v>1050209.0634999999</v>
      </c>
      <c r="U79" s="111">
        <f t="shared" si="60"/>
        <v>0</v>
      </c>
      <c r="V79" s="111"/>
      <c r="W79" s="111">
        <v>52776.63</v>
      </c>
      <c r="X79" s="111">
        <v>52776.63</v>
      </c>
      <c r="Y79" s="111">
        <f t="shared" si="61"/>
        <v>0</v>
      </c>
      <c r="Z79" s="111"/>
      <c r="AA79" s="111"/>
      <c r="AB79" s="111"/>
    </row>
    <row r="80" spans="1:28" ht="20.149999999999999" customHeight="1">
      <c r="A80" s="107">
        <v>2</v>
      </c>
      <c r="B80" s="45" t="s">
        <v>220</v>
      </c>
      <c r="D80" s="45" t="s">
        <v>221</v>
      </c>
      <c r="E80" s="112" t="s">
        <v>952</v>
      </c>
      <c r="F80" s="111">
        <v>31018.84</v>
      </c>
      <c r="G80" s="111"/>
      <c r="H80" s="111">
        <f t="shared" si="64"/>
        <v>93056.52</v>
      </c>
      <c r="I80" s="111">
        <f t="shared" si="65"/>
        <v>2326.413</v>
      </c>
      <c r="J80" s="111">
        <v>40122.19</v>
      </c>
      <c r="K80" s="111">
        <f t="shared" ref="K80:K82" si="67">F80*50%</f>
        <v>15509.42</v>
      </c>
      <c r="L80" s="111">
        <f t="shared" si="66"/>
        <v>108565.94</v>
      </c>
      <c r="M80" s="111">
        <f t="shared" ref="M80:M82" si="68">F80*100%</f>
        <v>31018.84</v>
      </c>
      <c r="N80" s="43">
        <f>160000</f>
        <v>160000</v>
      </c>
      <c r="O80" s="43"/>
      <c r="P80" s="111">
        <f t="shared" ref="P80:P82" si="69">F80*10%</f>
        <v>3101.884</v>
      </c>
      <c r="Q80" s="111">
        <v>20000</v>
      </c>
      <c r="R80" s="141">
        <v>0</v>
      </c>
      <c r="S80" s="111">
        <f t="shared" ref="S80:S82" si="70">SUM(F80:R80)</f>
        <v>504720.04700000002</v>
      </c>
      <c r="T80" s="111">
        <v>504720.04700000002</v>
      </c>
      <c r="U80" s="111">
        <f t="shared" si="60"/>
        <v>0</v>
      </c>
      <c r="V80" s="111"/>
      <c r="W80" s="111">
        <f t="shared" ref="W80:W81" si="71">15548.33</f>
        <v>15548.33</v>
      </c>
      <c r="X80" s="111">
        <v>15548.33</v>
      </c>
      <c r="Y80" s="111">
        <f t="shared" si="61"/>
        <v>0</v>
      </c>
      <c r="Z80" s="111"/>
      <c r="AA80" s="111"/>
      <c r="AB80" s="111"/>
    </row>
    <row r="81" spans="1:28" ht="20.149999999999999" customHeight="1">
      <c r="A81" s="107">
        <v>3</v>
      </c>
      <c r="B81" s="45" t="s">
        <v>1116</v>
      </c>
      <c r="D81" s="45" t="s">
        <v>1117</v>
      </c>
      <c r="E81" s="112" t="s">
        <v>952</v>
      </c>
      <c r="F81" s="111">
        <v>31018.84</v>
      </c>
      <c r="G81" s="111"/>
      <c r="H81" s="111">
        <f t="shared" si="64"/>
        <v>93056.52</v>
      </c>
      <c r="I81" s="111">
        <f t="shared" si="65"/>
        <v>2326.413</v>
      </c>
      <c r="J81" s="111">
        <v>40122.19</v>
      </c>
      <c r="K81" s="111">
        <f t="shared" si="67"/>
        <v>15509.42</v>
      </c>
      <c r="L81" s="111">
        <f t="shared" si="66"/>
        <v>108565.94</v>
      </c>
      <c r="M81" s="111">
        <f t="shared" si="68"/>
        <v>31018.84</v>
      </c>
      <c r="N81" s="43">
        <f>160000</f>
        <v>160000</v>
      </c>
      <c r="O81" s="43"/>
      <c r="P81" s="111">
        <f t="shared" si="69"/>
        <v>3101.884</v>
      </c>
      <c r="Q81" s="111">
        <v>20000</v>
      </c>
      <c r="R81" s="141">
        <v>0</v>
      </c>
      <c r="S81" s="111">
        <f t="shared" si="70"/>
        <v>504720.04700000002</v>
      </c>
      <c r="T81" s="111">
        <v>504720.04700000002</v>
      </c>
      <c r="U81" s="111">
        <f t="shared" si="60"/>
        <v>0</v>
      </c>
      <c r="V81" s="111"/>
      <c r="W81" s="111">
        <f t="shared" si="71"/>
        <v>15548.33</v>
      </c>
      <c r="X81" s="111">
        <v>15548.33</v>
      </c>
      <c r="Y81" s="111">
        <f t="shared" si="61"/>
        <v>0</v>
      </c>
      <c r="Z81" s="111"/>
      <c r="AA81" s="111"/>
      <c r="AB81" s="111"/>
    </row>
    <row r="82" spans="1:28" ht="20.149999999999999" customHeight="1">
      <c r="A82" s="107">
        <v>4</v>
      </c>
      <c r="B82" s="806" t="s">
        <v>1211</v>
      </c>
      <c r="C82" s="807"/>
      <c r="D82" s="99" t="s">
        <v>353</v>
      </c>
      <c r="E82" s="112" t="s">
        <v>950</v>
      </c>
      <c r="F82" s="111">
        <f>24741.26</f>
        <v>24741.26</v>
      </c>
      <c r="G82" s="111"/>
      <c r="H82" s="111">
        <f t="shared" si="64"/>
        <v>74223.78</v>
      </c>
      <c r="I82" s="111">
        <f t="shared" si="65"/>
        <v>1855.5944999999999</v>
      </c>
      <c r="J82" s="111">
        <v>0</v>
      </c>
      <c r="K82" s="111">
        <f t="shared" si="67"/>
        <v>12370.63</v>
      </c>
      <c r="L82" s="111">
        <f t="shared" si="66"/>
        <v>86594.41</v>
      </c>
      <c r="M82" s="111">
        <f t="shared" si="68"/>
        <v>24741.26</v>
      </c>
      <c r="N82" s="43">
        <f>120000</f>
        <v>120000</v>
      </c>
      <c r="O82" s="43"/>
      <c r="P82" s="111">
        <f t="shared" si="69"/>
        <v>2474.1260000000002</v>
      </c>
      <c r="Q82" s="111">
        <v>15000</v>
      </c>
      <c r="R82" s="111">
        <v>0</v>
      </c>
      <c r="S82" s="111">
        <f t="shared" si="70"/>
        <v>362001.06050000002</v>
      </c>
      <c r="T82" s="111">
        <v>354201.02600000001</v>
      </c>
      <c r="U82" s="111">
        <f t="shared" si="60"/>
        <v>7800.0344999999497</v>
      </c>
      <c r="V82" s="111"/>
      <c r="W82" s="111">
        <f>7709.76</f>
        <v>7709.76</v>
      </c>
      <c r="X82" s="111">
        <v>7709.76</v>
      </c>
      <c r="Y82" s="111">
        <f t="shared" si="61"/>
        <v>0</v>
      </c>
      <c r="Z82" s="111"/>
      <c r="AA82" s="111"/>
      <c r="AB82" s="111"/>
    </row>
    <row r="83" spans="1:28" ht="20.149999999999999" customHeight="1">
      <c r="A83" s="107">
        <v>5</v>
      </c>
      <c r="B83" s="806" t="s">
        <v>343</v>
      </c>
      <c r="C83" s="807"/>
      <c r="D83" s="99" t="s">
        <v>344</v>
      </c>
      <c r="E83" s="107" t="s">
        <v>38</v>
      </c>
      <c r="F83" s="111">
        <f t="shared" ref="F83" si="72">17286.33</f>
        <v>17286.330000000002</v>
      </c>
      <c r="G83" s="111"/>
      <c r="H83" s="111">
        <f t="shared" si="64"/>
        <v>51858.99</v>
      </c>
      <c r="I83" s="111">
        <f t="shared" si="65"/>
        <v>1296.4747500000001</v>
      </c>
      <c r="J83" s="111"/>
      <c r="K83" s="111">
        <f t="shared" ref="K83:K85" si="73">F83*50%</f>
        <v>8643.1650000000009</v>
      </c>
      <c r="L83" s="111">
        <f t="shared" si="66"/>
        <v>60502.154999999999</v>
      </c>
      <c r="M83" s="111">
        <f t="shared" ref="M83:M85" si="74">F83*100%</f>
        <v>17286.330000000002</v>
      </c>
      <c r="N83" s="43">
        <f>100000</f>
        <v>100000</v>
      </c>
      <c r="O83" s="43"/>
      <c r="P83" s="111">
        <f t="shared" ref="P83:P85" si="75">F83*10%</f>
        <v>1728.633</v>
      </c>
      <c r="Q83" s="111">
        <v>10000</v>
      </c>
      <c r="R83" s="111"/>
      <c r="S83" s="111">
        <f t="shared" ref="S83:S85" si="76">SUM(F83:R83)</f>
        <v>268602.07775</v>
      </c>
      <c r="T83" s="111">
        <v>268602.07775</v>
      </c>
      <c r="U83" s="111">
        <f t="shared" si="60"/>
        <v>0</v>
      </c>
      <c r="V83" s="111"/>
      <c r="W83" s="111">
        <v>3369.51</v>
      </c>
      <c r="X83" s="111">
        <v>3369.51</v>
      </c>
      <c r="Y83" s="111">
        <f t="shared" si="61"/>
        <v>0</v>
      </c>
      <c r="Z83" s="111"/>
      <c r="AA83" s="111"/>
      <c r="AB83" s="111"/>
    </row>
    <row r="84" spans="1:28" ht="20.149999999999999" customHeight="1">
      <c r="A84" s="107">
        <v>6</v>
      </c>
      <c r="B84" s="108" t="s">
        <v>284</v>
      </c>
      <c r="C84" s="109"/>
      <c r="D84" s="99" t="s">
        <v>1022</v>
      </c>
      <c r="E84" s="107" t="s">
        <v>291</v>
      </c>
      <c r="F84" s="111">
        <f>13112.16</f>
        <v>13112.16</v>
      </c>
      <c r="G84" s="111"/>
      <c r="H84" s="111">
        <f t="shared" si="64"/>
        <v>39336.480000000003</v>
      </c>
      <c r="I84" s="111">
        <f t="shared" si="65"/>
        <v>983.41200000000003</v>
      </c>
      <c r="J84" s="111"/>
      <c r="K84" s="111">
        <f t="shared" si="73"/>
        <v>6556.08</v>
      </c>
      <c r="L84" s="111">
        <f t="shared" si="66"/>
        <v>45892.56</v>
      </c>
      <c r="M84" s="111">
        <f t="shared" si="74"/>
        <v>13112.16</v>
      </c>
      <c r="N84" s="43">
        <f t="shared" ref="N84:N85" si="77">100000</f>
        <v>100000</v>
      </c>
      <c r="O84" s="43"/>
      <c r="P84" s="111">
        <f t="shared" si="75"/>
        <v>1311.2159999999999</v>
      </c>
      <c r="Q84" s="111">
        <v>10000</v>
      </c>
      <c r="R84" s="111"/>
      <c r="S84" s="111">
        <f t="shared" si="76"/>
        <v>230304.068</v>
      </c>
      <c r="T84" s="111">
        <v>226816.1</v>
      </c>
      <c r="U84" s="111">
        <f t="shared" si="60"/>
        <v>3487.9679999999898</v>
      </c>
      <c r="V84" s="111"/>
      <c r="W84" s="111">
        <v>1484.37</v>
      </c>
      <c r="X84" s="111">
        <v>1484.37</v>
      </c>
      <c r="Y84" s="111">
        <f t="shared" si="61"/>
        <v>0</v>
      </c>
      <c r="Z84" s="111"/>
      <c r="AA84" s="111"/>
      <c r="AB84" s="111"/>
    </row>
    <row r="85" spans="1:28" ht="20.149999999999999" customHeight="1">
      <c r="A85" s="107">
        <v>7</v>
      </c>
      <c r="B85" s="108" t="s">
        <v>289</v>
      </c>
      <c r="C85" s="109"/>
      <c r="D85" s="99" t="s">
        <v>1131</v>
      </c>
      <c r="E85" s="107" t="s">
        <v>31</v>
      </c>
      <c r="F85" s="111">
        <f>12351.94</f>
        <v>12351.94</v>
      </c>
      <c r="G85" s="111"/>
      <c r="H85" s="111">
        <f t="shared" si="64"/>
        <v>37055.82</v>
      </c>
      <c r="I85" s="111">
        <f t="shared" si="65"/>
        <v>926.39549999999997</v>
      </c>
      <c r="J85" s="111"/>
      <c r="K85" s="111">
        <f t="shared" si="73"/>
        <v>6175.97</v>
      </c>
      <c r="L85" s="111">
        <f t="shared" si="66"/>
        <v>43231.79</v>
      </c>
      <c r="M85" s="111">
        <f t="shared" si="74"/>
        <v>12351.94</v>
      </c>
      <c r="N85" s="43">
        <f t="shared" si="77"/>
        <v>100000</v>
      </c>
      <c r="O85" s="43"/>
      <c r="P85" s="111">
        <f t="shared" si="75"/>
        <v>1235.194</v>
      </c>
      <c r="Q85" s="111">
        <v>10000</v>
      </c>
      <c r="R85" s="111"/>
      <c r="S85" s="111">
        <f t="shared" si="76"/>
        <v>223329.04949999999</v>
      </c>
      <c r="T85" s="111">
        <v>223329.04949999999</v>
      </c>
      <c r="U85" s="111">
        <f t="shared" si="60"/>
        <v>0</v>
      </c>
      <c r="V85" s="111"/>
      <c r="W85" s="111">
        <v>1484.37</v>
      </c>
      <c r="X85" s="111">
        <v>1484.37</v>
      </c>
      <c r="Y85" s="111">
        <f t="shared" si="61"/>
        <v>0</v>
      </c>
      <c r="Z85" s="111"/>
      <c r="AA85" s="111"/>
      <c r="AB85" s="111"/>
    </row>
    <row r="86" spans="1:28" ht="20.149999999999999" customHeight="1">
      <c r="A86" s="107"/>
      <c r="B86" s="822" t="s">
        <v>34</v>
      </c>
      <c r="C86" s="823"/>
      <c r="D86" s="20">
        <v>7</v>
      </c>
      <c r="E86" s="20"/>
      <c r="F86" s="79">
        <f>SUM(F79:F85)</f>
        <v>211269.39</v>
      </c>
      <c r="G86" s="79"/>
      <c r="H86" s="79">
        <f t="shared" ref="H86:N86" si="78">SUM(H79:H85)</f>
        <v>633808.17000000004</v>
      </c>
      <c r="I86" s="79">
        <f t="shared" si="78"/>
        <v>15845.204250000001</v>
      </c>
      <c r="J86" s="79">
        <f t="shared" si="78"/>
        <v>160488.76</v>
      </c>
      <c r="K86" s="79">
        <f t="shared" si="78"/>
        <v>105634.69500000001</v>
      </c>
      <c r="L86" s="79">
        <f t="shared" si="78"/>
        <v>739442.86499999999</v>
      </c>
      <c r="M86" s="79">
        <f t="shared" si="78"/>
        <v>211269.39</v>
      </c>
      <c r="N86" s="135">
        <f t="shared" si="78"/>
        <v>940000</v>
      </c>
      <c r="O86" s="135"/>
      <c r="P86" s="79">
        <f>SUM(P79:P85)</f>
        <v>21126.938999999998</v>
      </c>
      <c r="Q86" s="79">
        <f>SUM(Q79:Q85)</f>
        <v>105000</v>
      </c>
      <c r="R86" s="79">
        <f>SUM(R79:R85)</f>
        <v>0</v>
      </c>
      <c r="S86" s="79">
        <f>SUM(S79:S85)</f>
        <v>3143885.4132500002</v>
      </c>
      <c r="T86" s="79">
        <v>3132597.4107499998</v>
      </c>
      <c r="U86" s="142">
        <f t="shared" si="60"/>
        <v>11288.0024999999</v>
      </c>
      <c r="V86" s="79"/>
      <c r="W86" s="79">
        <f>SUM(W79:W85)</f>
        <v>97921.3</v>
      </c>
      <c r="X86" s="79">
        <v>97921.3</v>
      </c>
      <c r="Y86" s="111">
        <f t="shared" si="61"/>
        <v>0</v>
      </c>
      <c r="Z86" s="79"/>
      <c r="AA86" s="79"/>
      <c r="AB86" s="79"/>
    </row>
    <row r="87" spans="1:28" ht="20.149999999999999" customHeight="1">
      <c r="A87" s="107"/>
      <c r="B87" s="824"/>
      <c r="C87" s="825"/>
      <c r="D87" s="102"/>
      <c r="E87" s="102"/>
      <c r="F87" s="141"/>
      <c r="G87" s="141"/>
      <c r="H87" s="141"/>
      <c r="I87" s="141"/>
      <c r="J87" s="141"/>
      <c r="K87" s="141"/>
      <c r="L87" s="141"/>
      <c r="M87" s="141"/>
      <c r="N87" s="43"/>
      <c r="O87" s="43"/>
      <c r="P87" s="141"/>
      <c r="Q87" s="141"/>
      <c r="R87" s="141"/>
      <c r="S87" s="141"/>
      <c r="T87" s="141"/>
      <c r="U87" s="111">
        <f t="shared" si="60"/>
        <v>0</v>
      </c>
      <c r="V87" s="141"/>
      <c r="W87" s="141"/>
      <c r="X87" s="141"/>
      <c r="Y87" s="111">
        <f t="shared" si="61"/>
        <v>0</v>
      </c>
      <c r="Z87" s="111"/>
      <c r="AA87" s="111"/>
      <c r="AB87" s="111"/>
    </row>
    <row r="88" spans="1:28" ht="20.149999999999999" customHeight="1">
      <c r="A88" s="107"/>
      <c r="B88" s="826" t="s">
        <v>1172</v>
      </c>
      <c r="C88" s="827"/>
      <c r="D88" s="145"/>
      <c r="E88" s="102"/>
      <c r="F88" s="141"/>
      <c r="G88" s="141"/>
      <c r="H88" s="141"/>
      <c r="I88" s="141"/>
      <c r="J88" s="141"/>
      <c r="K88" s="141"/>
      <c r="L88" s="141"/>
      <c r="M88" s="141"/>
      <c r="N88" s="43"/>
      <c r="O88" s="43"/>
      <c r="P88" s="141"/>
      <c r="Q88" s="141"/>
      <c r="R88" s="141"/>
      <c r="S88" s="141"/>
      <c r="T88" s="141"/>
      <c r="U88" s="111">
        <f t="shared" si="60"/>
        <v>0</v>
      </c>
      <c r="V88" s="141"/>
      <c r="W88" s="141"/>
      <c r="X88" s="141"/>
      <c r="Y88" s="111">
        <f t="shared" si="61"/>
        <v>0</v>
      </c>
      <c r="Z88" s="111"/>
      <c r="AA88" s="111"/>
      <c r="AB88" s="111"/>
    </row>
    <row r="89" spans="1:28" ht="20.149999999999999" customHeight="1">
      <c r="A89" s="107">
        <v>1</v>
      </c>
      <c r="B89" s="806" t="s">
        <v>1173</v>
      </c>
      <c r="C89" s="807"/>
      <c r="D89" s="99" t="s">
        <v>1134</v>
      </c>
      <c r="E89" s="107" t="s">
        <v>308</v>
      </c>
      <c r="F89" s="111">
        <f>41157.69</f>
        <v>41157.69</v>
      </c>
      <c r="G89" s="111"/>
      <c r="H89" s="111">
        <f t="shared" ref="H89:H98" si="79">F89*300%</f>
        <v>123473.07</v>
      </c>
      <c r="I89" s="111">
        <f t="shared" ref="I89:I98" si="80">F89*7.5%</f>
        <v>3086.8267500000002</v>
      </c>
      <c r="J89" s="111">
        <v>40122.19</v>
      </c>
      <c r="K89" s="111">
        <f t="shared" ref="K89:K98" si="81">F89*50%</f>
        <v>20578.845000000001</v>
      </c>
      <c r="L89" s="111">
        <f t="shared" ref="L89:L98" si="82">F89*350%</f>
        <v>144051.91500000001</v>
      </c>
      <c r="M89" s="111">
        <f t="shared" ref="M89:M98" si="83">F89*100%</f>
        <v>41157.69</v>
      </c>
      <c r="N89" s="43">
        <f>180000</f>
        <v>180000</v>
      </c>
      <c r="O89" s="43"/>
      <c r="P89" s="111">
        <f t="shared" ref="P89:P98" si="84">F89*10%</f>
        <v>4115.7690000000002</v>
      </c>
      <c r="Q89" s="111">
        <v>20000</v>
      </c>
      <c r="R89" s="111"/>
      <c r="S89" s="111">
        <f t="shared" ref="S89:S98" si="85">SUM(F89:R89)</f>
        <v>617743.99575</v>
      </c>
      <c r="T89" s="111">
        <v>604023.33374999999</v>
      </c>
      <c r="U89" s="111">
        <f t="shared" si="60"/>
        <v>13720.662</v>
      </c>
      <c r="V89" s="111"/>
      <c r="W89" s="111">
        <f>21618.09</f>
        <v>21618.09</v>
      </c>
      <c r="X89" s="111">
        <v>21618.09</v>
      </c>
      <c r="Y89" s="111">
        <f t="shared" si="61"/>
        <v>0</v>
      </c>
      <c r="Z89" s="111"/>
      <c r="AA89" s="111"/>
      <c r="AB89" s="111"/>
    </row>
    <row r="90" spans="1:28" ht="20.149999999999999" customHeight="1">
      <c r="A90" s="107">
        <v>2</v>
      </c>
      <c r="B90" s="806" t="s">
        <v>349</v>
      </c>
      <c r="C90" s="807"/>
      <c r="D90" s="99" t="s">
        <v>310</v>
      </c>
      <c r="E90" s="107" t="s">
        <v>249</v>
      </c>
      <c r="F90" s="111">
        <f>33507.5</f>
        <v>33507.5</v>
      </c>
      <c r="G90" s="111"/>
      <c r="H90" s="111">
        <f t="shared" si="79"/>
        <v>100522.5</v>
      </c>
      <c r="I90" s="111">
        <f t="shared" si="80"/>
        <v>2513.0625</v>
      </c>
      <c r="J90" s="111">
        <f>40122.19</f>
        <v>40122.19</v>
      </c>
      <c r="K90" s="111">
        <f t="shared" si="81"/>
        <v>16753.75</v>
      </c>
      <c r="L90" s="111">
        <f t="shared" si="82"/>
        <v>117276.25</v>
      </c>
      <c r="M90" s="111">
        <f t="shared" si="83"/>
        <v>33507.5</v>
      </c>
      <c r="N90" s="43">
        <f>160000</f>
        <v>160000</v>
      </c>
      <c r="O90" s="43"/>
      <c r="P90" s="111">
        <f t="shared" si="84"/>
        <v>3350.75</v>
      </c>
      <c r="Q90" s="111">
        <v>20000</v>
      </c>
      <c r="R90" s="111"/>
      <c r="S90" s="111">
        <f t="shared" si="85"/>
        <v>527553.50249999994</v>
      </c>
      <c r="T90" s="111">
        <v>516137.05</v>
      </c>
      <c r="U90" s="111">
        <f t="shared" si="60"/>
        <v>11416.452499999899</v>
      </c>
      <c r="V90" s="111"/>
      <c r="W90" s="111">
        <f>15548.33</f>
        <v>15548.33</v>
      </c>
      <c r="X90" s="111">
        <v>15548.33</v>
      </c>
      <c r="Y90" s="111">
        <f t="shared" si="61"/>
        <v>0</v>
      </c>
      <c r="Z90" s="111"/>
      <c r="AA90" s="111"/>
      <c r="AB90" s="111"/>
    </row>
    <row r="91" spans="1:28" ht="20.149999999999999" customHeight="1">
      <c r="A91" s="107">
        <v>3</v>
      </c>
      <c r="B91" s="806" t="s">
        <v>350</v>
      </c>
      <c r="C91" s="807"/>
      <c r="D91" s="99" t="s">
        <v>310</v>
      </c>
      <c r="E91" s="107" t="s">
        <v>249</v>
      </c>
      <c r="F91" s="111">
        <f>33507.5</f>
        <v>33507.5</v>
      </c>
      <c r="G91" s="111"/>
      <c r="H91" s="111">
        <f t="shared" si="79"/>
        <v>100522.5</v>
      </c>
      <c r="I91" s="111">
        <f t="shared" si="80"/>
        <v>2513.0625</v>
      </c>
      <c r="J91" s="111">
        <f>40122.19</f>
        <v>40122.19</v>
      </c>
      <c r="K91" s="111">
        <f t="shared" si="81"/>
        <v>16753.75</v>
      </c>
      <c r="L91" s="111">
        <f t="shared" si="82"/>
        <v>117276.25</v>
      </c>
      <c r="M91" s="111">
        <f t="shared" si="83"/>
        <v>33507.5</v>
      </c>
      <c r="N91" s="43">
        <f>160000</f>
        <v>160000</v>
      </c>
      <c r="O91" s="43"/>
      <c r="P91" s="111">
        <f t="shared" si="84"/>
        <v>3350.75</v>
      </c>
      <c r="Q91" s="111">
        <v>20000</v>
      </c>
      <c r="R91" s="111"/>
      <c r="S91" s="111">
        <f t="shared" si="85"/>
        <v>527553.50249999994</v>
      </c>
      <c r="T91" s="111">
        <v>516137.05</v>
      </c>
      <c r="U91" s="111">
        <f t="shared" si="60"/>
        <v>11416.452499999899</v>
      </c>
      <c r="V91" s="111"/>
      <c r="W91" s="111">
        <f>15548.33</f>
        <v>15548.33</v>
      </c>
      <c r="X91" s="111">
        <v>15548.33</v>
      </c>
      <c r="Y91" s="111">
        <f t="shared" si="61"/>
        <v>0</v>
      </c>
      <c r="Z91" s="111"/>
      <c r="AA91" s="111"/>
      <c r="AB91" s="111"/>
    </row>
    <row r="92" spans="1:28" ht="20.149999999999999" customHeight="1">
      <c r="A92" s="107">
        <v>4</v>
      </c>
      <c r="B92" s="806" t="s">
        <v>1212</v>
      </c>
      <c r="C92" s="807"/>
      <c r="D92" s="99" t="s">
        <v>259</v>
      </c>
      <c r="E92" s="107" t="s">
        <v>342</v>
      </c>
      <c r="F92" s="111">
        <f>26732.65</f>
        <v>26732.65</v>
      </c>
      <c r="G92" s="111"/>
      <c r="H92" s="111">
        <f t="shared" si="79"/>
        <v>80197.95</v>
      </c>
      <c r="I92" s="111">
        <f t="shared" si="80"/>
        <v>2004.94875</v>
      </c>
      <c r="J92" s="111">
        <v>0</v>
      </c>
      <c r="K92" s="111">
        <f t="shared" si="81"/>
        <v>13366.325000000001</v>
      </c>
      <c r="L92" s="111">
        <f t="shared" si="82"/>
        <v>93564.274999999994</v>
      </c>
      <c r="M92" s="111">
        <f t="shared" si="83"/>
        <v>26732.65</v>
      </c>
      <c r="N92" s="43">
        <v>140000</v>
      </c>
      <c r="O92" s="43"/>
      <c r="P92" s="111">
        <f t="shared" si="84"/>
        <v>2673.2649999999999</v>
      </c>
      <c r="Q92" s="111">
        <v>20000</v>
      </c>
      <c r="R92" s="111">
        <v>0</v>
      </c>
      <c r="S92" s="111">
        <f t="shared" si="85"/>
        <v>405272.06374999997</v>
      </c>
      <c r="T92" s="111">
        <v>397211.36749999999</v>
      </c>
      <c r="U92" s="111">
        <f t="shared" si="60"/>
        <v>8060.69624999998</v>
      </c>
      <c r="V92" s="111"/>
      <c r="W92" s="111">
        <f t="shared" si="17"/>
        <v>7709.76</v>
      </c>
      <c r="X92" s="111">
        <v>7709.76</v>
      </c>
      <c r="Y92" s="111">
        <f t="shared" si="61"/>
        <v>0</v>
      </c>
      <c r="Z92" s="111"/>
      <c r="AA92" s="111"/>
      <c r="AB92" s="111"/>
    </row>
    <row r="93" spans="1:28" ht="20.149999999999999" customHeight="1">
      <c r="A93" s="107">
        <v>5</v>
      </c>
      <c r="B93" s="808" t="s">
        <v>386</v>
      </c>
      <c r="C93" s="809"/>
      <c r="D93" s="99" t="s">
        <v>256</v>
      </c>
      <c r="E93" s="107" t="s">
        <v>257</v>
      </c>
      <c r="F93" s="111">
        <f>27611.23</f>
        <v>27611.23</v>
      </c>
      <c r="G93" s="111"/>
      <c r="H93" s="111">
        <f t="shared" si="79"/>
        <v>82833.69</v>
      </c>
      <c r="I93" s="111">
        <f t="shared" si="80"/>
        <v>2070.8422500000001</v>
      </c>
      <c r="J93" s="111"/>
      <c r="K93" s="111">
        <f t="shared" si="81"/>
        <v>13805.615</v>
      </c>
      <c r="L93" s="111">
        <f t="shared" si="82"/>
        <v>96639.304999999993</v>
      </c>
      <c r="M93" s="111">
        <f t="shared" si="83"/>
        <v>27611.23</v>
      </c>
      <c r="N93" s="43">
        <v>140000</v>
      </c>
      <c r="O93" s="43"/>
      <c r="P93" s="111">
        <f t="shared" si="84"/>
        <v>2761.123</v>
      </c>
      <c r="Q93" s="111">
        <v>20000</v>
      </c>
      <c r="R93" s="111">
        <v>0</v>
      </c>
      <c r="S93" s="71">
        <f t="shared" si="85"/>
        <v>413333.03525000002</v>
      </c>
      <c r="T93" s="71">
        <v>405272.06374999997</v>
      </c>
      <c r="U93" s="111">
        <f t="shared" si="60"/>
        <v>8060.9715000000997</v>
      </c>
      <c r="V93" s="111"/>
      <c r="W93" s="111">
        <f t="shared" si="17"/>
        <v>7709.76</v>
      </c>
      <c r="X93" s="111">
        <v>7709.76</v>
      </c>
      <c r="Y93" s="111">
        <f t="shared" si="61"/>
        <v>0</v>
      </c>
      <c r="Z93" s="111"/>
      <c r="AA93" s="71"/>
      <c r="AB93" s="71"/>
    </row>
    <row r="94" spans="1:28" ht="20.149999999999999" customHeight="1">
      <c r="A94" s="107">
        <v>6</v>
      </c>
      <c r="B94" s="810" t="s">
        <v>351</v>
      </c>
      <c r="C94" s="811"/>
      <c r="D94" s="99" t="s">
        <v>259</v>
      </c>
      <c r="E94" s="107" t="s">
        <v>342</v>
      </c>
      <c r="F94" s="71">
        <f>26732.65</f>
        <v>26732.65</v>
      </c>
      <c r="G94" s="111"/>
      <c r="H94" s="71">
        <f t="shared" si="79"/>
        <v>80197.95</v>
      </c>
      <c r="I94" s="71">
        <f t="shared" si="80"/>
        <v>2004.94875</v>
      </c>
      <c r="J94" s="71"/>
      <c r="K94" s="71">
        <f t="shared" si="81"/>
        <v>13366.325000000001</v>
      </c>
      <c r="L94" s="71">
        <f t="shared" si="82"/>
        <v>93564.274999999994</v>
      </c>
      <c r="M94" s="71">
        <f t="shared" si="83"/>
        <v>26732.65</v>
      </c>
      <c r="N94" s="43">
        <v>140000</v>
      </c>
      <c r="O94" s="43"/>
      <c r="P94" s="71">
        <f t="shared" si="84"/>
        <v>2673.2649999999999</v>
      </c>
      <c r="Q94" s="71">
        <v>20000</v>
      </c>
      <c r="R94" s="71"/>
      <c r="S94" s="111">
        <f t="shared" si="85"/>
        <v>405272.06374999997</v>
      </c>
      <c r="T94" s="111">
        <v>397211.36749999999</v>
      </c>
      <c r="U94" s="111">
        <f t="shared" si="60"/>
        <v>8060.69624999998</v>
      </c>
      <c r="V94" s="71"/>
      <c r="W94" s="111">
        <f t="shared" si="17"/>
        <v>7709.76</v>
      </c>
      <c r="X94" s="71">
        <v>7709.76</v>
      </c>
      <c r="Y94" s="111">
        <f t="shared" si="61"/>
        <v>0</v>
      </c>
      <c r="Z94" s="111"/>
      <c r="AA94" s="111"/>
      <c r="AB94" s="111"/>
    </row>
    <row r="95" spans="1:28" ht="20.149999999999999" customHeight="1">
      <c r="A95" s="107">
        <v>7</v>
      </c>
      <c r="B95" s="806" t="s">
        <v>1213</v>
      </c>
      <c r="C95" s="807"/>
      <c r="D95" s="110" t="s">
        <v>256</v>
      </c>
      <c r="E95" s="112" t="s">
        <v>260</v>
      </c>
      <c r="F95" s="111">
        <f>25854.1</f>
        <v>25854.1</v>
      </c>
      <c r="G95" s="111"/>
      <c r="H95" s="111">
        <f t="shared" si="79"/>
        <v>77562.3</v>
      </c>
      <c r="I95" s="111">
        <f t="shared" si="80"/>
        <v>1939.0574999999999</v>
      </c>
      <c r="J95" s="111">
        <v>0</v>
      </c>
      <c r="K95" s="111">
        <f t="shared" si="81"/>
        <v>12927.05</v>
      </c>
      <c r="L95" s="111">
        <f t="shared" si="82"/>
        <v>90489.35</v>
      </c>
      <c r="M95" s="111">
        <f t="shared" si="83"/>
        <v>25854.1</v>
      </c>
      <c r="N95" s="43">
        <v>140000</v>
      </c>
      <c r="O95" s="43"/>
      <c r="P95" s="111">
        <f t="shared" si="84"/>
        <v>2585.41</v>
      </c>
      <c r="Q95" s="111">
        <v>20000</v>
      </c>
      <c r="R95" s="763" t="s">
        <v>1214</v>
      </c>
      <c r="S95" s="111">
        <f t="shared" si="85"/>
        <v>397211.36749999999</v>
      </c>
      <c r="T95" s="111">
        <v>389153.05674999999</v>
      </c>
      <c r="U95" s="111">
        <f t="shared" si="60"/>
        <v>8058.3107499999996</v>
      </c>
      <c r="V95" s="111"/>
      <c r="W95" s="111">
        <f t="shared" si="18"/>
        <v>7709.76</v>
      </c>
      <c r="X95" s="111">
        <v>7709.76</v>
      </c>
      <c r="Y95" s="111">
        <f t="shared" si="61"/>
        <v>0</v>
      </c>
      <c r="Z95" s="111"/>
      <c r="AA95" s="111"/>
      <c r="AB95" s="111"/>
    </row>
    <row r="96" spans="1:28" ht="21.65" customHeight="1">
      <c r="A96" s="107">
        <v>8</v>
      </c>
      <c r="B96" s="812" t="s">
        <v>352</v>
      </c>
      <c r="C96" s="812"/>
      <c r="D96" s="99" t="s">
        <v>353</v>
      </c>
      <c r="E96" s="112" t="s">
        <v>950</v>
      </c>
      <c r="F96" s="111">
        <f>24741.26</f>
        <v>24741.26</v>
      </c>
      <c r="G96" s="111"/>
      <c r="H96" s="111">
        <f t="shared" si="79"/>
        <v>74223.78</v>
      </c>
      <c r="I96" s="111">
        <f t="shared" si="80"/>
        <v>1855.5944999999999</v>
      </c>
      <c r="J96" s="111">
        <v>0</v>
      </c>
      <c r="K96" s="111">
        <f t="shared" si="81"/>
        <v>12370.63</v>
      </c>
      <c r="L96" s="111">
        <f t="shared" si="82"/>
        <v>86594.41</v>
      </c>
      <c r="M96" s="111">
        <f t="shared" si="83"/>
        <v>24741.26</v>
      </c>
      <c r="N96" s="43">
        <f>120000</f>
        <v>120000</v>
      </c>
      <c r="O96" s="43"/>
      <c r="P96" s="111">
        <f t="shared" si="84"/>
        <v>2474.1260000000002</v>
      </c>
      <c r="Q96" s="111">
        <v>15000</v>
      </c>
      <c r="R96" s="111">
        <v>0</v>
      </c>
      <c r="S96" s="111">
        <f t="shared" si="85"/>
        <v>362001.06050000002</v>
      </c>
      <c r="T96" s="111">
        <v>354201.02600000001</v>
      </c>
      <c r="U96" s="111">
        <f t="shared" si="60"/>
        <v>7800.0344999999497</v>
      </c>
      <c r="V96" s="111"/>
      <c r="W96" s="111">
        <f t="shared" si="18"/>
        <v>7709.76</v>
      </c>
      <c r="X96" s="111">
        <v>7709.76</v>
      </c>
      <c r="Y96" s="111">
        <f t="shared" si="61"/>
        <v>0</v>
      </c>
      <c r="Z96" s="111"/>
      <c r="AA96" s="111"/>
      <c r="AB96" s="111"/>
    </row>
    <row r="97" spans="1:29" ht="21.65" customHeight="1">
      <c r="A97" s="107">
        <v>9</v>
      </c>
      <c r="B97" s="806" t="s">
        <v>354</v>
      </c>
      <c r="C97" s="807"/>
      <c r="D97" s="110" t="s">
        <v>47</v>
      </c>
      <c r="E97" s="112" t="s">
        <v>1162</v>
      </c>
      <c r="F97" s="111">
        <f>23891.12</f>
        <v>23891.119999999999</v>
      </c>
      <c r="G97" s="111"/>
      <c r="H97" s="111">
        <f t="shared" si="79"/>
        <v>71673.36</v>
      </c>
      <c r="I97" s="111">
        <f t="shared" si="80"/>
        <v>1791.8340000000001</v>
      </c>
      <c r="J97" s="111">
        <v>0</v>
      </c>
      <c r="K97" s="111">
        <f t="shared" si="81"/>
        <v>11945.56</v>
      </c>
      <c r="L97" s="111">
        <f t="shared" si="82"/>
        <v>83618.92</v>
      </c>
      <c r="M97" s="111">
        <f t="shared" si="83"/>
        <v>23891.119999999999</v>
      </c>
      <c r="N97" s="43">
        <f t="shared" ref="N97:N98" si="86">120000</f>
        <v>120000</v>
      </c>
      <c r="O97" s="43"/>
      <c r="P97" s="111">
        <f t="shared" si="84"/>
        <v>2389.1120000000001</v>
      </c>
      <c r="Q97" s="111">
        <v>15000</v>
      </c>
      <c r="R97" s="111">
        <v>0</v>
      </c>
      <c r="S97" s="111">
        <f t="shared" si="85"/>
        <v>354201.02600000001</v>
      </c>
      <c r="T97" s="111">
        <v>346713.03324999998</v>
      </c>
      <c r="U97" s="111">
        <f t="shared" si="60"/>
        <v>7487.9927499999803</v>
      </c>
      <c r="V97" s="111"/>
      <c r="W97" s="111">
        <f t="shared" si="18"/>
        <v>7709.76</v>
      </c>
      <c r="X97" s="111">
        <v>7709.76</v>
      </c>
      <c r="Y97" s="111">
        <f t="shared" si="61"/>
        <v>0</v>
      </c>
      <c r="Z97" s="111"/>
      <c r="AA97" s="111"/>
      <c r="AB97" s="111"/>
    </row>
    <row r="98" spans="1:29" ht="21.65" customHeight="1">
      <c r="A98" s="107">
        <v>10</v>
      </c>
      <c r="B98" s="806" t="s">
        <v>355</v>
      </c>
      <c r="C98" s="807"/>
      <c r="D98" s="110" t="s">
        <v>47</v>
      </c>
      <c r="E98" s="112" t="s">
        <v>1162</v>
      </c>
      <c r="F98" s="111">
        <f>23891.12</f>
        <v>23891.119999999999</v>
      </c>
      <c r="G98" s="111"/>
      <c r="H98" s="111">
        <f t="shared" si="79"/>
        <v>71673.36</v>
      </c>
      <c r="I98" s="111">
        <f t="shared" si="80"/>
        <v>1791.8340000000001</v>
      </c>
      <c r="J98" s="111">
        <v>0</v>
      </c>
      <c r="K98" s="111">
        <f t="shared" si="81"/>
        <v>11945.56</v>
      </c>
      <c r="L98" s="111">
        <f t="shared" si="82"/>
        <v>83618.92</v>
      </c>
      <c r="M98" s="111">
        <f t="shared" si="83"/>
        <v>23891.119999999999</v>
      </c>
      <c r="N98" s="43">
        <f t="shared" si="86"/>
        <v>120000</v>
      </c>
      <c r="O98" s="43"/>
      <c r="P98" s="111">
        <f t="shared" si="84"/>
        <v>2389.1120000000001</v>
      </c>
      <c r="Q98" s="111">
        <v>15000</v>
      </c>
      <c r="R98" s="111">
        <v>0</v>
      </c>
      <c r="S98" s="111">
        <f t="shared" si="85"/>
        <v>354201.02600000001</v>
      </c>
      <c r="T98" s="111">
        <v>346713.03324999998</v>
      </c>
      <c r="U98" s="111">
        <f t="shared" si="60"/>
        <v>7487.9927499999803</v>
      </c>
      <c r="V98" s="111"/>
      <c r="W98" s="111">
        <f t="shared" si="18"/>
        <v>7709.76</v>
      </c>
      <c r="X98" s="111">
        <v>7709.76</v>
      </c>
      <c r="Y98" s="111">
        <f t="shared" si="61"/>
        <v>0</v>
      </c>
      <c r="Z98" s="111"/>
      <c r="AA98" s="111"/>
      <c r="AB98" s="111"/>
    </row>
    <row r="99" spans="1:29" ht="20.149999999999999" customHeight="1">
      <c r="A99" s="107"/>
      <c r="B99" s="813" t="s">
        <v>34</v>
      </c>
      <c r="C99" s="813"/>
      <c r="D99" s="102">
        <v>10</v>
      </c>
      <c r="E99" s="102"/>
      <c r="F99" s="142">
        <f>SUM(F89:F98)</f>
        <v>287626.82</v>
      </c>
      <c r="G99" s="142"/>
      <c r="H99" s="142">
        <f t="shared" ref="H99:N99" si="87">SUM(H89:H98)</f>
        <v>862880.46</v>
      </c>
      <c r="I99" s="142">
        <f t="shared" si="87"/>
        <v>21572.011500000001</v>
      </c>
      <c r="J99" s="142">
        <f t="shared" si="87"/>
        <v>120366.57</v>
      </c>
      <c r="K99" s="142">
        <f t="shared" si="87"/>
        <v>143813.41</v>
      </c>
      <c r="L99" s="142">
        <f t="shared" si="87"/>
        <v>1006693.87</v>
      </c>
      <c r="M99" s="142">
        <f t="shared" si="87"/>
        <v>287626.82</v>
      </c>
      <c r="N99" s="135">
        <f t="shared" si="87"/>
        <v>1420000</v>
      </c>
      <c r="O99" s="135"/>
      <c r="P99" s="142">
        <f>SUM(P89:P98)</f>
        <v>28762.682000000001</v>
      </c>
      <c r="Q99" s="142">
        <f>SUM(Q89:Q98)</f>
        <v>185000</v>
      </c>
      <c r="R99" s="142">
        <f>SUM(R89:R98)</f>
        <v>0</v>
      </c>
      <c r="S99" s="142">
        <f>SUM(S89:S98)</f>
        <v>4364342.6435000002</v>
      </c>
      <c r="T99" s="142">
        <v>4272772.3817499997</v>
      </c>
      <c r="U99" s="142">
        <f t="shared" si="60"/>
        <v>91570.261749999598</v>
      </c>
      <c r="V99" s="142"/>
      <c r="W99" s="142">
        <f>SUM(W89:W98)</f>
        <v>106683.07</v>
      </c>
      <c r="X99" s="142">
        <v>106683.07</v>
      </c>
      <c r="Y99" s="111">
        <f t="shared" si="61"/>
        <v>0</v>
      </c>
      <c r="Z99" s="142"/>
      <c r="AA99" s="142"/>
      <c r="AB99" s="142"/>
    </row>
    <row r="100" spans="1:29" ht="20.149999999999999" customHeight="1">
      <c r="A100" s="107"/>
      <c r="B100" s="122"/>
      <c r="C100" s="122"/>
      <c r="D100" s="102"/>
      <c r="E100" s="102"/>
      <c r="F100" s="141"/>
      <c r="G100" s="141"/>
      <c r="H100" s="141"/>
      <c r="I100" s="141"/>
      <c r="J100" s="141"/>
      <c r="K100" s="141"/>
      <c r="L100" s="141"/>
      <c r="M100" s="141"/>
      <c r="N100" s="43"/>
      <c r="O100" s="43"/>
      <c r="P100" s="141"/>
      <c r="Q100" s="141"/>
      <c r="R100" s="141"/>
      <c r="S100" s="141"/>
      <c r="T100" s="141"/>
      <c r="U100" s="111">
        <f t="shared" si="60"/>
        <v>0</v>
      </c>
      <c r="V100" s="141"/>
      <c r="W100" s="141"/>
      <c r="X100" s="141"/>
      <c r="Y100" s="111">
        <f t="shared" si="61"/>
        <v>0</v>
      </c>
      <c r="Z100" s="141"/>
      <c r="AA100" s="141"/>
      <c r="AB100" s="141"/>
    </row>
    <row r="101" spans="1:29" ht="20.149999999999999" customHeight="1">
      <c r="A101" s="107"/>
      <c r="B101" s="813" t="s">
        <v>1175</v>
      </c>
      <c r="C101" s="813"/>
      <c r="D101" s="102"/>
      <c r="E101" s="102"/>
      <c r="F101" s="141"/>
      <c r="G101" s="141"/>
      <c r="H101" s="141"/>
      <c r="I101" s="141"/>
      <c r="J101" s="141"/>
      <c r="K101" s="141"/>
      <c r="L101" s="141"/>
      <c r="M101" s="141"/>
      <c r="N101" s="43"/>
      <c r="O101" s="43"/>
      <c r="P101" s="141"/>
      <c r="Q101" s="141"/>
      <c r="R101" s="141"/>
      <c r="S101" s="141"/>
      <c r="T101" s="141"/>
      <c r="U101" s="111">
        <f t="shared" si="60"/>
        <v>0</v>
      </c>
      <c r="V101" s="141"/>
      <c r="W101" s="141"/>
      <c r="X101" s="141"/>
      <c r="Y101" s="111">
        <f t="shared" si="61"/>
        <v>0</v>
      </c>
      <c r="Z101" s="141"/>
      <c r="AA101" s="141"/>
      <c r="AB101" s="141"/>
    </row>
    <row r="102" spans="1:29" ht="20.149999999999999" customHeight="1">
      <c r="A102" s="107">
        <v>1</v>
      </c>
      <c r="B102" s="108" t="s">
        <v>232</v>
      </c>
      <c r="C102" s="109"/>
      <c r="D102" s="107" t="s">
        <v>233</v>
      </c>
      <c r="E102" s="112" t="s">
        <v>308</v>
      </c>
      <c r="F102" s="111">
        <f>41157.69</f>
        <v>41157.69</v>
      </c>
      <c r="G102" s="111"/>
      <c r="H102" s="111">
        <f t="shared" ref="H102:H103" si="88">F102*300%</f>
        <v>123473.07</v>
      </c>
      <c r="I102" s="111">
        <f t="shared" ref="I102:I103" si="89">F102*7.5%</f>
        <v>3086.8267500000002</v>
      </c>
      <c r="J102" s="111">
        <v>40122.19</v>
      </c>
      <c r="K102" s="111">
        <f t="shared" ref="K102:K103" si="90">F102*50%</f>
        <v>20578.845000000001</v>
      </c>
      <c r="L102" s="111">
        <f t="shared" ref="L102:L103" si="91">F102*350%</f>
        <v>144051.91500000001</v>
      </c>
      <c r="M102" s="111">
        <f t="shared" ref="M102:M103" si="92">F102*100%</f>
        <v>41157.69</v>
      </c>
      <c r="N102" s="43"/>
      <c r="O102" s="43">
        <f>90000</f>
        <v>90000</v>
      </c>
      <c r="P102" s="111">
        <f t="shared" ref="P102:P103" si="93">F102*10%</f>
        <v>4115.7690000000002</v>
      </c>
      <c r="Q102" s="111">
        <v>20000</v>
      </c>
      <c r="R102" s="111"/>
      <c r="S102" s="111">
        <f>SUM(F102:R102)</f>
        <v>527743.99575</v>
      </c>
      <c r="T102" s="111">
        <v>514023.33374999999</v>
      </c>
      <c r="U102" s="111">
        <f t="shared" si="60"/>
        <v>13720.662</v>
      </c>
      <c r="V102" s="111"/>
      <c r="W102" s="111">
        <f>21618.09</f>
        <v>21618.09</v>
      </c>
      <c r="X102" s="111">
        <v>21618.09</v>
      </c>
      <c r="Y102" s="111">
        <f t="shared" si="61"/>
        <v>0</v>
      </c>
      <c r="Z102" s="111"/>
      <c r="AA102" s="111"/>
      <c r="AB102" s="111"/>
    </row>
    <row r="103" spans="1:29" ht="20.149999999999999" customHeight="1">
      <c r="A103" s="107">
        <v>2</v>
      </c>
      <c r="B103" s="810" t="s">
        <v>250</v>
      </c>
      <c r="C103" s="811"/>
      <c r="D103" s="3" t="s">
        <v>367</v>
      </c>
      <c r="E103" s="9" t="s">
        <v>342</v>
      </c>
      <c r="F103" s="71">
        <f>26732.65</f>
        <v>26732.65</v>
      </c>
      <c r="G103" s="111"/>
      <c r="H103" s="71">
        <f t="shared" si="88"/>
        <v>80197.95</v>
      </c>
      <c r="I103" s="71">
        <f t="shared" si="89"/>
        <v>2004.94875</v>
      </c>
      <c r="J103" s="71"/>
      <c r="K103" s="71">
        <f t="shared" si="90"/>
        <v>13366.325000000001</v>
      </c>
      <c r="L103" s="71">
        <f t="shared" si="91"/>
        <v>93564.274999999994</v>
      </c>
      <c r="M103" s="71">
        <f t="shared" si="92"/>
        <v>26732.65</v>
      </c>
      <c r="N103" s="43"/>
      <c r="O103" s="43">
        <f>70000</f>
        <v>70000</v>
      </c>
      <c r="P103" s="71">
        <f t="shared" si="93"/>
        <v>2673.2649999999999</v>
      </c>
      <c r="Q103" s="71">
        <v>20000</v>
      </c>
      <c r="R103" s="71"/>
      <c r="S103" s="111">
        <f>SUM(F103:R103)</f>
        <v>335272.06374999997</v>
      </c>
      <c r="T103" s="111">
        <v>327211.36749999999</v>
      </c>
      <c r="U103" s="111">
        <f t="shared" si="60"/>
        <v>8060.69624999998</v>
      </c>
      <c r="V103" s="71"/>
      <c r="W103" s="111">
        <f t="shared" si="17"/>
        <v>7709.76</v>
      </c>
      <c r="X103" s="71">
        <v>7709.76</v>
      </c>
      <c r="Y103" s="111">
        <f t="shared" si="61"/>
        <v>0</v>
      </c>
      <c r="Z103" s="111"/>
      <c r="AA103" s="111"/>
      <c r="AB103" s="111"/>
      <c r="AC103" s="144"/>
    </row>
    <row r="104" spans="1:29" ht="20.149999999999999" customHeight="1">
      <c r="A104" s="107">
        <v>3</v>
      </c>
      <c r="B104" s="118" t="s">
        <v>1135</v>
      </c>
      <c r="C104" s="119"/>
      <c r="D104" s="3" t="s">
        <v>1136</v>
      </c>
      <c r="E104" s="112" t="s">
        <v>1162</v>
      </c>
      <c r="F104" s="111">
        <f>23891.12</f>
        <v>23891.119999999999</v>
      </c>
      <c r="G104" s="111"/>
      <c r="H104" s="111">
        <f t="shared" ref="H104:H105" si="94">F104*300%</f>
        <v>71673.36</v>
      </c>
      <c r="I104" s="111">
        <f t="shared" ref="I104:I105" si="95">F104*7.5%</f>
        <v>1791.8340000000001</v>
      </c>
      <c r="J104" s="111">
        <v>0</v>
      </c>
      <c r="K104" s="111">
        <f t="shared" ref="K104:K105" si="96">F104*50%</f>
        <v>11945.56</v>
      </c>
      <c r="L104" s="111">
        <f t="shared" ref="L104:L105" si="97">F104*350%</f>
        <v>83618.92</v>
      </c>
      <c r="M104" s="111">
        <f t="shared" ref="M104:M105" si="98">F104*100%</f>
        <v>23891.119999999999</v>
      </c>
      <c r="N104" s="43"/>
      <c r="O104" s="43">
        <v>70000</v>
      </c>
      <c r="P104" s="111">
        <f t="shared" ref="P104:P105" si="99">F104*10%</f>
        <v>2389.1120000000001</v>
      </c>
      <c r="Q104" s="111">
        <v>15000</v>
      </c>
      <c r="R104" s="111">
        <v>0</v>
      </c>
      <c r="S104" s="111">
        <f t="shared" ref="S104:S105" si="100">SUM(F104:R104)</f>
        <v>304201.02600000001</v>
      </c>
      <c r="T104" s="111">
        <v>296713.03324999998</v>
      </c>
      <c r="U104" s="111">
        <f t="shared" si="60"/>
        <v>7487.9927499999803</v>
      </c>
      <c r="V104" s="111"/>
      <c r="W104" s="111">
        <f t="shared" si="17"/>
        <v>7709.76</v>
      </c>
      <c r="X104" s="111">
        <v>7709.76</v>
      </c>
      <c r="Y104" s="111">
        <f t="shared" si="61"/>
        <v>0</v>
      </c>
      <c r="Z104" s="111"/>
      <c r="AA104" s="111"/>
      <c r="AB104" s="111"/>
      <c r="AC104" s="144"/>
    </row>
    <row r="105" spans="1:29" ht="20.149999999999999" customHeight="1">
      <c r="A105" s="107">
        <v>4</v>
      </c>
      <c r="B105" s="806" t="s">
        <v>368</v>
      </c>
      <c r="C105" s="807"/>
      <c r="D105" s="99" t="s">
        <v>1176</v>
      </c>
      <c r="E105" s="112" t="s">
        <v>1177</v>
      </c>
      <c r="F105" s="71">
        <f>19276.95</f>
        <v>19276.95</v>
      </c>
      <c r="G105" s="111"/>
      <c r="H105" s="111">
        <f t="shared" si="94"/>
        <v>57830.85</v>
      </c>
      <c r="I105" s="111">
        <f t="shared" si="95"/>
        <v>1445.77125</v>
      </c>
      <c r="J105" s="111"/>
      <c r="K105" s="111">
        <f t="shared" si="96"/>
        <v>9638.4750000000004</v>
      </c>
      <c r="L105" s="111">
        <f t="shared" si="97"/>
        <v>67469.324999999997</v>
      </c>
      <c r="M105" s="71">
        <f t="shared" si="98"/>
        <v>19276.95</v>
      </c>
      <c r="N105" s="43"/>
      <c r="O105" s="43">
        <f>60000</f>
        <v>60000</v>
      </c>
      <c r="P105" s="111">
        <f t="shared" si="99"/>
        <v>1927.6949999999999</v>
      </c>
      <c r="Q105" s="111">
        <v>10000</v>
      </c>
      <c r="R105" s="111"/>
      <c r="S105" s="111">
        <f t="shared" si="100"/>
        <v>246866.01624999999</v>
      </c>
      <c r="T105" s="111">
        <v>237734.04699999999</v>
      </c>
      <c r="U105" s="111">
        <f t="shared" si="60"/>
        <v>9131.9692500000801</v>
      </c>
      <c r="V105" s="111"/>
      <c r="W105" s="111">
        <v>3369.51</v>
      </c>
      <c r="X105" s="111">
        <v>3369.51</v>
      </c>
      <c r="Y105" s="111">
        <f t="shared" si="61"/>
        <v>0</v>
      </c>
      <c r="Z105" s="111"/>
      <c r="AA105" s="111"/>
      <c r="AB105" s="111"/>
      <c r="AC105" s="144"/>
    </row>
    <row r="106" spans="1:29" ht="20.149999999999999" customHeight="1">
      <c r="A106" s="99"/>
      <c r="B106" s="813" t="s">
        <v>34</v>
      </c>
      <c r="C106" s="813"/>
      <c r="D106" s="102">
        <v>4</v>
      </c>
      <c r="E106" s="146"/>
      <c r="F106" s="79">
        <f>SUM(F102:F105)</f>
        <v>111058.41</v>
      </c>
      <c r="G106" s="79"/>
      <c r="H106" s="79">
        <f t="shared" ref="H106:M106" si="101">SUM(H102:H105)</f>
        <v>333175.23</v>
      </c>
      <c r="I106" s="79">
        <f t="shared" si="101"/>
        <v>8329.3807500000003</v>
      </c>
      <c r="J106" s="79">
        <f t="shared" si="101"/>
        <v>40122.19</v>
      </c>
      <c r="K106" s="79">
        <f t="shared" si="101"/>
        <v>55529.205000000002</v>
      </c>
      <c r="L106" s="79">
        <f t="shared" si="101"/>
        <v>388704.435</v>
      </c>
      <c r="M106" s="79">
        <f t="shared" si="101"/>
        <v>111058.41</v>
      </c>
      <c r="N106" s="135"/>
      <c r="O106" s="135">
        <f>SUM(O102:O105)</f>
        <v>290000</v>
      </c>
      <c r="P106" s="79">
        <f>SUM(P102:P105)</f>
        <v>11105.841</v>
      </c>
      <c r="Q106" s="79">
        <f>SUM(Q102:Q105)</f>
        <v>65000</v>
      </c>
      <c r="R106" s="79">
        <f>SUM(R102:R105)</f>
        <v>0</v>
      </c>
      <c r="S106" s="79">
        <f>SUM(S102:S105)</f>
        <v>1414083.1017499999</v>
      </c>
      <c r="T106" s="79">
        <v>1375681.7815</v>
      </c>
      <c r="U106" s="142">
        <f t="shared" si="60"/>
        <v>38401.320250000099</v>
      </c>
      <c r="V106" s="79"/>
      <c r="W106" s="79">
        <f t="shared" ref="W106" si="102">SUM(W102:W105)</f>
        <v>40407.120000000003</v>
      </c>
      <c r="X106" s="79">
        <v>40407.120000000003</v>
      </c>
      <c r="Y106" s="111">
        <f t="shared" si="61"/>
        <v>0</v>
      </c>
      <c r="Z106" s="79"/>
      <c r="AA106" s="79"/>
      <c r="AB106" s="79"/>
      <c r="AC106" s="144"/>
    </row>
    <row r="107" spans="1:29" ht="20.149999999999999" customHeight="1">
      <c r="A107" s="99"/>
      <c r="B107" s="122"/>
      <c r="C107" s="122"/>
      <c r="D107" s="102"/>
      <c r="E107" s="146"/>
      <c r="F107" s="133"/>
      <c r="G107" s="133"/>
      <c r="H107" s="133"/>
      <c r="I107" s="133"/>
      <c r="J107" s="133"/>
      <c r="K107" s="133"/>
      <c r="L107" s="133"/>
      <c r="M107" s="133"/>
      <c r="N107" s="43"/>
      <c r="O107" s="43"/>
      <c r="P107" s="133"/>
      <c r="Q107" s="133"/>
      <c r="R107" s="133"/>
      <c r="S107" s="133"/>
      <c r="T107" s="133"/>
      <c r="U107" s="111">
        <f t="shared" si="60"/>
        <v>0</v>
      </c>
      <c r="V107" s="133"/>
      <c r="W107" s="133"/>
      <c r="X107" s="133"/>
      <c r="Y107" s="111">
        <f t="shared" si="61"/>
        <v>0</v>
      </c>
      <c r="Z107" s="133"/>
      <c r="AA107" s="133"/>
      <c r="AB107" s="133"/>
    </row>
    <row r="108" spans="1:29" ht="20.149999999999999" customHeight="1">
      <c r="A108" s="99"/>
      <c r="B108" s="813" t="s">
        <v>1178</v>
      </c>
      <c r="C108" s="813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43"/>
      <c r="O108" s="43"/>
      <c r="P108" s="99"/>
      <c r="Q108" s="99"/>
      <c r="R108" s="99"/>
      <c r="S108" s="99"/>
      <c r="T108" s="99"/>
      <c r="U108" s="111">
        <f t="shared" si="60"/>
        <v>0</v>
      </c>
      <c r="V108" s="99"/>
      <c r="W108" s="99"/>
      <c r="X108" s="99"/>
      <c r="Y108" s="111">
        <f t="shared" si="61"/>
        <v>0</v>
      </c>
      <c r="Z108" s="99"/>
      <c r="AA108" s="99"/>
      <c r="AB108" s="99"/>
    </row>
    <row r="109" spans="1:29" ht="20.149999999999999" customHeight="1">
      <c r="A109" s="99">
        <v>1</v>
      </c>
      <c r="B109" s="806" t="s">
        <v>373</v>
      </c>
      <c r="C109" s="807"/>
      <c r="D109" s="110" t="s">
        <v>374</v>
      </c>
      <c r="E109" s="112" t="s">
        <v>297</v>
      </c>
      <c r="F109" s="111">
        <f>81740.02</f>
        <v>81740.02</v>
      </c>
      <c r="G109" s="111"/>
      <c r="H109" s="111">
        <f>F109*300%</f>
        <v>245220.06</v>
      </c>
      <c r="I109" s="111">
        <f>F109*7.5%</f>
        <v>6130.5015000000003</v>
      </c>
      <c r="J109" s="111">
        <v>80244.38</v>
      </c>
      <c r="K109" s="111">
        <f>F109*50%</f>
        <v>40870.01</v>
      </c>
      <c r="L109" s="111">
        <f>F109*350%</f>
        <v>286090.07</v>
      </c>
      <c r="M109" s="111">
        <f>F109*100%</f>
        <v>81740.02</v>
      </c>
      <c r="N109" s="43">
        <f>200000</f>
        <v>200000</v>
      </c>
      <c r="O109" s="43"/>
      <c r="P109" s="111">
        <f>F109*10%</f>
        <v>8174.0020000000004</v>
      </c>
      <c r="Q109" s="111">
        <v>20000</v>
      </c>
      <c r="R109" s="111">
        <v>0</v>
      </c>
      <c r="S109" s="111">
        <f>SUM(F109:R109)</f>
        <v>1050209.0634999999</v>
      </c>
      <c r="T109" s="111">
        <v>1025433.077</v>
      </c>
      <c r="U109" s="111">
        <f t="shared" si="60"/>
        <v>24775.986500000101</v>
      </c>
      <c r="V109" s="111"/>
      <c r="W109" s="111">
        <f>52776.63</f>
        <v>52776.63</v>
      </c>
      <c r="X109" s="111">
        <v>52776.63</v>
      </c>
      <c r="Y109" s="111">
        <f t="shared" si="61"/>
        <v>0</v>
      </c>
      <c r="Z109" s="111"/>
      <c r="AA109" s="111"/>
      <c r="AB109" s="111"/>
    </row>
    <row r="110" spans="1:29" ht="20.149999999999999" customHeight="1">
      <c r="A110" s="99">
        <v>2</v>
      </c>
      <c r="B110" s="828" t="s">
        <v>375</v>
      </c>
      <c r="C110" s="829"/>
      <c r="D110" s="99" t="s">
        <v>376</v>
      </c>
      <c r="E110" s="107" t="s">
        <v>249</v>
      </c>
      <c r="F110" s="111">
        <f>33507.5</f>
        <v>33507.5</v>
      </c>
      <c r="G110" s="111"/>
      <c r="H110" s="111">
        <f>F110*300%</f>
        <v>100522.5</v>
      </c>
      <c r="I110" s="111">
        <f>F110*7.5%</f>
        <v>2513.0625</v>
      </c>
      <c r="J110" s="111">
        <v>40122.19</v>
      </c>
      <c r="K110" s="111">
        <f>F110*50%</f>
        <v>16753.75</v>
      </c>
      <c r="L110" s="111">
        <f>F110*350%</f>
        <v>117276.25</v>
      </c>
      <c r="M110" s="111">
        <f>F110*100%</f>
        <v>33507.5</v>
      </c>
      <c r="N110" s="43">
        <f>160000</f>
        <v>160000</v>
      </c>
      <c r="O110" s="43"/>
      <c r="P110" s="111">
        <f>F110*10%</f>
        <v>3350.75</v>
      </c>
      <c r="Q110" s="111">
        <v>20000</v>
      </c>
      <c r="R110" s="111">
        <v>0</v>
      </c>
      <c r="S110" s="111">
        <f>SUM(F110:R110)</f>
        <v>527553.50249999994</v>
      </c>
      <c r="T110" s="111">
        <v>527553.50249999994</v>
      </c>
      <c r="U110" s="111">
        <f t="shared" si="60"/>
        <v>0</v>
      </c>
      <c r="V110" s="111"/>
      <c r="W110" s="111">
        <v>15548.33</v>
      </c>
      <c r="X110" s="111">
        <v>15548.33</v>
      </c>
      <c r="Y110" s="111">
        <f t="shared" si="61"/>
        <v>0</v>
      </c>
      <c r="Z110" s="111"/>
      <c r="AA110" s="111"/>
      <c r="AB110" s="111"/>
    </row>
    <row r="111" spans="1:29" ht="20.149999999999999" customHeight="1">
      <c r="A111" s="99">
        <v>3</v>
      </c>
      <c r="B111" s="806" t="s">
        <v>377</v>
      </c>
      <c r="C111" s="807"/>
      <c r="D111" s="99" t="s">
        <v>378</v>
      </c>
      <c r="E111" s="107" t="s">
        <v>263</v>
      </c>
      <c r="F111" s="111">
        <f>26339.3</f>
        <v>26339.3</v>
      </c>
      <c r="G111" s="111"/>
      <c r="H111" s="111">
        <f>F111*300%</f>
        <v>79017.899999999994</v>
      </c>
      <c r="I111" s="111">
        <f>F111*7.5%</f>
        <v>1975.4475</v>
      </c>
      <c r="J111" s="111">
        <v>0</v>
      </c>
      <c r="K111" s="111">
        <f>F111*50%</f>
        <v>13169.65</v>
      </c>
      <c r="L111" s="111">
        <f>F111*350%</f>
        <v>92187.55</v>
      </c>
      <c r="M111" s="111">
        <f>F111*100%</f>
        <v>26339.3</v>
      </c>
      <c r="N111" s="43">
        <f>120000</f>
        <v>120000</v>
      </c>
      <c r="O111" s="43"/>
      <c r="P111" s="111">
        <f>F111*10%</f>
        <v>2633.93</v>
      </c>
      <c r="Q111" s="111">
        <v>15000</v>
      </c>
      <c r="R111" s="111" t="e">
        <f>#REF!</f>
        <v>#REF!</v>
      </c>
      <c r="S111" s="111" t="e">
        <f>SUM(F111:R111)</f>
        <v>#REF!</v>
      </c>
      <c r="T111" s="111">
        <v>418096.01602500002</v>
      </c>
      <c r="U111" s="111" t="e">
        <f t="shared" si="60"/>
        <v>#REF!</v>
      </c>
      <c r="V111" s="111"/>
      <c r="W111" s="111">
        <f>7709.76</f>
        <v>7709.76</v>
      </c>
      <c r="X111" s="111">
        <v>7709.76</v>
      </c>
      <c r="Y111" s="111">
        <f t="shared" si="61"/>
        <v>0</v>
      </c>
      <c r="Z111" s="111"/>
      <c r="AA111" s="111"/>
      <c r="AB111" s="111"/>
    </row>
    <row r="112" spans="1:29" ht="20.149999999999999" customHeight="1">
      <c r="A112" s="99">
        <v>4</v>
      </c>
      <c r="B112" s="810" t="s">
        <v>379</v>
      </c>
      <c r="C112" s="811"/>
      <c r="D112" s="99" t="s">
        <v>378</v>
      </c>
      <c r="E112" s="9" t="s">
        <v>266</v>
      </c>
      <c r="F112" s="71">
        <f>25523.45</f>
        <v>25523.45</v>
      </c>
      <c r="G112" s="71"/>
      <c r="H112" s="71">
        <f>F112*300%</f>
        <v>76570.350000000006</v>
      </c>
      <c r="I112" s="71">
        <f>F112*7.5%</f>
        <v>1914.25875</v>
      </c>
      <c r="J112" s="71">
        <v>0</v>
      </c>
      <c r="K112" s="71">
        <f>F112*50%</f>
        <v>12761.725</v>
      </c>
      <c r="L112" s="71">
        <f>F112*350%</f>
        <v>89332.074999999997</v>
      </c>
      <c r="M112" s="71">
        <f>F112*100%</f>
        <v>25523.45</v>
      </c>
      <c r="N112" s="43">
        <f>120000</f>
        <v>120000</v>
      </c>
      <c r="O112" s="43"/>
      <c r="P112" s="71">
        <f>F112*10%</f>
        <v>2552.3449999999998</v>
      </c>
      <c r="Q112" s="71">
        <v>15000</v>
      </c>
      <c r="R112" s="71" t="e">
        <f>#REF!</f>
        <v>#REF!</v>
      </c>
      <c r="S112" s="111" t="e">
        <f>SUM(F112:R112)</f>
        <v>#REF!</v>
      </c>
      <c r="T112" s="111">
        <v>401821.17715499998</v>
      </c>
      <c r="U112" s="111" t="e">
        <f t="shared" si="60"/>
        <v>#REF!</v>
      </c>
      <c r="V112" s="71"/>
      <c r="W112" s="71">
        <f>7709.76</f>
        <v>7709.76</v>
      </c>
      <c r="X112" s="71">
        <v>7709.76</v>
      </c>
      <c r="Y112" s="111">
        <f t="shared" si="61"/>
        <v>0</v>
      </c>
      <c r="Z112" s="111"/>
      <c r="AA112" s="111"/>
      <c r="AB112" s="111"/>
    </row>
    <row r="113" spans="1:28" ht="20.149999999999999" customHeight="1">
      <c r="A113" s="99">
        <v>5</v>
      </c>
      <c r="B113" s="806" t="s">
        <v>380</v>
      </c>
      <c r="C113" s="807"/>
      <c r="D113" s="45" t="s">
        <v>381</v>
      </c>
      <c r="E113" s="112" t="s">
        <v>945</v>
      </c>
      <c r="F113" s="121">
        <f>13492.21</f>
        <v>13492.21</v>
      </c>
      <c r="G113" s="111"/>
      <c r="H113" s="111">
        <f>F113*300%</f>
        <v>40476.629999999997</v>
      </c>
      <c r="I113" s="111">
        <f>F113*7.5%</f>
        <v>1011.91575</v>
      </c>
      <c r="J113" s="111"/>
      <c r="K113" s="111">
        <f>F113*50%</f>
        <v>6746.1049999999996</v>
      </c>
      <c r="L113" s="111">
        <f>F113*350%</f>
        <v>47222.735000000001</v>
      </c>
      <c r="M113" s="111">
        <f>F113*100%</f>
        <v>13492.21</v>
      </c>
      <c r="N113" s="43">
        <f>100000</f>
        <v>100000</v>
      </c>
      <c r="O113" s="43"/>
      <c r="P113" s="111">
        <f>F113*10%</f>
        <v>1349.221</v>
      </c>
      <c r="Q113" s="111">
        <v>10000</v>
      </c>
      <c r="R113" s="111" t="e">
        <f>#REF!</f>
        <v>#REF!</v>
      </c>
      <c r="S113" s="111" t="e">
        <f>SUM(F113:R113)</f>
        <v>#REF!</v>
      </c>
      <c r="T113" s="111">
        <v>255637.51548</v>
      </c>
      <c r="U113" s="111" t="e">
        <f t="shared" si="60"/>
        <v>#REF!</v>
      </c>
      <c r="V113" s="111"/>
      <c r="W113" s="111">
        <v>1484.37</v>
      </c>
      <c r="X113" s="111">
        <v>1484.37</v>
      </c>
      <c r="Y113" s="111">
        <f t="shared" si="61"/>
        <v>0</v>
      </c>
      <c r="Z113" s="111"/>
      <c r="AA113" s="111"/>
      <c r="AB113" s="111"/>
    </row>
    <row r="114" spans="1:28" ht="20.149999999999999" customHeight="1">
      <c r="A114" s="99">
        <v>6</v>
      </c>
      <c r="B114" s="118" t="s">
        <v>383</v>
      </c>
      <c r="C114" s="119"/>
      <c r="D114" s="45" t="s">
        <v>381</v>
      </c>
      <c r="E114" s="107" t="s">
        <v>291</v>
      </c>
      <c r="F114" s="111">
        <f>13112.16</f>
        <v>13112.16</v>
      </c>
      <c r="G114" s="111"/>
      <c r="H114" s="111">
        <f t="shared" ref="H114:H116" si="103">F114*300%</f>
        <v>39336.480000000003</v>
      </c>
      <c r="I114" s="111">
        <f t="shared" ref="I114:I116" si="104">F114*7.5%</f>
        <v>983.41200000000003</v>
      </c>
      <c r="J114" s="111"/>
      <c r="K114" s="111">
        <f t="shared" ref="K114:K116" si="105">F114*50%</f>
        <v>6556.08</v>
      </c>
      <c r="L114" s="111">
        <f t="shared" ref="L114:L116" si="106">F114*350%</f>
        <v>45892.56</v>
      </c>
      <c r="M114" s="111">
        <f t="shared" ref="M114:M116" si="107">F114*100%</f>
        <v>13112.16</v>
      </c>
      <c r="N114" s="43">
        <f>100000</f>
        <v>100000</v>
      </c>
      <c r="O114" s="43"/>
      <c r="P114" s="111">
        <f t="shared" ref="P114:P116" si="108">F114*10%</f>
        <v>1311.2159999999999</v>
      </c>
      <c r="Q114" s="111">
        <v>10000</v>
      </c>
      <c r="R114" s="111" t="e">
        <f>#REF!</f>
        <v>#REF!</v>
      </c>
      <c r="S114" s="111" t="e">
        <f t="shared" ref="S114:S116" si="109">SUM(F114:R114)</f>
        <v>#REF!</v>
      </c>
      <c r="T114" s="111">
        <v>251765.87100000001</v>
      </c>
      <c r="U114" s="111" t="e">
        <f t="shared" si="60"/>
        <v>#REF!</v>
      </c>
      <c r="V114" s="111"/>
      <c r="W114" s="111">
        <v>1484.37</v>
      </c>
      <c r="X114" s="111">
        <v>1484.37</v>
      </c>
      <c r="Y114" s="111">
        <f t="shared" si="61"/>
        <v>0</v>
      </c>
      <c r="Z114" s="111"/>
      <c r="AA114" s="111"/>
      <c r="AB114" s="111"/>
    </row>
    <row r="115" spans="1:28" ht="20.149999999999999" customHeight="1">
      <c r="A115" s="99">
        <v>7</v>
      </c>
      <c r="B115" s="108" t="s">
        <v>385</v>
      </c>
      <c r="C115" s="109"/>
      <c r="D115" s="45" t="s">
        <v>381</v>
      </c>
      <c r="E115" s="112" t="s">
        <v>31</v>
      </c>
      <c r="F115" s="121">
        <f>12351.94</f>
        <v>12351.94</v>
      </c>
      <c r="G115" s="111"/>
      <c r="H115" s="111">
        <f t="shared" si="103"/>
        <v>37055.82</v>
      </c>
      <c r="I115" s="111">
        <f t="shared" si="104"/>
        <v>926.39549999999997</v>
      </c>
      <c r="J115" s="111"/>
      <c r="K115" s="111">
        <f t="shared" si="105"/>
        <v>6175.97</v>
      </c>
      <c r="L115" s="111">
        <f t="shared" si="106"/>
        <v>43231.79</v>
      </c>
      <c r="M115" s="111">
        <f t="shared" si="107"/>
        <v>12351.94</v>
      </c>
      <c r="N115" s="43">
        <f t="shared" ref="N115:N116" si="110">100000</f>
        <v>100000</v>
      </c>
      <c r="O115" s="43"/>
      <c r="P115" s="111">
        <f t="shared" si="108"/>
        <v>1235.194</v>
      </c>
      <c r="Q115" s="111">
        <v>10000</v>
      </c>
      <c r="R115" s="111" t="e">
        <f>#REF!</f>
        <v>#REF!</v>
      </c>
      <c r="S115" s="111" t="e">
        <f t="shared" si="109"/>
        <v>#REF!</v>
      </c>
      <c r="T115" s="111">
        <v>247895.24494500001</v>
      </c>
      <c r="U115" s="111" t="e">
        <f t="shared" si="60"/>
        <v>#REF!</v>
      </c>
      <c r="V115" s="111"/>
      <c r="W115" s="111">
        <v>1484.37</v>
      </c>
      <c r="X115" s="111">
        <v>1484.37</v>
      </c>
      <c r="Y115" s="111">
        <f t="shared" si="61"/>
        <v>0</v>
      </c>
      <c r="Z115" s="111"/>
      <c r="AA115" s="111"/>
      <c r="AB115" s="111"/>
    </row>
    <row r="116" spans="1:28" ht="20.149999999999999" customHeight="1">
      <c r="A116" s="99">
        <v>8</v>
      </c>
      <c r="B116" s="108" t="s">
        <v>1215</v>
      </c>
      <c r="C116" s="109"/>
      <c r="D116" s="45" t="s">
        <v>381</v>
      </c>
      <c r="E116" s="112" t="s">
        <v>31</v>
      </c>
      <c r="F116" s="121">
        <f>12351.94</f>
        <v>12351.94</v>
      </c>
      <c r="G116" s="111"/>
      <c r="H116" s="111">
        <f t="shared" si="103"/>
        <v>37055.82</v>
      </c>
      <c r="I116" s="111">
        <f t="shared" si="104"/>
        <v>926.39549999999997</v>
      </c>
      <c r="J116" s="111"/>
      <c r="K116" s="111">
        <f t="shared" si="105"/>
        <v>6175.97</v>
      </c>
      <c r="L116" s="111">
        <f t="shared" si="106"/>
        <v>43231.79</v>
      </c>
      <c r="M116" s="111">
        <f t="shared" si="107"/>
        <v>12351.94</v>
      </c>
      <c r="N116" s="43">
        <f t="shared" si="110"/>
        <v>100000</v>
      </c>
      <c r="O116" s="43"/>
      <c r="P116" s="111">
        <f t="shared" si="108"/>
        <v>1235.194</v>
      </c>
      <c r="Q116" s="111">
        <v>10000</v>
      </c>
      <c r="R116" s="111" t="e">
        <f>#REF!</f>
        <v>#REF!</v>
      </c>
      <c r="S116" s="111" t="e">
        <f t="shared" si="109"/>
        <v>#REF!</v>
      </c>
      <c r="T116" s="111">
        <v>247895.24494500001</v>
      </c>
      <c r="U116" s="111" t="e">
        <f t="shared" si="60"/>
        <v>#REF!</v>
      </c>
      <c r="V116" s="111"/>
      <c r="W116" s="111">
        <v>1484.37</v>
      </c>
      <c r="X116" s="111">
        <v>1484.37</v>
      </c>
      <c r="Y116" s="111">
        <f t="shared" si="61"/>
        <v>0</v>
      </c>
      <c r="Z116" s="111"/>
      <c r="AA116" s="111"/>
      <c r="AB116" s="111"/>
    </row>
    <row r="117" spans="1:28" ht="20.149999999999999" customHeight="1">
      <c r="A117" s="99"/>
      <c r="B117" s="813" t="s">
        <v>34</v>
      </c>
      <c r="C117" s="813"/>
      <c r="D117" s="107">
        <v>8</v>
      </c>
      <c r="E117" s="99"/>
      <c r="F117" s="147">
        <f>SUM(F109:F116)</f>
        <v>218418.52</v>
      </c>
      <c r="G117" s="147"/>
      <c r="H117" s="147">
        <f t="shared" ref="H117:N117" si="111">SUM(H109:H116)</f>
        <v>655255.56000000006</v>
      </c>
      <c r="I117" s="147">
        <f t="shared" si="111"/>
        <v>16381.388999999999</v>
      </c>
      <c r="J117" s="147">
        <f t="shared" si="111"/>
        <v>120366.57</v>
      </c>
      <c r="K117" s="147">
        <f t="shared" si="111"/>
        <v>109209.26</v>
      </c>
      <c r="L117" s="147">
        <f t="shared" si="111"/>
        <v>764464.82</v>
      </c>
      <c r="M117" s="147">
        <f t="shared" si="111"/>
        <v>218418.52</v>
      </c>
      <c r="N117" s="135">
        <f t="shared" si="111"/>
        <v>1000000</v>
      </c>
      <c r="O117" s="135"/>
      <c r="P117" s="147">
        <f>SUM(P109:P116)</f>
        <v>21841.851999999999</v>
      </c>
      <c r="Q117" s="147">
        <f>SUM(Q109:Q116)</f>
        <v>110000</v>
      </c>
      <c r="R117" s="147" t="e">
        <f>SUM(R109:R116)</f>
        <v>#REF!</v>
      </c>
      <c r="S117" s="147" t="e">
        <f>SUM(S109:S116)</f>
        <v>#REF!</v>
      </c>
      <c r="T117" s="147">
        <v>3376097.6490500001</v>
      </c>
      <c r="U117" s="142" t="e">
        <f t="shared" si="60"/>
        <v>#REF!</v>
      </c>
      <c r="V117" s="147"/>
      <c r="W117" s="147">
        <f t="shared" ref="W117" si="112">SUM(W109:W116)</f>
        <v>89681.96</v>
      </c>
      <c r="X117" s="147">
        <v>89681.96</v>
      </c>
      <c r="Y117" s="111">
        <f t="shared" si="61"/>
        <v>0</v>
      </c>
      <c r="Z117" s="147"/>
      <c r="AA117" s="147"/>
      <c r="AB117" s="147"/>
    </row>
    <row r="118" spans="1:28" ht="20.149999999999999" customHeight="1">
      <c r="A118" s="99"/>
      <c r="B118" s="122"/>
      <c r="C118" s="122"/>
      <c r="D118" s="107"/>
      <c r="E118" s="99"/>
      <c r="F118" s="148"/>
      <c r="G118" s="104"/>
      <c r="H118" s="148"/>
      <c r="I118" s="148"/>
      <c r="J118" s="148"/>
      <c r="K118" s="148"/>
      <c r="L118" s="148"/>
      <c r="M118" s="148"/>
      <c r="N118" s="43"/>
      <c r="O118" s="43"/>
      <c r="P118" s="148"/>
      <c r="Q118" s="148"/>
      <c r="R118" s="148"/>
      <c r="S118" s="148"/>
      <c r="T118" s="148"/>
      <c r="U118" s="111">
        <f t="shared" si="60"/>
        <v>0</v>
      </c>
      <c r="V118" s="148"/>
      <c r="W118" s="148"/>
      <c r="X118" s="148"/>
      <c r="Y118" s="111">
        <f t="shared" si="61"/>
        <v>0</v>
      </c>
      <c r="Z118" s="148"/>
      <c r="AA118" s="148"/>
      <c r="AB118" s="148"/>
    </row>
    <row r="119" spans="1:28" ht="20.149999999999999" customHeight="1">
      <c r="A119" s="99"/>
      <c r="B119" s="813" t="s">
        <v>1179</v>
      </c>
      <c r="C119" s="813"/>
      <c r="D119" s="102"/>
      <c r="E119" s="102"/>
      <c r="F119" s="141"/>
      <c r="G119" s="141"/>
      <c r="H119" s="141"/>
      <c r="I119" s="141"/>
      <c r="J119" s="141"/>
      <c r="K119" s="141"/>
      <c r="L119" s="141"/>
      <c r="M119" s="141"/>
      <c r="N119" s="43"/>
      <c r="O119" s="43"/>
      <c r="P119" s="141"/>
      <c r="Q119" s="141"/>
      <c r="R119" s="141"/>
      <c r="S119" s="141"/>
      <c r="T119" s="141"/>
      <c r="U119" s="111">
        <f t="shared" si="60"/>
        <v>0</v>
      </c>
      <c r="V119" s="141"/>
      <c r="W119" s="141"/>
      <c r="X119" s="141"/>
      <c r="Y119" s="111">
        <f t="shared" si="61"/>
        <v>0</v>
      </c>
      <c r="Z119" s="111"/>
      <c r="AA119" s="111"/>
      <c r="AB119" s="111"/>
    </row>
    <row r="120" spans="1:28" ht="20.149999999999999" customHeight="1">
      <c r="A120" s="99">
        <v>1</v>
      </c>
      <c r="B120" s="812" t="s">
        <v>392</v>
      </c>
      <c r="C120" s="812"/>
      <c r="D120" s="110" t="s">
        <v>393</v>
      </c>
      <c r="E120" s="112" t="s">
        <v>297</v>
      </c>
      <c r="F120" s="111">
        <f>81740.02</f>
        <v>81740.02</v>
      </c>
      <c r="G120" s="111"/>
      <c r="H120" s="111">
        <f t="shared" ref="H120:H128" si="113">F120*300%</f>
        <v>245220.06</v>
      </c>
      <c r="I120" s="111">
        <f t="shared" ref="I120:I128" si="114">F120*7.5%</f>
        <v>6130.5015000000003</v>
      </c>
      <c r="J120" s="111">
        <f>80244.38</f>
        <v>80244.38</v>
      </c>
      <c r="K120" s="111">
        <f t="shared" ref="K120:K128" si="115">F120*50%</f>
        <v>40870.01</v>
      </c>
      <c r="L120" s="111">
        <f t="shared" ref="L120:L128" si="116">F120*350%</f>
        <v>286090.07</v>
      </c>
      <c r="M120" s="111">
        <f t="shared" ref="M120:M128" si="117">F120*100%</f>
        <v>81740.02</v>
      </c>
      <c r="N120" s="43"/>
      <c r="O120" s="43">
        <f>100000</f>
        <v>100000</v>
      </c>
      <c r="P120" s="111">
        <f t="shared" ref="P120:P128" si="118">F120*10%</f>
        <v>8174.0020000000004</v>
      </c>
      <c r="Q120" s="111">
        <v>20000</v>
      </c>
      <c r="R120" s="111">
        <v>100000</v>
      </c>
      <c r="S120" s="111">
        <f t="shared" ref="S120:S128" si="119">SUM(F120:R120)</f>
        <v>1050209.0634999999</v>
      </c>
      <c r="T120" s="111">
        <v>1050209.0634999999</v>
      </c>
      <c r="U120" s="111">
        <f t="shared" si="60"/>
        <v>0</v>
      </c>
      <c r="V120" s="111"/>
      <c r="W120" s="111">
        <f>52776.63</f>
        <v>52776.63</v>
      </c>
      <c r="X120" s="111">
        <v>52776.63</v>
      </c>
      <c r="Y120" s="111">
        <f t="shared" si="61"/>
        <v>0</v>
      </c>
      <c r="Z120" s="111"/>
      <c r="AA120" s="111"/>
      <c r="AB120" s="111"/>
    </row>
    <row r="121" spans="1:28" ht="20.149999999999999" customHeight="1">
      <c r="A121" s="99">
        <v>2</v>
      </c>
      <c r="B121" s="812" t="s">
        <v>1138</v>
      </c>
      <c r="C121" s="812"/>
      <c r="D121" s="110" t="s">
        <v>1139</v>
      </c>
      <c r="E121" s="112" t="s">
        <v>231</v>
      </c>
      <c r="F121" s="111">
        <f>42653.17</f>
        <v>42653.17</v>
      </c>
      <c r="G121" s="111"/>
      <c r="H121" s="111">
        <f t="shared" si="113"/>
        <v>127959.51</v>
      </c>
      <c r="I121" s="111">
        <f t="shared" si="114"/>
        <v>3198.9877499999998</v>
      </c>
      <c r="J121" s="111">
        <v>40122.19</v>
      </c>
      <c r="K121" s="111">
        <f t="shared" si="115"/>
        <v>21326.584999999999</v>
      </c>
      <c r="L121" s="111">
        <f t="shared" si="116"/>
        <v>149286.095</v>
      </c>
      <c r="M121" s="111">
        <f t="shared" si="117"/>
        <v>42653.17</v>
      </c>
      <c r="N121" s="43"/>
      <c r="O121" s="43">
        <f>90000</f>
        <v>90000</v>
      </c>
      <c r="P121" s="111">
        <f t="shared" si="118"/>
        <v>4265.317</v>
      </c>
      <c r="Q121" s="111">
        <v>20000</v>
      </c>
      <c r="R121" s="111">
        <f>100000</f>
        <v>100000</v>
      </c>
      <c r="S121" s="111">
        <f t="shared" si="119"/>
        <v>641465.02474999998</v>
      </c>
      <c r="T121" s="111">
        <v>641465.02474999998</v>
      </c>
      <c r="U121" s="111">
        <f t="shared" si="60"/>
        <v>0</v>
      </c>
      <c r="V121" s="111"/>
      <c r="W121" s="111">
        <f>21618.09</f>
        <v>21618.09</v>
      </c>
      <c r="X121" s="111">
        <v>21618.09</v>
      </c>
      <c r="Y121" s="111">
        <f t="shared" si="61"/>
        <v>0</v>
      </c>
      <c r="Z121" s="111"/>
      <c r="AA121" s="111"/>
      <c r="AB121" s="111"/>
    </row>
    <row r="122" spans="1:28" ht="20.149999999999999" customHeight="1">
      <c r="A122" s="99">
        <v>3</v>
      </c>
      <c r="B122" s="812" t="s">
        <v>130</v>
      </c>
      <c r="C122" s="812"/>
      <c r="D122" s="110" t="s">
        <v>227</v>
      </c>
      <c r="E122" s="112" t="s">
        <v>249</v>
      </c>
      <c r="F122" s="71">
        <f>33507.5</f>
        <v>33507.5</v>
      </c>
      <c r="G122" s="111"/>
      <c r="H122" s="111">
        <f t="shared" si="113"/>
        <v>100522.5</v>
      </c>
      <c r="I122" s="111">
        <f t="shared" si="114"/>
        <v>2513.0625</v>
      </c>
      <c r="J122" s="111">
        <v>40122.19</v>
      </c>
      <c r="K122" s="111">
        <f t="shared" si="115"/>
        <v>16753.75</v>
      </c>
      <c r="L122" s="111">
        <f t="shared" si="116"/>
        <v>117276.25</v>
      </c>
      <c r="M122" s="111">
        <f t="shared" si="117"/>
        <v>33507.5</v>
      </c>
      <c r="N122" s="43"/>
      <c r="O122" s="43">
        <f>80000</f>
        <v>80000</v>
      </c>
      <c r="P122" s="111">
        <f t="shared" si="118"/>
        <v>3350.75</v>
      </c>
      <c r="Q122" s="111">
        <v>20000</v>
      </c>
      <c r="R122" s="111">
        <v>0</v>
      </c>
      <c r="S122" s="111">
        <f t="shared" si="119"/>
        <v>447553.5025</v>
      </c>
      <c r="T122" s="111">
        <v>447553.5025</v>
      </c>
      <c r="U122" s="111">
        <f t="shared" si="60"/>
        <v>0</v>
      </c>
      <c r="V122" s="111"/>
      <c r="W122" s="111">
        <v>15548.33</v>
      </c>
      <c r="X122" s="111">
        <v>15548.33</v>
      </c>
      <c r="Y122" s="111">
        <f t="shared" si="61"/>
        <v>0</v>
      </c>
      <c r="Z122" s="111"/>
      <c r="AA122" s="111"/>
      <c r="AB122" s="111"/>
    </row>
    <row r="123" spans="1:28" ht="20.149999999999999" customHeight="1">
      <c r="A123" s="99">
        <v>4</v>
      </c>
      <c r="B123" s="830" t="s">
        <v>395</v>
      </c>
      <c r="C123" s="830"/>
      <c r="D123" s="110" t="s">
        <v>227</v>
      </c>
      <c r="E123" s="112" t="s">
        <v>249</v>
      </c>
      <c r="F123" s="111">
        <f>33507.5</f>
        <v>33507.5</v>
      </c>
      <c r="G123" s="111"/>
      <c r="H123" s="111">
        <f t="shared" si="113"/>
        <v>100522.5</v>
      </c>
      <c r="I123" s="111">
        <f t="shared" si="114"/>
        <v>2513.0625</v>
      </c>
      <c r="J123" s="111">
        <f>40122.19</f>
        <v>40122.19</v>
      </c>
      <c r="K123" s="111">
        <f t="shared" si="115"/>
        <v>16753.75</v>
      </c>
      <c r="L123" s="111">
        <f t="shared" si="116"/>
        <v>117276.25</v>
      </c>
      <c r="M123" s="111">
        <f t="shared" si="117"/>
        <v>33507.5</v>
      </c>
      <c r="N123" s="43"/>
      <c r="O123" s="43">
        <f t="shared" si="9"/>
        <v>80000</v>
      </c>
      <c r="P123" s="111">
        <f t="shared" si="118"/>
        <v>3350.75</v>
      </c>
      <c r="Q123" s="111">
        <v>20000</v>
      </c>
      <c r="R123" s="111">
        <f>100000</f>
        <v>100000</v>
      </c>
      <c r="S123" s="111">
        <f t="shared" si="119"/>
        <v>547553.50249999994</v>
      </c>
      <c r="T123" s="111">
        <v>536137.05000000005</v>
      </c>
      <c r="U123" s="111">
        <f t="shared" si="60"/>
        <v>11416.452499999899</v>
      </c>
      <c r="V123" s="111"/>
      <c r="W123" s="111">
        <f>15548.33</f>
        <v>15548.33</v>
      </c>
      <c r="X123" s="111">
        <v>15548.33</v>
      </c>
      <c r="Y123" s="111">
        <f t="shared" si="61"/>
        <v>0</v>
      </c>
      <c r="Z123" s="111"/>
      <c r="AA123" s="111"/>
      <c r="AB123" s="111"/>
    </row>
    <row r="124" spans="1:28" ht="20.149999999999999" customHeight="1">
      <c r="A124" s="99">
        <v>5</v>
      </c>
      <c r="B124" s="45" t="s">
        <v>226</v>
      </c>
      <c r="D124" s="110" t="s">
        <v>227</v>
      </c>
      <c r="E124" s="112" t="s">
        <v>228</v>
      </c>
      <c r="F124" s="71">
        <f>31018.84</f>
        <v>31018.84</v>
      </c>
      <c r="G124" s="111"/>
      <c r="H124" s="111">
        <f t="shared" ref="H124" si="120">F124*300%</f>
        <v>93056.52</v>
      </c>
      <c r="I124" s="111">
        <f t="shared" ref="I124" si="121">F124*7.5%</f>
        <v>2326.413</v>
      </c>
      <c r="J124" s="111">
        <v>40122.19</v>
      </c>
      <c r="K124" s="111">
        <f t="shared" ref="K124" si="122">F124*50%</f>
        <v>15509.42</v>
      </c>
      <c r="L124" s="111">
        <f t="shared" ref="L124" si="123">F124*350%</f>
        <v>108565.94</v>
      </c>
      <c r="M124" s="111">
        <f t="shared" ref="M124" si="124">F124*100%</f>
        <v>31018.84</v>
      </c>
      <c r="N124" s="43"/>
      <c r="O124" s="43">
        <f t="shared" si="9"/>
        <v>80000</v>
      </c>
      <c r="P124" s="111">
        <f t="shared" ref="P124" si="125">F124*10%</f>
        <v>3101.884</v>
      </c>
      <c r="Q124" s="111">
        <v>20000</v>
      </c>
      <c r="R124" s="111">
        <v>0</v>
      </c>
      <c r="S124" s="111">
        <f t="shared" si="119"/>
        <v>424720.04700000002</v>
      </c>
      <c r="T124" s="111">
        <v>424720.04700000002</v>
      </c>
      <c r="U124" s="111">
        <f t="shared" si="60"/>
        <v>0</v>
      </c>
      <c r="V124" s="111"/>
      <c r="W124" s="111">
        <f>(15548.33)</f>
        <v>15548.33</v>
      </c>
      <c r="X124" s="111">
        <v>15548.33</v>
      </c>
      <c r="Y124" s="111">
        <f t="shared" si="61"/>
        <v>0</v>
      </c>
      <c r="Z124" s="111"/>
      <c r="AA124" s="111"/>
      <c r="AB124" s="111"/>
    </row>
    <row r="125" spans="1:28" ht="20.149999999999999" customHeight="1">
      <c r="A125" s="99">
        <v>6</v>
      </c>
      <c r="B125" s="831" t="s">
        <v>396</v>
      </c>
      <c r="C125" s="831"/>
      <c r="D125" s="110" t="s">
        <v>1141</v>
      </c>
      <c r="E125" s="112" t="s">
        <v>266</v>
      </c>
      <c r="F125" s="111">
        <f>25523.45</f>
        <v>25523.45</v>
      </c>
      <c r="G125" s="111"/>
      <c r="H125" s="111">
        <f t="shared" si="113"/>
        <v>76570.350000000006</v>
      </c>
      <c r="I125" s="111">
        <f t="shared" si="114"/>
        <v>1914.25875</v>
      </c>
      <c r="J125" s="111">
        <v>0</v>
      </c>
      <c r="K125" s="111">
        <f t="shared" si="115"/>
        <v>12761.725</v>
      </c>
      <c r="L125" s="111">
        <f t="shared" si="116"/>
        <v>89332.074999999997</v>
      </c>
      <c r="M125" s="111">
        <f t="shared" si="117"/>
        <v>25523.45</v>
      </c>
      <c r="N125" s="43"/>
      <c r="O125" s="43">
        <f>70000</f>
        <v>70000</v>
      </c>
      <c r="P125" s="111">
        <f t="shared" si="118"/>
        <v>2552.3449999999998</v>
      </c>
      <c r="Q125" s="111">
        <v>15000</v>
      </c>
      <c r="R125" s="111">
        <v>0</v>
      </c>
      <c r="S125" s="111">
        <f t="shared" si="119"/>
        <v>319177.65375</v>
      </c>
      <c r="T125" s="111">
        <v>312001.06050000002</v>
      </c>
      <c r="U125" s="111">
        <f t="shared" si="60"/>
        <v>7176.5932500000299</v>
      </c>
      <c r="V125" s="111"/>
      <c r="W125" s="111">
        <f>7709.76</f>
        <v>7709.76</v>
      </c>
      <c r="X125" s="111">
        <v>7709.76</v>
      </c>
      <c r="Y125" s="111">
        <f t="shared" si="61"/>
        <v>0</v>
      </c>
      <c r="Z125" s="111"/>
      <c r="AA125" s="111"/>
      <c r="AB125" s="111"/>
    </row>
    <row r="126" spans="1:28" ht="20.149999999999999" customHeight="1">
      <c r="A126" s="99">
        <v>7</v>
      </c>
      <c r="B126" s="812" t="s">
        <v>398</v>
      </c>
      <c r="C126" s="812"/>
      <c r="D126" s="110" t="s">
        <v>399</v>
      </c>
      <c r="E126" s="112" t="s">
        <v>950</v>
      </c>
      <c r="F126" s="111">
        <f>24741.26</f>
        <v>24741.26</v>
      </c>
      <c r="G126" s="111"/>
      <c r="H126" s="111">
        <f t="shared" si="113"/>
        <v>74223.78</v>
      </c>
      <c r="I126" s="111">
        <f t="shared" si="114"/>
        <v>1855.5944999999999</v>
      </c>
      <c r="J126" s="111"/>
      <c r="K126" s="111">
        <f t="shared" si="115"/>
        <v>12370.63</v>
      </c>
      <c r="L126" s="111">
        <f t="shared" si="116"/>
        <v>86594.41</v>
      </c>
      <c r="M126" s="111">
        <f t="shared" si="117"/>
        <v>24741.26</v>
      </c>
      <c r="N126" s="43"/>
      <c r="O126" s="43">
        <f t="shared" ref="O126:O128" si="126">70000</f>
        <v>70000</v>
      </c>
      <c r="P126" s="111">
        <f t="shared" si="118"/>
        <v>2474.1260000000002</v>
      </c>
      <c r="Q126" s="111">
        <v>15000</v>
      </c>
      <c r="R126" s="111">
        <f>30000</f>
        <v>30000</v>
      </c>
      <c r="S126" s="111">
        <f t="shared" si="119"/>
        <v>342001.06050000002</v>
      </c>
      <c r="T126" s="111">
        <v>334201.02600000001</v>
      </c>
      <c r="U126" s="111">
        <f t="shared" si="60"/>
        <v>7800.0344999999497</v>
      </c>
      <c r="V126" s="111"/>
      <c r="W126" s="111">
        <f>7709.76</f>
        <v>7709.76</v>
      </c>
      <c r="X126" s="111">
        <v>7709.76</v>
      </c>
      <c r="Y126" s="111">
        <f t="shared" si="61"/>
        <v>0</v>
      </c>
      <c r="Z126" s="111"/>
      <c r="AA126" s="111"/>
      <c r="AB126" s="111"/>
    </row>
    <row r="127" spans="1:28" ht="20.149999999999999" customHeight="1">
      <c r="A127" s="99">
        <v>8</v>
      </c>
      <c r="B127" s="812" t="s">
        <v>400</v>
      </c>
      <c r="C127" s="812"/>
      <c r="D127" s="110" t="s">
        <v>970</v>
      </c>
      <c r="E127" s="112" t="s">
        <v>950</v>
      </c>
      <c r="F127" s="111">
        <f>24741.26</f>
        <v>24741.26</v>
      </c>
      <c r="G127" s="111"/>
      <c r="H127" s="111">
        <f t="shared" si="113"/>
        <v>74223.78</v>
      </c>
      <c r="I127" s="111">
        <f t="shared" si="114"/>
        <v>1855.5944999999999</v>
      </c>
      <c r="J127" s="111"/>
      <c r="K127" s="111">
        <f t="shared" si="115"/>
        <v>12370.63</v>
      </c>
      <c r="L127" s="111">
        <f t="shared" si="116"/>
        <v>86594.41</v>
      </c>
      <c r="M127" s="111">
        <f t="shared" si="117"/>
        <v>24741.26</v>
      </c>
      <c r="N127" s="43"/>
      <c r="O127" s="43">
        <f t="shared" si="126"/>
        <v>70000</v>
      </c>
      <c r="P127" s="111">
        <f t="shared" si="118"/>
        <v>2474.1260000000002</v>
      </c>
      <c r="Q127" s="111">
        <v>15000</v>
      </c>
      <c r="R127" s="111"/>
      <c r="S127" s="111">
        <f t="shared" si="119"/>
        <v>312001.06050000002</v>
      </c>
      <c r="T127" s="111">
        <v>304201.02600000001</v>
      </c>
      <c r="U127" s="111">
        <f t="shared" si="60"/>
        <v>7800.0344999999497</v>
      </c>
      <c r="V127" s="111"/>
      <c r="W127" s="111">
        <f>7709.76</f>
        <v>7709.76</v>
      </c>
      <c r="X127" s="111">
        <v>7709.76</v>
      </c>
      <c r="Y127" s="111">
        <f t="shared" si="61"/>
        <v>0</v>
      </c>
      <c r="Z127" s="111"/>
      <c r="AA127" s="111"/>
      <c r="AB127" s="111"/>
    </row>
    <row r="128" spans="1:28" ht="20.149999999999999" customHeight="1">
      <c r="A128" s="99">
        <v>9</v>
      </c>
      <c r="B128" s="108" t="s">
        <v>1140</v>
      </c>
      <c r="C128" s="109"/>
      <c r="D128" s="110" t="s">
        <v>1141</v>
      </c>
      <c r="E128" s="112" t="s">
        <v>951</v>
      </c>
      <c r="F128" s="111">
        <f>23891.12</f>
        <v>23891.119999999999</v>
      </c>
      <c r="G128" s="111"/>
      <c r="H128" s="111">
        <f t="shared" si="113"/>
        <v>71673.36</v>
      </c>
      <c r="I128" s="111">
        <f t="shared" si="114"/>
        <v>1791.8340000000001</v>
      </c>
      <c r="J128" s="111"/>
      <c r="K128" s="111">
        <f t="shared" si="115"/>
        <v>11945.56</v>
      </c>
      <c r="L128" s="111">
        <f t="shared" si="116"/>
        <v>83618.92</v>
      </c>
      <c r="M128" s="111">
        <f t="shared" si="117"/>
        <v>23891.119999999999</v>
      </c>
      <c r="N128" s="43"/>
      <c r="O128" s="43">
        <f t="shared" si="126"/>
        <v>70000</v>
      </c>
      <c r="P128" s="111">
        <f t="shared" si="118"/>
        <v>2389.1120000000001</v>
      </c>
      <c r="Q128" s="111">
        <v>15000</v>
      </c>
      <c r="R128" s="111"/>
      <c r="S128" s="111">
        <f t="shared" si="119"/>
        <v>304201.02600000001</v>
      </c>
      <c r="T128" s="111">
        <v>296713.03324999998</v>
      </c>
      <c r="U128" s="111">
        <f t="shared" si="60"/>
        <v>7487.9927499999803</v>
      </c>
      <c r="V128" s="111"/>
      <c r="W128" s="111">
        <f>7709.76</f>
        <v>7709.76</v>
      </c>
      <c r="X128" s="111">
        <v>7709.76</v>
      </c>
      <c r="Y128" s="111">
        <f t="shared" si="61"/>
        <v>0</v>
      </c>
      <c r="Z128" s="111"/>
      <c r="AA128" s="111"/>
      <c r="AB128" s="111"/>
    </row>
    <row r="129" spans="1:28" ht="20.149999999999999" customHeight="1">
      <c r="A129" s="99"/>
      <c r="B129" s="813" t="s">
        <v>34</v>
      </c>
      <c r="C129" s="813"/>
      <c r="D129" s="146" t="s">
        <v>1120</v>
      </c>
      <c r="E129" s="112"/>
      <c r="F129" s="141">
        <f>SUM(F120:F128)</f>
        <v>321324.12</v>
      </c>
      <c r="G129" s="141"/>
      <c r="H129" s="141">
        <f t="shared" ref="H129:M129" si="127">SUM(H120:H128)</f>
        <v>963972.36</v>
      </c>
      <c r="I129" s="141">
        <f t="shared" si="127"/>
        <v>24099.309000000001</v>
      </c>
      <c r="J129" s="141">
        <f t="shared" si="127"/>
        <v>240733.14</v>
      </c>
      <c r="K129" s="141">
        <f t="shared" si="127"/>
        <v>160662.06</v>
      </c>
      <c r="L129" s="141">
        <f t="shared" si="127"/>
        <v>1124634.42</v>
      </c>
      <c r="M129" s="141">
        <f t="shared" si="127"/>
        <v>321324.12</v>
      </c>
      <c r="N129" s="135"/>
      <c r="O129" s="135">
        <f>SUM(O120:O128)</f>
        <v>710000</v>
      </c>
      <c r="P129" s="141">
        <f>SUM(P120:P128)</f>
        <v>32132.412</v>
      </c>
      <c r="Q129" s="141">
        <f>SUM(Q120:Q128)</f>
        <v>160000</v>
      </c>
      <c r="R129" s="141">
        <f>SUM(R120:R128)</f>
        <v>330000</v>
      </c>
      <c r="S129" s="141">
        <f>SUM(S120:S128)</f>
        <v>4388881.9409999996</v>
      </c>
      <c r="T129" s="141">
        <v>4347200.8334999997</v>
      </c>
      <c r="U129" s="142">
        <f t="shared" si="60"/>
        <v>41681.107499999896</v>
      </c>
      <c r="V129" s="141"/>
      <c r="W129" s="141">
        <f t="shared" ref="W129" si="128">SUM(W120:W128)</f>
        <v>151878.75</v>
      </c>
      <c r="X129" s="141">
        <v>151878.75</v>
      </c>
      <c r="Y129" s="111">
        <f t="shared" si="61"/>
        <v>0</v>
      </c>
      <c r="Z129" s="141"/>
      <c r="AA129" s="141"/>
      <c r="AB129" s="141"/>
    </row>
    <row r="130" spans="1:28" ht="20.149999999999999" customHeight="1">
      <c r="A130" s="99"/>
      <c r="B130" s="122"/>
      <c r="C130" s="122"/>
      <c r="D130" s="146"/>
      <c r="E130" s="112"/>
      <c r="F130" s="141"/>
      <c r="G130" s="141"/>
      <c r="H130" s="141"/>
      <c r="I130" s="141"/>
      <c r="J130" s="141"/>
      <c r="K130" s="141"/>
      <c r="L130" s="141"/>
      <c r="M130" s="141"/>
      <c r="N130" s="43"/>
      <c r="O130" s="43"/>
      <c r="P130" s="141"/>
      <c r="Q130" s="141"/>
      <c r="R130" s="141"/>
      <c r="S130" s="141"/>
      <c r="T130" s="141"/>
      <c r="U130" s="111">
        <f t="shared" si="60"/>
        <v>0</v>
      </c>
      <c r="V130" s="141"/>
      <c r="W130" s="141"/>
      <c r="X130" s="141"/>
      <c r="Y130" s="111">
        <f t="shared" si="61"/>
        <v>0</v>
      </c>
      <c r="Z130" s="141"/>
      <c r="AA130" s="141"/>
      <c r="AB130" s="141"/>
    </row>
    <row r="131" spans="1:28" ht="20.149999999999999" customHeight="1">
      <c r="A131" s="99"/>
      <c r="B131" s="813" t="s">
        <v>1180</v>
      </c>
      <c r="C131" s="813"/>
      <c r="D131" s="110"/>
      <c r="E131" s="112"/>
      <c r="F131" s="111"/>
      <c r="G131" s="111"/>
      <c r="H131" s="111"/>
      <c r="I131" s="111"/>
      <c r="J131" s="111"/>
      <c r="K131" s="111"/>
      <c r="L131" s="111"/>
      <c r="M131" s="111"/>
      <c r="N131" s="43"/>
      <c r="O131" s="43"/>
      <c r="P131" s="111"/>
      <c r="Q131" s="111"/>
      <c r="R131" s="111"/>
      <c r="S131" s="111"/>
      <c r="T131" s="111"/>
      <c r="U131" s="111">
        <f t="shared" si="60"/>
        <v>0</v>
      </c>
      <c r="V131" s="111"/>
      <c r="W131" s="111"/>
      <c r="X131" s="111"/>
      <c r="Y131" s="111">
        <f t="shared" si="61"/>
        <v>0</v>
      </c>
      <c r="Z131" s="111"/>
      <c r="AA131" s="111"/>
      <c r="AB131" s="111"/>
    </row>
    <row r="132" spans="1:28" ht="20.149999999999999" customHeight="1">
      <c r="A132" s="99">
        <v>1</v>
      </c>
      <c r="B132" s="812" t="s">
        <v>1181</v>
      </c>
      <c r="C132" s="812"/>
      <c r="D132" s="110" t="s">
        <v>1182</v>
      </c>
      <c r="E132" s="112" t="s">
        <v>297</v>
      </c>
      <c r="F132" s="111">
        <v>81740.02</v>
      </c>
      <c r="G132" s="111"/>
      <c r="H132" s="111">
        <f>F132*300%</f>
        <v>245220.06</v>
      </c>
      <c r="I132" s="111">
        <f>F132*7.5%</f>
        <v>6130.5015000000003</v>
      </c>
      <c r="J132" s="111">
        <v>80244.38</v>
      </c>
      <c r="K132" s="111">
        <f>F132*50%</f>
        <v>40870.01</v>
      </c>
      <c r="L132" s="111">
        <f>F132*350%</f>
        <v>286090.07</v>
      </c>
      <c r="M132" s="111">
        <f>F132*100%</f>
        <v>81740.02</v>
      </c>
      <c r="N132" s="43"/>
      <c r="O132" s="43">
        <f>100000</f>
        <v>100000</v>
      </c>
      <c r="P132" s="111">
        <f>F132*10%</f>
        <v>8174.0020000000004</v>
      </c>
      <c r="Q132" s="111">
        <v>20000</v>
      </c>
      <c r="R132" s="111">
        <v>0</v>
      </c>
      <c r="S132" s="111">
        <f>SUM(F132:R132)</f>
        <v>950209.06350000005</v>
      </c>
      <c r="T132" s="111">
        <v>950209.06350000005</v>
      </c>
      <c r="U132" s="111">
        <f t="shared" si="60"/>
        <v>0</v>
      </c>
      <c r="V132" s="111"/>
      <c r="W132" s="111">
        <v>52776.63</v>
      </c>
      <c r="X132" s="111">
        <v>52776.63</v>
      </c>
      <c r="Y132" s="111">
        <f t="shared" si="61"/>
        <v>0</v>
      </c>
      <c r="Z132" s="111"/>
      <c r="AA132" s="111"/>
      <c r="AB132" s="111"/>
    </row>
    <row r="133" spans="1:28" ht="20.149999999999999" customHeight="1">
      <c r="A133" s="99">
        <v>2</v>
      </c>
      <c r="B133" s="812" t="s">
        <v>407</v>
      </c>
      <c r="C133" s="812"/>
      <c r="D133" s="110" t="s">
        <v>408</v>
      </c>
      <c r="E133" s="112" t="s">
        <v>297</v>
      </c>
      <c r="F133" s="111">
        <f>81740.02</f>
        <v>81740.02</v>
      </c>
      <c r="G133" s="111"/>
      <c r="H133" s="111">
        <f>F133*300%</f>
        <v>245220.06</v>
      </c>
      <c r="I133" s="111">
        <f>F133*7.5%</f>
        <v>6130.5015000000003</v>
      </c>
      <c r="J133" s="111">
        <f>80244.38</f>
        <v>80244.38</v>
      </c>
      <c r="K133" s="111">
        <f>F133*50%</f>
        <v>40870.01</v>
      </c>
      <c r="L133" s="111">
        <f>F133*350%</f>
        <v>286090.07</v>
      </c>
      <c r="M133" s="111">
        <f>F133*100%</f>
        <v>81740.02</v>
      </c>
      <c r="N133" s="43"/>
      <c r="O133" s="43">
        <f>100000</f>
        <v>100000</v>
      </c>
      <c r="P133" s="111">
        <f>F133*10%</f>
        <v>8174.0020000000004</v>
      </c>
      <c r="Q133" s="111">
        <v>20000</v>
      </c>
      <c r="R133" s="111">
        <v>0</v>
      </c>
      <c r="S133" s="111">
        <f>SUM(F133:R133)</f>
        <v>950209.06350000005</v>
      </c>
      <c r="T133" s="111">
        <v>950209.06350000005</v>
      </c>
      <c r="U133" s="111">
        <f t="shared" si="60"/>
        <v>0</v>
      </c>
      <c r="V133" s="111"/>
      <c r="W133" s="111">
        <f>52776.63</f>
        <v>52776.63</v>
      </c>
      <c r="X133" s="111">
        <v>52776.63</v>
      </c>
      <c r="Y133" s="111">
        <f t="shared" si="61"/>
        <v>0</v>
      </c>
      <c r="Z133" s="111"/>
      <c r="AA133" s="111"/>
      <c r="AB133" s="111"/>
    </row>
    <row r="134" spans="1:28" ht="20.149999999999999" customHeight="1">
      <c r="A134" s="99">
        <v>3</v>
      </c>
      <c r="B134" s="831" t="s">
        <v>229</v>
      </c>
      <c r="C134" s="831"/>
      <c r="D134" s="110" t="s">
        <v>230</v>
      </c>
      <c r="E134" s="112" t="s">
        <v>231</v>
      </c>
      <c r="F134" s="111">
        <f>42653.17</f>
        <v>42653.17</v>
      </c>
      <c r="G134" s="111"/>
      <c r="H134" s="111">
        <f t="shared" ref="H134:H186" si="129">F134*300%</f>
        <v>127959.51</v>
      </c>
      <c r="I134" s="111">
        <f t="shared" ref="I134:I186" si="130">F134*7.5%</f>
        <v>3198.9877499999998</v>
      </c>
      <c r="J134" s="111">
        <v>40122.19</v>
      </c>
      <c r="K134" s="111">
        <f t="shared" ref="K134:K186" si="131">F134*50%</f>
        <v>21326.584999999999</v>
      </c>
      <c r="L134" s="111">
        <f t="shared" ref="L134:L186" si="132">F134*350%</f>
        <v>149286.095</v>
      </c>
      <c r="M134" s="111">
        <f t="shared" ref="M134:M155" si="133">F134*100%</f>
        <v>42653.17</v>
      </c>
      <c r="N134" s="43"/>
      <c r="O134" s="43">
        <f>90000</f>
        <v>90000</v>
      </c>
      <c r="P134" s="111">
        <f t="shared" ref="P134:P155" si="134">F134*10%</f>
        <v>4265.317</v>
      </c>
      <c r="Q134" s="111">
        <v>20000</v>
      </c>
      <c r="R134" s="111">
        <v>0</v>
      </c>
      <c r="S134" s="111">
        <f t="shared" ref="S134:S154" si="135">SUM(F134:R134)</f>
        <v>541465.02474999998</v>
      </c>
      <c r="T134" s="111">
        <v>541465.02474999998</v>
      </c>
      <c r="U134" s="111">
        <f t="shared" si="60"/>
        <v>0</v>
      </c>
      <c r="V134" s="111"/>
      <c r="W134" s="111">
        <f>21618.09</f>
        <v>21618.09</v>
      </c>
      <c r="X134" s="111">
        <v>21618.09</v>
      </c>
      <c r="Y134" s="111">
        <f t="shared" si="61"/>
        <v>0</v>
      </c>
      <c r="Z134" s="111"/>
      <c r="AA134" s="111"/>
      <c r="AB134" s="111"/>
    </row>
    <row r="135" spans="1:28" ht="20.149999999999999" customHeight="1">
      <c r="A135" s="99">
        <v>4</v>
      </c>
      <c r="B135" s="818" t="s">
        <v>409</v>
      </c>
      <c r="C135" s="819"/>
      <c r="D135" s="3" t="s">
        <v>1183</v>
      </c>
      <c r="E135" s="15" t="s">
        <v>249</v>
      </c>
      <c r="F135" s="111">
        <v>33507.5</v>
      </c>
      <c r="G135" s="71"/>
      <c r="H135" s="71">
        <f t="shared" si="129"/>
        <v>100522.5</v>
      </c>
      <c r="I135" s="71">
        <f t="shared" si="130"/>
        <v>2513.0625</v>
      </c>
      <c r="J135" s="71">
        <v>40122.19</v>
      </c>
      <c r="K135" s="71">
        <f t="shared" si="131"/>
        <v>16753.75</v>
      </c>
      <c r="L135" s="71">
        <f t="shared" si="132"/>
        <v>117276.25</v>
      </c>
      <c r="M135" s="71">
        <f t="shared" si="133"/>
        <v>33507.5</v>
      </c>
      <c r="N135" s="43"/>
      <c r="O135" s="43">
        <v>80000</v>
      </c>
      <c r="P135" s="71">
        <f t="shared" si="134"/>
        <v>3350.75</v>
      </c>
      <c r="Q135" s="71">
        <v>20000</v>
      </c>
      <c r="R135" s="71">
        <v>50000</v>
      </c>
      <c r="S135" s="111">
        <f t="shared" si="135"/>
        <v>497553.5025</v>
      </c>
      <c r="T135" s="111">
        <v>497553.5025</v>
      </c>
      <c r="U135" s="111">
        <f t="shared" si="60"/>
        <v>0</v>
      </c>
      <c r="V135" s="71"/>
      <c r="W135" s="71">
        <v>15548.33</v>
      </c>
      <c r="X135" s="71">
        <v>15548.33</v>
      </c>
      <c r="Y135" s="111">
        <f t="shared" si="61"/>
        <v>0</v>
      </c>
      <c r="Z135" s="111"/>
      <c r="AA135" s="111"/>
      <c r="AB135" s="111"/>
    </row>
    <row r="136" spans="1:28" ht="20.149999999999999" customHeight="1">
      <c r="A136" s="99">
        <v>5</v>
      </c>
      <c r="B136" s="818" t="s">
        <v>1184</v>
      </c>
      <c r="C136" s="819"/>
      <c r="D136" s="3" t="s">
        <v>1185</v>
      </c>
      <c r="E136" s="15" t="s">
        <v>249</v>
      </c>
      <c r="F136" s="111">
        <v>33507.5</v>
      </c>
      <c r="G136" s="71"/>
      <c r="H136" s="71">
        <f t="shared" si="129"/>
        <v>100522.5</v>
      </c>
      <c r="I136" s="71">
        <f t="shared" si="130"/>
        <v>2513.0625</v>
      </c>
      <c r="J136" s="71">
        <v>40122.19</v>
      </c>
      <c r="K136" s="71">
        <f t="shared" si="131"/>
        <v>16753.75</v>
      </c>
      <c r="L136" s="71">
        <f t="shared" si="132"/>
        <v>117276.25</v>
      </c>
      <c r="M136" s="71">
        <f t="shared" si="133"/>
        <v>33507.5</v>
      </c>
      <c r="N136" s="43"/>
      <c r="O136" s="43">
        <v>80000</v>
      </c>
      <c r="P136" s="71">
        <f t="shared" si="134"/>
        <v>3350.75</v>
      </c>
      <c r="Q136" s="71">
        <v>20000</v>
      </c>
      <c r="R136" s="71"/>
      <c r="S136" s="111">
        <f t="shared" si="135"/>
        <v>447553.5025</v>
      </c>
      <c r="T136" s="111">
        <v>447553.5025</v>
      </c>
      <c r="U136" s="111">
        <f t="shared" si="60"/>
        <v>0</v>
      </c>
      <c r="V136" s="71"/>
      <c r="W136" s="71">
        <v>15548.33</v>
      </c>
      <c r="X136" s="71">
        <v>15548.33</v>
      </c>
      <c r="Y136" s="111">
        <f t="shared" si="61"/>
        <v>0</v>
      </c>
      <c r="Z136" s="111"/>
      <c r="AA136" s="111"/>
      <c r="AB136" s="111"/>
    </row>
    <row r="137" spans="1:28" ht="20.149999999999999" customHeight="1">
      <c r="A137" s="99">
        <v>6</v>
      </c>
      <c r="B137" s="812" t="s">
        <v>411</v>
      </c>
      <c r="C137" s="812"/>
      <c r="D137" s="110" t="s">
        <v>412</v>
      </c>
      <c r="E137" s="112" t="s">
        <v>342</v>
      </c>
      <c r="F137" s="111">
        <f>26732.65</f>
        <v>26732.65</v>
      </c>
      <c r="G137" s="111"/>
      <c r="H137" s="111">
        <f t="shared" si="129"/>
        <v>80197.95</v>
      </c>
      <c r="I137" s="111">
        <f t="shared" si="130"/>
        <v>2004.94875</v>
      </c>
      <c r="J137" s="111">
        <v>0</v>
      </c>
      <c r="K137" s="111">
        <f t="shared" si="131"/>
        <v>13366.325000000001</v>
      </c>
      <c r="L137" s="111">
        <f t="shared" si="132"/>
        <v>93564.274999999994</v>
      </c>
      <c r="M137" s="111">
        <f t="shared" si="133"/>
        <v>26732.65</v>
      </c>
      <c r="N137" s="43"/>
      <c r="O137" s="43">
        <v>70000</v>
      </c>
      <c r="P137" s="111">
        <f t="shared" si="134"/>
        <v>2673.2649999999999</v>
      </c>
      <c r="Q137" s="71">
        <v>20000</v>
      </c>
      <c r="R137" s="111"/>
      <c r="S137" s="111">
        <f t="shared" si="135"/>
        <v>335272.06374999997</v>
      </c>
      <c r="T137" s="111">
        <v>327211.36749999999</v>
      </c>
      <c r="U137" s="111">
        <f t="shared" si="60"/>
        <v>8060.69624999998</v>
      </c>
      <c r="V137" s="111"/>
      <c r="W137" s="111">
        <v>7709.76</v>
      </c>
      <c r="X137" s="111">
        <v>7709.76</v>
      </c>
      <c r="Y137" s="111">
        <f t="shared" si="61"/>
        <v>0</v>
      </c>
      <c r="Z137" s="111"/>
      <c r="AA137" s="111"/>
      <c r="AB137" s="111"/>
    </row>
    <row r="138" spans="1:28" ht="20.149999999999999" customHeight="1">
      <c r="A138" s="99">
        <v>7</v>
      </c>
      <c r="B138" s="812" t="s">
        <v>413</v>
      </c>
      <c r="C138" s="812"/>
      <c r="D138" s="99" t="s">
        <v>414</v>
      </c>
      <c r="E138" s="112" t="s">
        <v>342</v>
      </c>
      <c r="F138" s="111">
        <f t="shared" ref="F138:F139" si="136">26732.65</f>
        <v>26732.65</v>
      </c>
      <c r="G138" s="111"/>
      <c r="H138" s="111">
        <f t="shared" si="129"/>
        <v>80197.95</v>
      </c>
      <c r="I138" s="111">
        <f t="shared" si="130"/>
        <v>2004.94875</v>
      </c>
      <c r="J138" s="111">
        <v>0</v>
      </c>
      <c r="K138" s="111">
        <f t="shared" si="131"/>
        <v>13366.325000000001</v>
      </c>
      <c r="L138" s="111">
        <f t="shared" si="132"/>
        <v>93564.274999999994</v>
      </c>
      <c r="M138" s="111">
        <f t="shared" si="133"/>
        <v>26732.65</v>
      </c>
      <c r="N138" s="43"/>
      <c r="O138" s="43">
        <v>70000</v>
      </c>
      <c r="P138" s="111">
        <f t="shared" si="134"/>
        <v>2673.2649999999999</v>
      </c>
      <c r="Q138" s="71">
        <v>20000</v>
      </c>
      <c r="R138" s="111">
        <v>0</v>
      </c>
      <c r="S138" s="111">
        <f t="shared" si="135"/>
        <v>335272.06374999997</v>
      </c>
      <c r="T138" s="111">
        <v>327211.36749999999</v>
      </c>
      <c r="U138" s="111">
        <f t="shared" ref="U138:U186" si="137">S138-T138</f>
        <v>8060.69624999998</v>
      </c>
      <c r="V138" s="111"/>
      <c r="W138" s="111">
        <v>7709.76</v>
      </c>
      <c r="X138" s="111">
        <v>7709.76</v>
      </c>
      <c r="Y138" s="111">
        <f t="shared" ref="Y138:Y186" si="138">X138-W138</f>
        <v>0</v>
      </c>
      <c r="Z138" s="111"/>
      <c r="AA138" s="111"/>
      <c r="AB138" s="111"/>
    </row>
    <row r="139" spans="1:28" ht="20.149999999999999" customHeight="1">
      <c r="A139" s="99">
        <v>8</v>
      </c>
      <c r="B139" s="812" t="s">
        <v>415</v>
      </c>
      <c r="C139" s="812"/>
      <c r="D139" s="99" t="s">
        <v>414</v>
      </c>
      <c r="E139" s="112" t="s">
        <v>342</v>
      </c>
      <c r="F139" s="111">
        <f t="shared" si="136"/>
        <v>26732.65</v>
      </c>
      <c r="G139" s="111"/>
      <c r="H139" s="111">
        <f t="shared" si="129"/>
        <v>80197.95</v>
      </c>
      <c r="I139" s="111">
        <f t="shared" si="130"/>
        <v>2004.94875</v>
      </c>
      <c r="J139" s="111">
        <v>0</v>
      </c>
      <c r="K139" s="111">
        <f t="shared" si="131"/>
        <v>13366.325000000001</v>
      </c>
      <c r="L139" s="111">
        <f t="shared" si="132"/>
        <v>93564.274999999994</v>
      </c>
      <c r="M139" s="111">
        <f t="shared" si="133"/>
        <v>26732.65</v>
      </c>
      <c r="N139" s="43"/>
      <c r="O139" s="43">
        <v>70000</v>
      </c>
      <c r="P139" s="111">
        <f t="shared" si="134"/>
        <v>2673.2649999999999</v>
      </c>
      <c r="Q139" s="71">
        <v>20000</v>
      </c>
      <c r="R139" s="111">
        <v>0</v>
      </c>
      <c r="S139" s="111">
        <f t="shared" si="135"/>
        <v>335272.06374999997</v>
      </c>
      <c r="T139" s="111">
        <v>327211.36749999999</v>
      </c>
      <c r="U139" s="111">
        <v>0</v>
      </c>
      <c r="V139" s="111"/>
      <c r="W139" s="111">
        <v>7709.76</v>
      </c>
      <c r="X139" s="111">
        <v>7709.76</v>
      </c>
      <c r="Y139" s="111">
        <f t="shared" si="138"/>
        <v>0</v>
      </c>
      <c r="Z139" s="111"/>
      <c r="AA139" s="111"/>
      <c r="AB139" s="111"/>
    </row>
    <row r="140" spans="1:28" ht="20.149999999999999" customHeight="1">
      <c r="A140" s="99">
        <v>9</v>
      </c>
      <c r="B140" s="812" t="s">
        <v>366</v>
      </c>
      <c r="C140" s="812"/>
      <c r="D140" s="99" t="s">
        <v>420</v>
      </c>
      <c r="E140" s="112" t="s">
        <v>950</v>
      </c>
      <c r="F140" s="111">
        <f>24741.26</f>
        <v>24741.26</v>
      </c>
      <c r="G140" s="111"/>
      <c r="H140" s="111">
        <f t="shared" si="129"/>
        <v>74223.78</v>
      </c>
      <c r="I140" s="111">
        <f t="shared" si="130"/>
        <v>1855.5944999999999</v>
      </c>
      <c r="J140" s="111">
        <v>0</v>
      </c>
      <c r="K140" s="111">
        <f t="shared" si="131"/>
        <v>12370.63</v>
      </c>
      <c r="L140" s="111">
        <f t="shared" si="132"/>
        <v>86594.41</v>
      </c>
      <c r="M140" s="111">
        <f t="shared" si="133"/>
        <v>24741.26</v>
      </c>
      <c r="N140" s="43"/>
      <c r="O140" s="43">
        <v>70000</v>
      </c>
      <c r="P140" s="111">
        <f t="shared" si="134"/>
        <v>2474.1260000000002</v>
      </c>
      <c r="Q140" s="111">
        <v>15000</v>
      </c>
      <c r="R140" s="111">
        <v>0</v>
      </c>
      <c r="S140" s="111">
        <f t="shared" si="135"/>
        <v>312001.06050000002</v>
      </c>
      <c r="T140" s="111">
        <v>304201.02600000001</v>
      </c>
      <c r="U140" s="111">
        <f t="shared" si="137"/>
        <v>7800.0344999999497</v>
      </c>
      <c r="V140" s="111"/>
      <c r="W140" s="111">
        <f>7709.76</f>
        <v>7709.76</v>
      </c>
      <c r="X140" s="111">
        <v>7709.76</v>
      </c>
      <c r="Y140" s="111">
        <f t="shared" si="138"/>
        <v>0</v>
      </c>
      <c r="Z140" s="111"/>
      <c r="AA140" s="111"/>
      <c r="AB140" s="111"/>
    </row>
    <row r="141" spans="1:28" ht="20.149999999999999" customHeight="1">
      <c r="A141" s="99">
        <v>10</v>
      </c>
      <c r="B141" s="806" t="s">
        <v>416</v>
      </c>
      <c r="C141" s="807"/>
      <c r="D141" s="110" t="s">
        <v>417</v>
      </c>
      <c r="E141" s="112" t="s">
        <v>332</v>
      </c>
      <c r="F141" s="111">
        <f>21520.88</f>
        <v>21520.880000000001</v>
      </c>
      <c r="G141" s="111"/>
      <c r="H141" s="111">
        <f t="shared" si="129"/>
        <v>64562.64</v>
      </c>
      <c r="I141" s="111">
        <f t="shared" si="130"/>
        <v>1614.066</v>
      </c>
      <c r="J141" s="111">
        <v>0</v>
      </c>
      <c r="K141" s="111">
        <f t="shared" si="131"/>
        <v>10760.44</v>
      </c>
      <c r="L141" s="111">
        <f t="shared" si="132"/>
        <v>75323.08</v>
      </c>
      <c r="M141" s="111">
        <f t="shared" si="133"/>
        <v>21520.880000000001</v>
      </c>
      <c r="N141" s="43"/>
      <c r="O141" s="43">
        <f t="shared" ref="O141:O149" si="139">60000</f>
        <v>60000</v>
      </c>
      <c r="P141" s="111">
        <f t="shared" si="134"/>
        <v>2152.0880000000002</v>
      </c>
      <c r="Q141" s="111">
        <v>15000</v>
      </c>
      <c r="R141" s="111">
        <v>0</v>
      </c>
      <c r="S141" s="111">
        <f t="shared" si="135"/>
        <v>272454.07400000002</v>
      </c>
      <c r="T141" s="111">
        <v>265372.07500000001</v>
      </c>
      <c r="U141" s="111">
        <f t="shared" si="137"/>
        <v>7081.9990000000698</v>
      </c>
      <c r="V141" s="111"/>
      <c r="W141" s="111">
        <f>3369.51</f>
        <v>3369.51</v>
      </c>
      <c r="X141" s="111">
        <v>3369.51</v>
      </c>
      <c r="Y141" s="111">
        <f t="shared" si="138"/>
        <v>0</v>
      </c>
      <c r="Z141" s="111"/>
      <c r="AA141" s="111"/>
      <c r="AB141" s="111"/>
    </row>
    <row r="142" spans="1:28" ht="20.149999999999999" customHeight="1">
      <c r="A142" s="99">
        <v>11</v>
      </c>
      <c r="B142" s="812" t="s">
        <v>418</v>
      </c>
      <c r="C142" s="812"/>
      <c r="D142" s="110" t="s">
        <v>417</v>
      </c>
      <c r="E142" s="112" t="s">
        <v>332</v>
      </c>
      <c r="F142" s="111">
        <f t="shared" ref="F142:F143" si="140">21520.88</f>
        <v>21520.880000000001</v>
      </c>
      <c r="G142" s="111"/>
      <c r="H142" s="111">
        <f t="shared" si="129"/>
        <v>64562.64</v>
      </c>
      <c r="I142" s="111">
        <f t="shared" si="130"/>
        <v>1614.066</v>
      </c>
      <c r="J142" s="111">
        <v>0</v>
      </c>
      <c r="K142" s="111">
        <f t="shared" si="131"/>
        <v>10760.44</v>
      </c>
      <c r="L142" s="111">
        <f t="shared" si="132"/>
        <v>75323.08</v>
      </c>
      <c r="M142" s="71">
        <f t="shared" si="133"/>
        <v>21520.880000000001</v>
      </c>
      <c r="N142" s="43"/>
      <c r="O142" s="43">
        <f t="shared" si="139"/>
        <v>60000</v>
      </c>
      <c r="P142" s="111">
        <f t="shared" si="134"/>
        <v>2152.0880000000002</v>
      </c>
      <c r="Q142" s="111">
        <v>15000</v>
      </c>
      <c r="R142" s="111">
        <v>0</v>
      </c>
      <c r="S142" s="111">
        <f t="shared" si="135"/>
        <v>272454.07400000002</v>
      </c>
      <c r="T142" s="111">
        <v>265372.07500000001</v>
      </c>
      <c r="U142" s="111">
        <f t="shared" si="137"/>
        <v>7081.9990000000698</v>
      </c>
      <c r="V142" s="111"/>
      <c r="W142" s="111">
        <v>3369.51</v>
      </c>
      <c r="X142" s="111">
        <v>3369.51</v>
      </c>
      <c r="Y142" s="111">
        <f t="shared" si="138"/>
        <v>0</v>
      </c>
      <c r="Z142" s="111"/>
      <c r="AA142" s="111"/>
      <c r="AB142" s="111"/>
    </row>
    <row r="143" spans="1:28" ht="20.149999999999999" customHeight="1">
      <c r="A143" s="99">
        <v>12</v>
      </c>
      <c r="B143" s="806" t="s">
        <v>419</v>
      </c>
      <c r="C143" s="807"/>
      <c r="D143" s="99" t="s">
        <v>420</v>
      </c>
      <c r="E143" s="112" t="s">
        <v>332</v>
      </c>
      <c r="F143" s="111">
        <f t="shared" si="140"/>
        <v>21520.880000000001</v>
      </c>
      <c r="G143" s="111"/>
      <c r="H143" s="111">
        <f t="shared" si="129"/>
        <v>64562.64</v>
      </c>
      <c r="I143" s="111">
        <f t="shared" si="130"/>
        <v>1614.066</v>
      </c>
      <c r="J143" s="111"/>
      <c r="K143" s="111">
        <f t="shared" si="131"/>
        <v>10760.44</v>
      </c>
      <c r="L143" s="111">
        <f t="shared" si="132"/>
        <v>75323.08</v>
      </c>
      <c r="M143" s="111">
        <f t="shared" si="133"/>
        <v>21520.880000000001</v>
      </c>
      <c r="N143" s="43"/>
      <c r="O143" s="43">
        <f t="shared" si="139"/>
        <v>60000</v>
      </c>
      <c r="P143" s="111">
        <f t="shared" si="134"/>
        <v>2152.0880000000002</v>
      </c>
      <c r="Q143" s="111">
        <v>15000</v>
      </c>
      <c r="R143" s="111"/>
      <c r="S143" s="111">
        <f t="shared" si="135"/>
        <v>272454.07400000002</v>
      </c>
      <c r="T143" s="111">
        <v>265372.07500000001</v>
      </c>
      <c r="U143" s="111">
        <f t="shared" si="137"/>
        <v>7081.9990000000698</v>
      </c>
      <c r="V143" s="111"/>
      <c r="W143" s="111">
        <v>3369.51</v>
      </c>
      <c r="X143" s="111">
        <v>3369.51</v>
      </c>
      <c r="Y143" s="111">
        <f t="shared" si="138"/>
        <v>0</v>
      </c>
      <c r="Z143" s="111"/>
      <c r="AA143" s="111"/>
      <c r="AB143" s="111"/>
    </row>
    <row r="144" spans="1:28" ht="20.149999999999999" customHeight="1">
      <c r="A144" s="99">
        <v>13</v>
      </c>
      <c r="B144" s="806" t="s">
        <v>421</v>
      </c>
      <c r="C144" s="807"/>
      <c r="D144" s="99" t="s">
        <v>430</v>
      </c>
      <c r="E144" s="112" t="s">
        <v>432</v>
      </c>
      <c r="F144" s="71">
        <f>18779.3</f>
        <v>18779.3</v>
      </c>
      <c r="G144" s="111"/>
      <c r="H144" s="111">
        <f t="shared" si="129"/>
        <v>56337.9</v>
      </c>
      <c r="I144" s="111">
        <f t="shared" si="130"/>
        <v>1408.4475</v>
      </c>
      <c r="J144" s="111"/>
      <c r="K144" s="111">
        <f t="shared" si="131"/>
        <v>9389.65</v>
      </c>
      <c r="L144" s="111">
        <f t="shared" si="132"/>
        <v>65727.55</v>
      </c>
      <c r="M144" s="71">
        <f t="shared" si="133"/>
        <v>18779.3</v>
      </c>
      <c r="N144" s="43"/>
      <c r="O144" s="43">
        <f t="shared" si="139"/>
        <v>60000</v>
      </c>
      <c r="P144" s="111">
        <f t="shared" si="134"/>
        <v>1877.93</v>
      </c>
      <c r="Q144" s="111">
        <v>10000</v>
      </c>
      <c r="R144" s="111"/>
      <c r="S144" s="111">
        <f t="shared" si="135"/>
        <v>242300.07750000001</v>
      </c>
      <c r="T144" s="111">
        <v>237734.04699999999</v>
      </c>
      <c r="U144" s="111">
        <f t="shared" si="137"/>
        <v>4566.0304999999898</v>
      </c>
      <c r="V144" s="111"/>
      <c r="W144" s="111">
        <v>3369.51</v>
      </c>
      <c r="X144" s="111">
        <v>3369.51</v>
      </c>
      <c r="Y144" s="111">
        <f t="shared" si="138"/>
        <v>0</v>
      </c>
      <c r="Z144" s="111"/>
      <c r="AA144" s="111"/>
      <c r="AB144" s="111"/>
    </row>
    <row r="145" spans="1:28" ht="20.149999999999999" customHeight="1">
      <c r="A145" s="99">
        <v>14</v>
      </c>
      <c r="B145" s="806" t="s">
        <v>423</v>
      </c>
      <c r="C145" s="807"/>
      <c r="D145" s="110" t="s">
        <v>971</v>
      </c>
      <c r="E145" s="112" t="s">
        <v>345</v>
      </c>
      <c r="F145" s="71">
        <f>18281.64</f>
        <v>18281.64</v>
      </c>
      <c r="G145" s="111"/>
      <c r="H145" s="111">
        <f t="shared" si="129"/>
        <v>54844.92</v>
      </c>
      <c r="I145" s="111">
        <f t="shared" si="130"/>
        <v>1371.123</v>
      </c>
      <c r="J145" s="111"/>
      <c r="K145" s="111">
        <f t="shared" si="131"/>
        <v>9140.82</v>
      </c>
      <c r="L145" s="111">
        <f t="shared" si="132"/>
        <v>63985.74</v>
      </c>
      <c r="M145" s="111">
        <f t="shared" si="133"/>
        <v>18281.64</v>
      </c>
      <c r="N145" s="43"/>
      <c r="O145" s="43">
        <f t="shared" si="139"/>
        <v>60000</v>
      </c>
      <c r="P145" s="111">
        <f t="shared" si="134"/>
        <v>1828.164</v>
      </c>
      <c r="Q145" s="111">
        <v>10000</v>
      </c>
      <c r="R145" s="111"/>
      <c r="S145" s="111">
        <f t="shared" si="135"/>
        <v>237734.04699999999</v>
      </c>
      <c r="T145" s="111">
        <v>233168.2</v>
      </c>
      <c r="U145" s="111">
        <f t="shared" si="137"/>
        <v>4565.8469999999797</v>
      </c>
      <c r="V145" s="111"/>
      <c r="W145" s="111">
        <f>3369.51</f>
        <v>3369.51</v>
      </c>
      <c r="X145" s="111">
        <v>3369.51</v>
      </c>
      <c r="Y145" s="111">
        <f t="shared" si="138"/>
        <v>0</v>
      </c>
      <c r="Z145" s="111"/>
      <c r="AA145" s="111"/>
      <c r="AB145" s="111"/>
    </row>
    <row r="146" spans="1:28" ht="20.149999999999999" customHeight="1">
      <c r="A146" s="99">
        <v>15</v>
      </c>
      <c r="B146" s="806" t="s">
        <v>425</v>
      </c>
      <c r="C146" s="807"/>
      <c r="D146" s="110" t="s">
        <v>449</v>
      </c>
      <c r="E146" s="112" t="s">
        <v>432</v>
      </c>
      <c r="F146" s="71">
        <f>18779.3</f>
        <v>18779.3</v>
      </c>
      <c r="G146" s="111"/>
      <c r="H146" s="111">
        <f t="shared" si="129"/>
        <v>56337.9</v>
      </c>
      <c r="I146" s="111">
        <f t="shared" si="130"/>
        <v>1408.4475</v>
      </c>
      <c r="J146" s="111"/>
      <c r="K146" s="111">
        <f t="shared" si="131"/>
        <v>9389.65</v>
      </c>
      <c r="L146" s="111">
        <f t="shared" si="132"/>
        <v>65727.55</v>
      </c>
      <c r="M146" s="111">
        <f t="shared" si="133"/>
        <v>18779.3</v>
      </c>
      <c r="N146" s="43"/>
      <c r="O146" s="43">
        <f t="shared" si="139"/>
        <v>60000</v>
      </c>
      <c r="P146" s="111">
        <f t="shared" si="134"/>
        <v>1877.93</v>
      </c>
      <c r="Q146" s="111">
        <v>10000</v>
      </c>
      <c r="R146" s="111"/>
      <c r="S146" s="111">
        <f t="shared" si="135"/>
        <v>242300.07750000001</v>
      </c>
      <c r="T146" s="111">
        <v>237734.04699999999</v>
      </c>
      <c r="U146" s="111">
        <f t="shared" si="137"/>
        <v>4566.0304999999898</v>
      </c>
      <c r="V146" s="111"/>
      <c r="W146" s="111">
        <v>3369.51</v>
      </c>
      <c r="X146" s="111">
        <v>3369.51</v>
      </c>
      <c r="Y146" s="111">
        <f t="shared" si="138"/>
        <v>0</v>
      </c>
      <c r="Z146" s="111"/>
      <c r="AA146" s="111"/>
      <c r="AB146" s="111"/>
    </row>
    <row r="147" spans="1:28" ht="20.149999999999999" customHeight="1">
      <c r="A147" s="99">
        <v>16</v>
      </c>
      <c r="B147" s="806" t="s">
        <v>1186</v>
      </c>
      <c r="C147" s="807"/>
      <c r="D147" s="99" t="s">
        <v>430</v>
      </c>
      <c r="E147" s="112" t="s">
        <v>301</v>
      </c>
      <c r="F147" s="121">
        <f>17784.1</f>
        <v>17784.099999999999</v>
      </c>
      <c r="G147" s="111"/>
      <c r="H147" s="111">
        <f t="shared" si="129"/>
        <v>53352.3</v>
      </c>
      <c r="I147" s="111">
        <f t="shared" si="130"/>
        <v>1333.8074999999999</v>
      </c>
      <c r="J147" s="111"/>
      <c r="K147" s="111">
        <f t="shared" si="131"/>
        <v>8892.0499999999993</v>
      </c>
      <c r="L147" s="111">
        <f t="shared" si="132"/>
        <v>62244.35</v>
      </c>
      <c r="M147" s="111">
        <f t="shared" si="133"/>
        <v>17784.099999999999</v>
      </c>
      <c r="N147" s="43"/>
      <c r="O147" s="43">
        <f t="shared" si="139"/>
        <v>60000</v>
      </c>
      <c r="P147" s="111">
        <f t="shared" si="134"/>
        <v>1778.41</v>
      </c>
      <c r="Q147" s="111">
        <v>10000</v>
      </c>
      <c r="R147" s="111"/>
      <c r="S147" s="111">
        <f t="shared" si="135"/>
        <v>233169.11749999999</v>
      </c>
      <c r="T147" s="111">
        <v>228602.07775</v>
      </c>
      <c r="U147" s="111">
        <f t="shared" si="137"/>
        <v>4567.0397499999699</v>
      </c>
      <c r="V147" s="111"/>
      <c r="W147" s="111">
        <v>1484.37</v>
      </c>
      <c r="X147" s="111">
        <v>1484.37</v>
      </c>
      <c r="Y147" s="111">
        <f t="shared" si="138"/>
        <v>0</v>
      </c>
      <c r="Z147" s="111"/>
      <c r="AA147" s="111"/>
      <c r="AB147" s="111"/>
    </row>
    <row r="148" spans="1:28" ht="20.149999999999999" customHeight="1">
      <c r="A148" s="99">
        <v>17</v>
      </c>
      <c r="B148" s="806" t="s">
        <v>1187</v>
      </c>
      <c r="C148" s="807"/>
      <c r="D148" s="99" t="s">
        <v>430</v>
      </c>
      <c r="E148" s="112" t="s">
        <v>301</v>
      </c>
      <c r="F148" s="121">
        <f t="shared" ref="F148:F149" si="141">17784.1</f>
        <v>17784.099999999999</v>
      </c>
      <c r="G148" s="111"/>
      <c r="H148" s="111">
        <f t="shared" si="129"/>
        <v>53352.3</v>
      </c>
      <c r="I148" s="111">
        <f t="shared" si="130"/>
        <v>1333.8074999999999</v>
      </c>
      <c r="J148" s="111"/>
      <c r="K148" s="111">
        <f t="shared" si="131"/>
        <v>8892.0499999999993</v>
      </c>
      <c r="L148" s="111">
        <f t="shared" si="132"/>
        <v>62244.35</v>
      </c>
      <c r="M148" s="111">
        <f t="shared" si="133"/>
        <v>17784.099999999999</v>
      </c>
      <c r="N148" s="43"/>
      <c r="O148" s="43">
        <f t="shared" si="139"/>
        <v>60000</v>
      </c>
      <c r="P148" s="111">
        <f t="shared" si="134"/>
        <v>1778.41</v>
      </c>
      <c r="Q148" s="111">
        <v>10000</v>
      </c>
      <c r="R148" s="111"/>
      <c r="S148" s="111">
        <f t="shared" si="135"/>
        <v>233169.11749999999</v>
      </c>
      <c r="T148" s="111">
        <v>228602.07775</v>
      </c>
      <c r="U148" s="111">
        <f t="shared" si="137"/>
        <v>4567.0397499999699</v>
      </c>
      <c r="V148" s="111"/>
      <c r="W148" s="111">
        <v>1484.37</v>
      </c>
      <c r="X148" s="111">
        <v>1484.37</v>
      </c>
      <c r="Y148" s="111">
        <f t="shared" si="138"/>
        <v>0</v>
      </c>
      <c r="Z148" s="111"/>
      <c r="AA148" s="111"/>
      <c r="AB148" s="111"/>
    </row>
    <row r="149" spans="1:28" ht="20.149999999999999" customHeight="1">
      <c r="A149" s="99">
        <v>18</v>
      </c>
      <c r="B149" s="806" t="s">
        <v>433</v>
      </c>
      <c r="C149" s="807"/>
      <c r="D149" s="99" t="s">
        <v>430</v>
      </c>
      <c r="E149" s="112" t="s">
        <v>301</v>
      </c>
      <c r="F149" s="121">
        <f t="shared" si="141"/>
        <v>17784.099999999999</v>
      </c>
      <c r="G149" s="111"/>
      <c r="H149" s="111">
        <f t="shared" si="129"/>
        <v>53352.3</v>
      </c>
      <c r="I149" s="111">
        <f t="shared" si="130"/>
        <v>1333.8074999999999</v>
      </c>
      <c r="J149" s="111"/>
      <c r="K149" s="111">
        <f t="shared" si="131"/>
        <v>8892.0499999999993</v>
      </c>
      <c r="L149" s="111">
        <f t="shared" si="132"/>
        <v>62244.35</v>
      </c>
      <c r="M149" s="111">
        <f t="shared" si="133"/>
        <v>17784.099999999999</v>
      </c>
      <c r="N149" s="43"/>
      <c r="O149" s="43">
        <f t="shared" si="139"/>
        <v>60000</v>
      </c>
      <c r="P149" s="111">
        <f t="shared" si="134"/>
        <v>1778.41</v>
      </c>
      <c r="Q149" s="111">
        <v>10000</v>
      </c>
      <c r="R149" s="111"/>
      <c r="S149" s="111">
        <f t="shared" si="135"/>
        <v>233169.11749999999</v>
      </c>
      <c r="T149" s="111">
        <v>228602.07775</v>
      </c>
      <c r="U149" s="111">
        <f t="shared" si="137"/>
        <v>4567.0397499999699</v>
      </c>
      <c r="V149" s="111"/>
      <c r="W149" s="111">
        <v>1484.37</v>
      </c>
      <c r="X149" s="111">
        <v>1484.37</v>
      </c>
      <c r="Y149" s="111">
        <f t="shared" si="138"/>
        <v>0</v>
      </c>
      <c r="Z149" s="111"/>
      <c r="AA149" s="111"/>
      <c r="AB149" s="111"/>
    </row>
    <row r="150" spans="1:28" ht="20.149999999999999" customHeight="1">
      <c r="A150" s="99">
        <v>19</v>
      </c>
      <c r="B150" s="806" t="s">
        <v>438</v>
      </c>
      <c r="C150" s="807"/>
      <c r="D150" s="110" t="s">
        <v>449</v>
      </c>
      <c r="E150" s="112" t="s">
        <v>945</v>
      </c>
      <c r="F150" s="121">
        <f>13492.21</f>
        <v>13492.21</v>
      </c>
      <c r="G150" s="111"/>
      <c r="H150" s="111">
        <f t="shared" si="129"/>
        <v>40476.629999999997</v>
      </c>
      <c r="I150" s="111">
        <f t="shared" si="130"/>
        <v>1011.91575</v>
      </c>
      <c r="J150" s="111"/>
      <c r="K150" s="111">
        <f t="shared" si="131"/>
        <v>6746.1049999999996</v>
      </c>
      <c r="L150" s="111">
        <f t="shared" si="132"/>
        <v>47222.735000000001</v>
      </c>
      <c r="M150" s="111">
        <f t="shared" si="133"/>
        <v>13492.21</v>
      </c>
      <c r="N150" s="43"/>
      <c r="O150" s="43">
        <f t="shared" ref="O150:O157" si="142">50000</f>
        <v>50000</v>
      </c>
      <c r="P150" s="111">
        <f t="shared" si="134"/>
        <v>1349.221</v>
      </c>
      <c r="Q150" s="111">
        <v>10000</v>
      </c>
      <c r="R150" s="111"/>
      <c r="S150" s="111">
        <f t="shared" si="135"/>
        <v>183791.02674999999</v>
      </c>
      <c r="T150" s="111">
        <v>180304.068</v>
      </c>
      <c r="U150" s="111">
        <f t="shared" si="137"/>
        <v>3486.9587499999898</v>
      </c>
      <c r="V150" s="111"/>
      <c r="W150" s="111">
        <v>1484.37</v>
      </c>
      <c r="X150" s="111">
        <v>1484.37</v>
      </c>
      <c r="Y150" s="111">
        <f t="shared" si="138"/>
        <v>0</v>
      </c>
      <c r="Z150" s="111"/>
      <c r="AA150" s="111"/>
      <c r="AB150" s="111"/>
    </row>
    <row r="151" spans="1:28" ht="20.149999999999999" customHeight="1">
      <c r="A151" s="99">
        <v>20</v>
      </c>
      <c r="B151" s="806" t="s">
        <v>440</v>
      </c>
      <c r="C151" s="807"/>
      <c r="D151" s="110" t="s">
        <v>1188</v>
      </c>
      <c r="E151" s="112" t="s">
        <v>945</v>
      </c>
      <c r="F151" s="121">
        <f t="shared" ref="F151:F153" si="143">13492.21</f>
        <v>13492.21</v>
      </c>
      <c r="G151" s="111"/>
      <c r="H151" s="111">
        <f t="shared" si="129"/>
        <v>40476.629999999997</v>
      </c>
      <c r="I151" s="111">
        <f t="shared" si="130"/>
        <v>1011.91575</v>
      </c>
      <c r="J151" s="111"/>
      <c r="K151" s="111">
        <f t="shared" si="131"/>
        <v>6746.1049999999996</v>
      </c>
      <c r="L151" s="111">
        <f t="shared" si="132"/>
        <v>47222.735000000001</v>
      </c>
      <c r="M151" s="111">
        <f t="shared" si="133"/>
        <v>13492.21</v>
      </c>
      <c r="N151" s="43"/>
      <c r="O151" s="43">
        <f t="shared" si="142"/>
        <v>50000</v>
      </c>
      <c r="P151" s="111">
        <f t="shared" si="134"/>
        <v>1349.221</v>
      </c>
      <c r="Q151" s="111">
        <v>10000</v>
      </c>
      <c r="R151" s="111"/>
      <c r="S151" s="111">
        <f t="shared" si="135"/>
        <v>183791.02674999999</v>
      </c>
      <c r="T151" s="111">
        <v>180304.068</v>
      </c>
      <c r="U151" s="111">
        <f t="shared" si="137"/>
        <v>3486.9587499999898</v>
      </c>
      <c r="V151" s="111"/>
      <c r="W151" s="111">
        <v>1484.37</v>
      </c>
      <c r="X151" s="111">
        <v>1484.37</v>
      </c>
      <c r="Y151" s="111">
        <f t="shared" si="138"/>
        <v>0</v>
      </c>
      <c r="Z151" s="111"/>
      <c r="AA151" s="111"/>
      <c r="AB151" s="111"/>
    </row>
    <row r="152" spans="1:28" ht="20.149999999999999" customHeight="1">
      <c r="A152" s="99">
        <v>21</v>
      </c>
      <c r="B152" s="806" t="s">
        <v>442</v>
      </c>
      <c r="C152" s="807"/>
      <c r="D152" s="110" t="s">
        <v>449</v>
      </c>
      <c r="E152" s="112" t="s">
        <v>945</v>
      </c>
      <c r="F152" s="121">
        <f t="shared" si="143"/>
        <v>13492.21</v>
      </c>
      <c r="G152" s="111"/>
      <c r="H152" s="111">
        <f t="shared" si="129"/>
        <v>40476.629999999997</v>
      </c>
      <c r="I152" s="111">
        <f t="shared" si="130"/>
        <v>1011.91575</v>
      </c>
      <c r="J152" s="111"/>
      <c r="K152" s="111">
        <f t="shared" si="131"/>
        <v>6746.1049999999996</v>
      </c>
      <c r="L152" s="111">
        <f t="shared" si="132"/>
        <v>47222.735000000001</v>
      </c>
      <c r="M152" s="111">
        <f t="shared" si="133"/>
        <v>13492.21</v>
      </c>
      <c r="N152" s="43"/>
      <c r="O152" s="43">
        <f t="shared" si="142"/>
        <v>50000</v>
      </c>
      <c r="P152" s="111">
        <f t="shared" si="134"/>
        <v>1349.221</v>
      </c>
      <c r="Q152" s="111">
        <v>10000</v>
      </c>
      <c r="R152" s="111"/>
      <c r="S152" s="111">
        <f t="shared" si="135"/>
        <v>183791.02674999999</v>
      </c>
      <c r="T152" s="111">
        <v>180304.068</v>
      </c>
      <c r="U152" s="111">
        <f t="shared" si="137"/>
        <v>3486.9587499999898</v>
      </c>
      <c r="V152" s="111"/>
      <c r="W152" s="111">
        <v>1484.37</v>
      </c>
      <c r="X152" s="111">
        <v>1484.37</v>
      </c>
      <c r="Y152" s="111">
        <f t="shared" si="138"/>
        <v>0</v>
      </c>
      <c r="Z152" s="111"/>
      <c r="AA152" s="111"/>
      <c r="AB152" s="111"/>
    </row>
    <row r="153" spans="1:28" ht="20.149999999999999" customHeight="1">
      <c r="A153" s="99">
        <v>22</v>
      </c>
      <c r="B153" s="806" t="s">
        <v>444</v>
      </c>
      <c r="C153" s="807"/>
      <c r="D153" s="110" t="s">
        <v>445</v>
      </c>
      <c r="E153" s="112" t="s">
        <v>945</v>
      </c>
      <c r="F153" s="121">
        <f t="shared" si="143"/>
        <v>13492.21</v>
      </c>
      <c r="G153" s="111"/>
      <c r="H153" s="111">
        <f t="shared" si="129"/>
        <v>40476.629999999997</v>
      </c>
      <c r="I153" s="111">
        <f t="shared" si="130"/>
        <v>1011.91575</v>
      </c>
      <c r="J153" s="111"/>
      <c r="K153" s="111">
        <f t="shared" si="131"/>
        <v>6746.1049999999996</v>
      </c>
      <c r="L153" s="111">
        <f t="shared" si="132"/>
        <v>47222.735000000001</v>
      </c>
      <c r="M153" s="111">
        <f t="shared" si="133"/>
        <v>13492.21</v>
      </c>
      <c r="N153" s="43"/>
      <c r="O153" s="43">
        <f t="shared" si="142"/>
        <v>50000</v>
      </c>
      <c r="P153" s="111">
        <f t="shared" si="134"/>
        <v>1349.221</v>
      </c>
      <c r="Q153" s="111">
        <v>10000</v>
      </c>
      <c r="R153" s="111"/>
      <c r="S153" s="111">
        <f t="shared" si="135"/>
        <v>183791.02674999999</v>
      </c>
      <c r="T153" s="111">
        <v>180304.068</v>
      </c>
      <c r="U153" s="111">
        <f t="shared" si="137"/>
        <v>3486.9587499999898</v>
      </c>
      <c r="V153" s="111"/>
      <c r="W153" s="111">
        <v>1484.37</v>
      </c>
      <c r="X153" s="111">
        <v>1484.37</v>
      </c>
      <c r="Y153" s="111">
        <f t="shared" si="138"/>
        <v>0</v>
      </c>
      <c r="Z153" s="111"/>
      <c r="AA153" s="111"/>
      <c r="AB153" s="111"/>
    </row>
    <row r="154" spans="1:28" ht="20.149999999999999" customHeight="1">
      <c r="A154" s="99">
        <v>23</v>
      </c>
      <c r="B154" s="108" t="s">
        <v>446</v>
      </c>
      <c r="C154" s="109"/>
      <c r="D154" s="110" t="s">
        <v>451</v>
      </c>
      <c r="E154" s="112" t="s">
        <v>1166</v>
      </c>
      <c r="F154" s="121">
        <f>13112.16</f>
        <v>13112.16</v>
      </c>
      <c r="G154" s="111"/>
      <c r="H154" s="111">
        <f t="shared" si="129"/>
        <v>39336.480000000003</v>
      </c>
      <c r="I154" s="111">
        <f t="shared" si="130"/>
        <v>983.41200000000003</v>
      </c>
      <c r="J154" s="111"/>
      <c r="K154" s="111">
        <f t="shared" si="131"/>
        <v>6556.08</v>
      </c>
      <c r="L154" s="111">
        <f t="shared" si="132"/>
        <v>45892.56</v>
      </c>
      <c r="M154" s="111">
        <f t="shared" si="133"/>
        <v>13112.16</v>
      </c>
      <c r="N154" s="43"/>
      <c r="O154" s="43">
        <f t="shared" si="142"/>
        <v>50000</v>
      </c>
      <c r="P154" s="111">
        <f t="shared" si="134"/>
        <v>1311.2159999999999</v>
      </c>
      <c r="Q154" s="111">
        <v>10000</v>
      </c>
      <c r="S154" s="111">
        <f t="shared" si="135"/>
        <v>180304.068</v>
      </c>
      <c r="T154" s="111">
        <v>223168.2</v>
      </c>
      <c r="U154" s="111">
        <f t="shared" si="137"/>
        <v>-42864.131999999998</v>
      </c>
      <c r="V154" s="111"/>
      <c r="W154" s="111">
        <f>3369.51</f>
        <v>3369.51</v>
      </c>
      <c r="X154" s="111">
        <v>3369.51</v>
      </c>
      <c r="Y154" s="111">
        <f t="shared" si="138"/>
        <v>0</v>
      </c>
      <c r="Z154" s="111"/>
      <c r="AA154" s="111"/>
      <c r="AB154" s="111"/>
    </row>
    <row r="155" spans="1:28" ht="20.149999999999999" customHeight="1">
      <c r="A155" s="99">
        <v>24</v>
      </c>
      <c r="B155" s="108" t="s">
        <v>1143</v>
      </c>
      <c r="C155" s="109"/>
      <c r="D155" s="110" t="s">
        <v>449</v>
      </c>
      <c r="E155" s="112" t="s">
        <v>31</v>
      </c>
      <c r="F155" s="71">
        <f>12351.94</f>
        <v>12351.94</v>
      </c>
      <c r="G155" s="71"/>
      <c r="H155" s="71">
        <f t="shared" si="129"/>
        <v>37055.82</v>
      </c>
      <c r="I155" s="71">
        <f t="shared" si="130"/>
        <v>926.39549999999997</v>
      </c>
      <c r="J155" s="71"/>
      <c r="K155" s="71">
        <f t="shared" si="131"/>
        <v>6175.97</v>
      </c>
      <c r="L155" s="71">
        <f t="shared" si="132"/>
        <v>43231.79</v>
      </c>
      <c r="M155" s="71">
        <f t="shared" si="133"/>
        <v>12351.94</v>
      </c>
      <c r="N155" s="43"/>
      <c r="O155" s="43">
        <f t="shared" si="142"/>
        <v>50000</v>
      </c>
      <c r="P155" s="71">
        <f t="shared" si="134"/>
        <v>1235.194</v>
      </c>
      <c r="Q155" s="71">
        <v>10000</v>
      </c>
      <c r="R155" s="71"/>
      <c r="S155" s="111">
        <f t="shared" ref="S155:S157" si="144">R155+Q155+P155+O155+N155+M155+L155+K155+J155+I155+H155+G155+F155</f>
        <v>173329.04949999999</v>
      </c>
      <c r="T155" s="111">
        <v>173329.04949999999</v>
      </c>
      <c r="U155" s="111">
        <f t="shared" si="137"/>
        <v>0</v>
      </c>
      <c r="V155" s="111"/>
      <c r="W155" s="111">
        <v>1484.37</v>
      </c>
      <c r="X155" s="111">
        <v>1484.37</v>
      </c>
      <c r="Y155" s="111">
        <f t="shared" si="138"/>
        <v>0</v>
      </c>
      <c r="Z155" s="111"/>
      <c r="AA155" s="111"/>
      <c r="AB155" s="111"/>
    </row>
    <row r="156" spans="1:28" ht="20.149999999999999" customHeight="1">
      <c r="A156" s="99">
        <v>25</v>
      </c>
      <c r="B156" s="108" t="s">
        <v>361</v>
      </c>
      <c r="C156" s="109"/>
      <c r="D156" s="110" t="s">
        <v>451</v>
      </c>
      <c r="E156" s="112" t="s">
        <v>31</v>
      </c>
      <c r="F156" s="71">
        <f t="shared" ref="F156:F157" si="145">12351.94</f>
        <v>12351.94</v>
      </c>
      <c r="G156" s="71"/>
      <c r="H156" s="71">
        <f t="shared" ref="H156:H157" si="146">F156*300%</f>
        <v>37055.82</v>
      </c>
      <c r="I156" s="71">
        <f t="shared" ref="I156:I157" si="147">F156*7.5%</f>
        <v>926.39549999999997</v>
      </c>
      <c r="J156" s="71"/>
      <c r="K156" s="71">
        <f t="shared" ref="K156:K157" si="148">F156*50%</f>
        <v>6175.97</v>
      </c>
      <c r="L156" s="71">
        <f t="shared" ref="L156:L157" si="149">F156*350%</f>
        <v>43231.79</v>
      </c>
      <c r="M156" s="71">
        <f t="shared" ref="M156:M167" si="150">F156*100%</f>
        <v>12351.94</v>
      </c>
      <c r="N156" s="43"/>
      <c r="O156" s="43">
        <f t="shared" si="142"/>
        <v>50000</v>
      </c>
      <c r="P156" s="71">
        <f t="shared" ref="P156:P186" si="151">F156*10%</f>
        <v>1235.194</v>
      </c>
      <c r="Q156" s="71">
        <v>10000</v>
      </c>
      <c r="R156" s="71"/>
      <c r="S156" s="111">
        <f t="shared" si="144"/>
        <v>173329.04949999999</v>
      </c>
      <c r="T156" s="111">
        <v>173329.04949999999</v>
      </c>
      <c r="U156" s="111">
        <f t="shared" si="137"/>
        <v>0</v>
      </c>
      <c r="V156" s="111"/>
      <c r="W156" s="111">
        <v>1484.37</v>
      </c>
      <c r="X156" s="111">
        <v>1484.37</v>
      </c>
      <c r="Y156" s="111">
        <f t="shared" si="138"/>
        <v>0</v>
      </c>
      <c r="Z156" s="111"/>
      <c r="AA156" s="111"/>
      <c r="AB156" s="111"/>
    </row>
    <row r="157" spans="1:28" ht="20.149999999999999" customHeight="1">
      <c r="A157" s="99">
        <v>26</v>
      </c>
      <c r="B157" s="108" t="s">
        <v>448</v>
      </c>
      <c r="C157" s="109"/>
      <c r="D157" s="110" t="s">
        <v>449</v>
      </c>
      <c r="E157" s="112" t="s">
        <v>31</v>
      </c>
      <c r="F157" s="71">
        <f t="shared" si="145"/>
        <v>12351.94</v>
      </c>
      <c r="G157" s="71"/>
      <c r="H157" s="71">
        <f t="shared" si="146"/>
        <v>37055.82</v>
      </c>
      <c r="I157" s="71">
        <f t="shared" si="147"/>
        <v>926.39549999999997</v>
      </c>
      <c r="J157" s="71"/>
      <c r="K157" s="71">
        <f t="shared" si="148"/>
        <v>6175.97</v>
      </c>
      <c r="L157" s="71">
        <f t="shared" si="149"/>
        <v>43231.79</v>
      </c>
      <c r="M157" s="71">
        <f t="shared" si="150"/>
        <v>12351.94</v>
      </c>
      <c r="N157" s="43"/>
      <c r="O157" s="43">
        <f t="shared" si="142"/>
        <v>50000</v>
      </c>
      <c r="P157" s="71">
        <f t="shared" si="151"/>
        <v>1235.194</v>
      </c>
      <c r="Q157" s="71">
        <v>10000</v>
      </c>
      <c r="R157" s="71"/>
      <c r="S157" s="111">
        <f t="shared" si="144"/>
        <v>173329.04949999999</v>
      </c>
      <c r="T157" s="111">
        <v>173329.04949999999</v>
      </c>
      <c r="U157" s="111">
        <f t="shared" si="137"/>
        <v>0</v>
      </c>
      <c r="V157" s="111"/>
      <c r="W157" s="111">
        <v>1484.37</v>
      </c>
      <c r="X157" s="111">
        <v>1484.37</v>
      </c>
      <c r="Y157" s="111">
        <f t="shared" si="138"/>
        <v>0</v>
      </c>
      <c r="Z157" s="111"/>
      <c r="AA157" s="111"/>
      <c r="AB157" s="111"/>
    </row>
    <row r="158" spans="1:28" ht="20.149999999999999" customHeight="1">
      <c r="A158" s="99">
        <v>27</v>
      </c>
      <c r="B158" s="812" t="s">
        <v>457</v>
      </c>
      <c r="C158" s="812"/>
      <c r="D158" s="110" t="s">
        <v>458</v>
      </c>
      <c r="E158" s="112" t="s">
        <v>476</v>
      </c>
      <c r="F158" s="121">
        <f>9050.14</f>
        <v>9050.14</v>
      </c>
      <c r="G158" s="43"/>
      <c r="H158" s="111">
        <f t="shared" si="129"/>
        <v>27150.42</v>
      </c>
      <c r="I158" s="111">
        <f t="shared" si="130"/>
        <v>678.76049999999998</v>
      </c>
      <c r="J158" s="121">
        <v>0</v>
      </c>
      <c r="K158" s="111">
        <f t="shared" si="131"/>
        <v>4525.07</v>
      </c>
      <c r="L158" s="111">
        <f t="shared" si="132"/>
        <v>31675.49</v>
      </c>
      <c r="M158" s="111">
        <f t="shared" si="150"/>
        <v>9050.14</v>
      </c>
      <c r="N158" s="43"/>
      <c r="O158" s="43">
        <f t="shared" ref="O158:O164" si="152">30000</f>
        <v>30000</v>
      </c>
      <c r="P158" s="111">
        <f t="shared" si="151"/>
        <v>905.01400000000001</v>
      </c>
      <c r="Q158" s="121">
        <v>5000</v>
      </c>
      <c r="R158" s="111">
        <f>4000</f>
        <v>4000</v>
      </c>
      <c r="S158" s="111">
        <f t="shared" ref="S158:S182" si="153">SUM(F158:R158)</f>
        <v>122035.03449999999</v>
      </c>
      <c r="T158" s="111">
        <v>119104.99825</v>
      </c>
      <c r="U158" s="111">
        <f t="shared" si="137"/>
        <v>2930.0362499999901</v>
      </c>
      <c r="V158" s="111"/>
      <c r="W158" s="111">
        <v>236.04</v>
      </c>
      <c r="X158" s="111">
        <v>236.04</v>
      </c>
      <c r="Y158" s="111">
        <f t="shared" si="138"/>
        <v>0</v>
      </c>
      <c r="Z158" s="111"/>
      <c r="AA158" s="111"/>
      <c r="AB158" s="111"/>
    </row>
    <row r="159" spans="1:28" ht="20.149999999999999" customHeight="1">
      <c r="A159" s="99">
        <v>28</v>
      </c>
      <c r="B159" s="812" t="s">
        <v>460</v>
      </c>
      <c r="C159" s="812"/>
      <c r="D159" s="110" t="s">
        <v>458</v>
      </c>
      <c r="E159" s="112" t="s">
        <v>476</v>
      </c>
      <c r="F159" s="121">
        <f t="shared" ref="F159:F164" si="154">9050.14</f>
        <v>9050.14</v>
      </c>
      <c r="G159" s="43"/>
      <c r="H159" s="111">
        <f t="shared" si="129"/>
        <v>27150.42</v>
      </c>
      <c r="I159" s="111">
        <f t="shared" si="130"/>
        <v>678.76049999999998</v>
      </c>
      <c r="J159" s="121">
        <v>0</v>
      </c>
      <c r="K159" s="111">
        <f t="shared" si="131"/>
        <v>4525.07</v>
      </c>
      <c r="L159" s="111">
        <f t="shared" si="132"/>
        <v>31675.49</v>
      </c>
      <c r="M159" s="111">
        <f t="shared" si="150"/>
        <v>9050.14</v>
      </c>
      <c r="N159" s="43"/>
      <c r="O159" s="43">
        <f t="shared" si="152"/>
        <v>30000</v>
      </c>
      <c r="P159" s="111">
        <f t="shared" si="151"/>
        <v>905.01400000000001</v>
      </c>
      <c r="Q159" s="121">
        <v>5000</v>
      </c>
      <c r="R159" s="111">
        <f>7000</f>
        <v>7000</v>
      </c>
      <c r="S159" s="111">
        <f t="shared" si="153"/>
        <v>125035.03449999999</v>
      </c>
      <c r="T159" s="111">
        <v>122104.99825</v>
      </c>
      <c r="U159" s="111">
        <f t="shared" si="137"/>
        <v>2930.0362499999901</v>
      </c>
      <c r="V159" s="111"/>
      <c r="W159" s="111">
        <v>236.04</v>
      </c>
      <c r="X159" s="111">
        <v>236.04</v>
      </c>
      <c r="Y159" s="111">
        <f t="shared" si="138"/>
        <v>0</v>
      </c>
      <c r="Z159" s="111"/>
      <c r="AA159" s="111"/>
      <c r="AB159" s="111"/>
    </row>
    <row r="160" spans="1:28" ht="20.149999999999999" customHeight="1">
      <c r="A160" s="99">
        <v>29</v>
      </c>
      <c r="B160" s="812" t="s">
        <v>461</v>
      </c>
      <c r="C160" s="812"/>
      <c r="D160" s="110" t="s">
        <v>458</v>
      </c>
      <c r="E160" s="112" t="s">
        <v>476</v>
      </c>
      <c r="F160" s="121">
        <f t="shared" si="154"/>
        <v>9050.14</v>
      </c>
      <c r="G160" s="43"/>
      <c r="H160" s="111">
        <f t="shared" si="129"/>
        <v>27150.42</v>
      </c>
      <c r="I160" s="111">
        <f t="shared" si="130"/>
        <v>678.76049999999998</v>
      </c>
      <c r="J160" s="111">
        <v>0</v>
      </c>
      <c r="K160" s="111">
        <f t="shared" si="131"/>
        <v>4525.07</v>
      </c>
      <c r="L160" s="111">
        <f t="shared" si="132"/>
        <v>31675.49</v>
      </c>
      <c r="M160" s="111">
        <f t="shared" si="150"/>
        <v>9050.14</v>
      </c>
      <c r="N160" s="43"/>
      <c r="O160" s="43">
        <f t="shared" si="152"/>
        <v>30000</v>
      </c>
      <c r="P160" s="111">
        <f t="shared" si="151"/>
        <v>905.01400000000001</v>
      </c>
      <c r="Q160" s="111">
        <v>5000</v>
      </c>
      <c r="R160" s="111">
        <f>4000</f>
        <v>4000</v>
      </c>
      <c r="S160" s="111">
        <f t="shared" si="153"/>
        <v>122035.03449999999</v>
      </c>
      <c r="T160" s="111">
        <v>119104.99825</v>
      </c>
      <c r="U160" s="111">
        <f t="shared" si="137"/>
        <v>2930.0362499999901</v>
      </c>
      <c r="V160" s="111"/>
      <c r="W160" s="111">
        <v>236.04</v>
      </c>
      <c r="X160" s="111">
        <v>236.04</v>
      </c>
      <c r="Y160" s="111">
        <f t="shared" si="138"/>
        <v>0</v>
      </c>
      <c r="Z160" s="111"/>
      <c r="AA160" s="111"/>
      <c r="AB160" s="111"/>
    </row>
    <row r="161" spans="1:28" ht="20.149999999999999" customHeight="1">
      <c r="A161" s="99">
        <v>30</v>
      </c>
      <c r="B161" s="812" t="s">
        <v>664</v>
      </c>
      <c r="C161" s="812"/>
      <c r="D161" s="110" t="s">
        <v>458</v>
      </c>
      <c r="E161" s="112" t="s">
        <v>476</v>
      </c>
      <c r="F161" s="121">
        <f t="shared" si="154"/>
        <v>9050.14</v>
      </c>
      <c r="G161" s="43"/>
      <c r="H161" s="111">
        <f t="shared" si="129"/>
        <v>27150.42</v>
      </c>
      <c r="I161" s="111">
        <f t="shared" si="130"/>
        <v>678.76049999999998</v>
      </c>
      <c r="J161" s="111">
        <v>0</v>
      </c>
      <c r="K161" s="111">
        <f t="shared" si="131"/>
        <v>4525.07</v>
      </c>
      <c r="L161" s="111">
        <f t="shared" si="132"/>
        <v>31675.49</v>
      </c>
      <c r="M161" s="111">
        <f t="shared" si="150"/>
        <v>9050.14</v>
      </c>
      <c r="N161" s="43"/>
      <c r="O161" s="43">
        <f t="shared" si="152"/>
        <v>30000</v>
      </c>
      <c r="P161" s="111">
        <f t="shared" si="151"/>
        <v>905.01400000000001</v>
      </c>
      <c r="Q161" s="111">
        <v>5000</v>
      </c>
      <c r="R161" s="111">
        <f>4000</f>
        <v>4000</v>
      </c>
      <c r="S161" s="111">
        <f t="shared" si="153"/>
        <v>122035.03449999999</v>
      </c>
      <c r="T161" s="111">
        <v>119104.99825</v>
      </c>
      <c r="U161" s="111">
        <f t="shared" si="137"/>
        <v>2930.0362499999901</v>
      </c>
      <c r="V161" s="111"/>
      <c r="W161" s="111">
        <v>236.04</v>
      </c>
      <c r="X161" s="111">
        <v>236.04</v>
      </c>
      <c r="Y161" s="111">
        <f t="shared" si="138"/>
        <v>0</v>
      </c>
      <c r="Z161" s="111"/>
      <c r="AA161" s="111"/>
      <c r="AB161" s="111"/>
    </row>
    <row r="162" spans="1:28" ht="20.149999999999999" customHeight="1">
      <c r="A162" s="99">
        <v>31</v>
      </c>
      <c r="B162" s="812" t="s">
        <v>662</v>
      </c>
      <c r="C162" s="812"/>
      <c r="D162" s="110" t="s">
        <v>458</v>
      </c>
      <c r="E162" s="112" t="s">
        <v>476</v>
      </c>
      <c r="F162" s="121">
        <f t="shared" si="154"/>
        <v>9050.14</v>
      </c>
      <c r="G162" s="43"/>
      <c r="H162" s="111">
        <f t="shared" si="129"/>
        <v>27150.42</v>
      </c>
      <c r="I162" s="111">
        <f t="shared" si="130"/>
        <v>678.76049999999998</v>
      </c>
      <c r="J162" s="111">
        <v>0</v>
      </c>
      <c r="K162" s="111">
        <f t="shared" si="131"/>
        <v>4525.07</v>
      </c>
      <c r="L162" s="111">
        <f t="shared" si="132"/>
        <v>31675.49</v>
      </c>
      <c r="M162" s="111">
        <f t="shared" si="150"/>
        <v>9050.14</v>
      </c>
      <c r="N162" s="43"/>
      <c r="O162" s="43">
        <f t="shared" si="152"/>
        <v>30000</v>
      </c>
      <c r="P162" s="111">
        <f t="shared" si="151"/>
        <v>905.01400000000001</v>
      </c>
      <c r="Q162" s="111">
        <v>5000</v>
      </c>
      <c r="R162" s="111">
        <f>4000</f>
        <v>4000</v>
      </c>
      <c r="S162" s="111">
        <f t="shared" si="153"/>
        <v>122035.03449999999</v>
      </c>
      <c r="T162" s="111">
        <v>119104.99825</v>
      </c>
      <c r="U162" s="111">
        <f t="shared" si="137"/>
        <v>2930.0362499999901</v>
      </c>
      <c r="V162" s="111"/>
      <c r="W162" s="111">
        <v>236.04</v>
      </c>
      <c r="X162" s="111">
        <v>236.04</v>
      </c>
      <c r="Y162" s="111">
        <f t="shared" si="138"/>
        <v>0</v>
      </c>
      <c r="Z162" s="111"/>
      <c r="AA162" s="111"/>
      <c r="AB162" s="111"/>
    </row>
    <row r="163" spans="1:28" ht="20.149999999999999" customHeight="1">
      <c r="A163" s="99">
        <v>32</v>
      </c>
      <c r="B163" s="812" t="s">
        <v>462</v>
      </c>
      <c r="C163" s="812"/>
      <c r="D163" s="110" t="s">
        <v>458</v>
      </c>
      <c r="E163" s="112" t="s">
        <v>476</v>
      </c>
      <c r="F163" s="121">
        <f t="shared" si="154"/>
        <v>9050.14</v>
      </c>
      <c r="G163" s="43"/>
      <c r="H163" s="111">
        <f t="shared" si="129"/>
        <v>27150.42</v>
      </c>
      <c r="I163" s="111">
        <f t="shared" si="130"/>
        <v>678.76049999999998</v>
      </c>
      <c r="J163" s="111">
        <v>0</v>
      </c>
      <c r="K163" s="111">
        <f t="shared" si="131"/>
        <v>4525.07</v>
      </c>
      <c r="L163" s="111">
        <f t="shared" si="132"/>
        <v>31675.49</v>
      </c>
      <c r="M163" s="111">
        <f t="shared" si="150"/>
        <v>9050.14</v>
      </c>
      <c r="N163" s="43"/>
      <c r="O163" s="43">
        <f t="shared" si="152"/>
        <v>30000</v>
      </c>
      <c r="P163" s="111">
        <f t="shared" si="151"/>
        <v>905.01400000000001</v>
      </c>
      <c r="Q163" s="111">
        <v>5000</v>
      </c>
      <c r="R163" s="111">
        <f>4000</f>
        <v>4000</v>
      </c>
      <c r="S163" s="111">
        <f t="shared" si="153"/>
        <v>122035.03449999999</v>
      </c>
      <c r="T163" s="111">
        <v>119104.99825</v>
      </c>
      <c r="U163" s="111">
        <f t="shared" si="137"/>
        <v>2930.0362499999901</v>
      </c>
      <c r="V163" s="111"/>
      <c r="W163" s="111">
        <v>236.04</v>
      </c>
      <c r="X163" s="111">
        <v>236.04</v>
      </c>
      <c r="Y163" s="111">
        <f t="shared" si="138"/>
        <v>0</v>
      </c>
      <c r="Z163" s="111"/>
      <c r="AA163" s="111"/>
      <c r="AB163" s="111"/>
    </row>
    <row r="164" spans="1:28" ht="20.149999999999999" customHeight="1">
      <c r="A164" s="99">
        <v>33</v>
      </c>
      <c r="B164" s="812" t="s">
        <v>463</v>
      </c>
      <c r="C164" s="812"/>
      <c r="D164" s="110" t="s">
        <v>458</v>
      </c>
      <c r="E164" s="112" t="s">
        <v>476</v>
      </c>
      <c r="F164" s="121">
        <f t="shared" si="154"/>
        <v>9050.14</v>
      </c>
      <c r="G164" s="43"/>
      <c r="H164" s="111">
        <f t="shared" si="129"/>
        <v>27150.42</v>
      </c>
      <c r="I164" s="111">
        <f t="shared" si="130"/>
        <v>678.76049999999998</v>
      </c>
      <c r="J164" s="111">
        <v>0</v>
      </c>
      <c r="K164" s="111">
        <f t="shared" si="131"/>
        <v>4525.07</v>
      </c>
      <c r="L164" s="111">
        <f t="shared" si="132"/>
        <v>31675.49</v>
      </c>
      <c r="M164" s="111">
        <f t="shared" si="150"/>
        <v>9050.14</v>
      </c>
      <c r="N164" s="43"/>
      <c r="O164" s="43">
        <f t="shared" si="152"/>
        <v>30000</v>
      </c>
      <c r="P164" s="111">
        <f t="shared" si="151"/>
        <v>905.01400000000001</v>
      </c>
      <c r="Q164" s="111">
        <v>5000</v>
      </c>
      <c r="R164" s="111">
        <f>4000</f>
        <v>4000</v>
      </c>
      <c r="S164" s="111">
        <f t="shared" si="153"/>
        <v>122035.03449999999</v>
      </c>
      <c r="T164" s="111">
        <v>119104.99825</v>
      </c>
      <c r="U164" s="111">
        <f t="shared" si="137"/>
        <v>2930.0362499999901</v>
      </c>
      <c r="V164" s="111"/>
      <c r="W164" s="111">
        <v>236.04</v>
      </c>
      <c r="X164" s="111">
        <v>236.04</v>
      </c>
      <c r="Y164" s="111">
        <f t="shared" si="138"/>
        <v>0</v>
      </c>
      <c r="Z164" s="111"/>
      <c r="AA164" s="111"/>
      <c r="AB164" s="111"/>
    </row>
    <row r="165" spans="1:28" ht="20.149999999999999" customHeight="1">
      <c r="A165" s="99">
        <v>34</v>
      </c>
      <c r="B165" s="812" t="s">
        <v>464</v>
      </c>
      <c r="C165" s="812"/>
      <c r="D165" s="110" t="s">
        <v>478</v>
      </c>
      <c r="E165" s="112" t="s">
        <v>1189</v>
      </c>
      <c r="F165" s="111">
        <f>5769.6</f>
        <v>5769.6</v>
      </c>
      <c r="G165" s="43"/>
      <c r="H165" s="111">
        <f t="shared" si="129"/>
        <v>17308.8</v>
      </c>
      <c r="I165" s="111">
        <f t="shared" si="130"/>
        <v>432.72</v>
      </c>
      <c r="J165" s="111">
        <v>0</v>
      </c>
      <c r="K165" s="111">
        <f t="shared" si="131"/>
        <v>2884.8</v>
      </c>
      <c r="L165" s="111">
        <f t="shared" si="132"/>
        <v>20193.599999999999</v>
      </c>
      <c r="M165" s="111">
        <f t="shared" si="150"/>
        <v>5769.6</v>
      </c>
      <c r="N165" s="43"/>
      <c r="O165" s="43">
        <f t="shared" ref="O165:O180" si="155">20000</f>
        <v>20000</v>
      </c>
      <c r="P165" s="111">
        <f t="shared" si="151"/>
        <v>576.96</v>
      </c>
      <c r="Q165" s="111">
        <v>5000</v>
      </c>
      <c r="R165" s="111">
        <f>7000</f>
        <v>7000</v>
      </c>
      <c r="S165" s="111">
        <f t="shared" si="153"/>
        <v>84936.08</v>
      </c>
      <c r="T165" s="111">
        <v>83370.091</v>
      </c>
      <c r="U165" s="111">
        <f t="shared" si="137"/>
        <v>1565.989</v>
      </c>
      <c r="V165" s="111"/>
      <c r="W165" s="111">
        <v>236.04</v>
      </c>
      <c r="X165" s="111">
        <v>236.04</v>
      </c>
      <c r="Y165" s="111">
        <f t="shared" si="138"/>
        <v>0</v>
      </c>
      <c r="Z165" s="111"/>
      <c r="AA165" s="111"/>
      <c r="AB165" s="111"/>
    </row>
    <row r="166" spans="1:28" ht="20.149999999999999" customHeight="1">
      <c r="A166" s="99">
        <v>35</v>
      </c>
      <c r="B166" s="812" t="s">
        <v>466</v>
      </c>
      <c r="C166" s="812"/>
      <c r="D166" s="110" t="s">
        <v>478</v>
      </c>
      <c r="E166" s="112" t="s">
        <v>1189</v>
      </c>
      <c r="F166" s="111">
        <f t="shared" ref="F166:F171" si="156">5769.6</f>
        <v>5769.6</v>
      </c>
      <c r="G166" s="43"/>
      <c r="H166" s="111">
        <f t="shared" si="129"/>
        <v>17308.8</v>
      </c>
      <c r="I166" s="111">
        <f t="shared" si="130"/>
        <v>432.72</v>
      </c>
      <c r="J166" s="111">
        <v>0</v>
      </c>
      <c r="K166" s="111">
        <f t="shared" si="131"/>
        <v>2884.8</v>
      </c>
      <c r="L166" s="111">
        <f t="shared" si="132"/>
        <v>20193.599999999999</v>
      </c>
      <c r="M166" s="111">
        <f t="shared" si="150"/>
        <v>5769.6</v>
      </c>
      <c r="N166" s="43"/>
      <c r="O166" s="43">
        <f t="shared" si="155"/>
        <v>20000</v>
      </c>
      <c r="P166" s="111">
        <f t="shared" si="151"/>
        <v>576.96</v>
      </c>
      <c r="Q166" s="111">
        <v>5000</v>
      </c>
      <c r="R166" s="111">
        <f>4000</f>
        <v>4000</v>
      </c>
      <c r="S166" s="111">
        <f t="shared" si="153"/>
        <v>81936.08</v>
      </c>
      <c r="T166" s="111">
        <v>80370.091</v>
      </c>
      <c r="U166" s="111">
        <f t="shared" si="137"/>
        <v>1565.989</v>
      </c>
      <c r="V166" s="111"/>
      <c r="W166" s="111">
        <v>236.04</v>
      </c>
      <c r="X166" s="111">
        <v>236.04</v>
      </c>
      <c r="Y166" s="111">
        <f t="shared" si="138"/>
        <v>0</v>
      </c>
      <c r="Z166" s="111"/>
      <c r="AA166" s="111"/>
      <c r="AB166" s="111"/>
    </row>
    <row r="167" spans="1:28" ht="20.149999999999999" customHeight="1">
      <c r="A167" s="99">
        <v>36</v>
      </c>
      <c r="B167" s="812" t="s">
        <v>1121</v>
      </c>
      <c r="C167" s="812"/>
      <c r="D167" s="110" t="s">
        <v>478</v>
      </c>
      <c r="E167" s="112" t="s">
        <v>1189</v>
      </c>
      <c r="F167" s="111">
        <f t="shared" si="156"/>
        <v>5769.6</v>
      </c>
      <c r="G167" s="43"/>
      <c r="H167" s="111">
        <f t="shared" si="129"/>
        <v>17308.8</v>
      </c>
      <c r="I167" s="111">
        <f t="shared" si="130"/>
        <v>432.72</v>
      </c>
      <c r="J167" s="111">
        <v>0</v>
      </c>
      <c r="K167" s="111">
        <f t="shared" si="131"/>
        <v>2884.8</v>
      </c>
      <c r="L167" s="111">
        <f t="shared" si="132"/>
        <v>20193.599999999999</v>
      </c>
      <c r="M167" s="111">
        <f t="shared" si="150"/>
        <v>5769.6</v>
      </c>
      <c r="N167" s="43"/>
      <c r="O167" s="43">
        <f t="shared" si="155"/>
        <v>20000</v>
      </c>
      <c r="P167" s="111">
        <f t="shared" si="151"/>
        <v>576.96</v>
      </c>
      <c r="Q167" s="111">
        <v>5000</v>
      </c>
      <c r="R167" s="111">
        <f>4000</f>
        <v>4000</v>
      </c>
      <c r="S167" s="111">
        <f t="shared" si="153"/>
        <v>81936.08</v>
      </c>
      <c r="T167" s="111">
        <v>80370.091</v>
      </c>
      <c r="U167" s="111">
        <f t="shared" si="137"/>
        <v>1565.989</v>
      </c>
      <c r="V167" s="111"/>
      <c r="W167" s="111">
        <v>236.04</v>
      </c>
      <c r="X167" s="111">
        <v>236.04</v>
      </c>
      <c r="Y167" s="111">
        <f t="shared" si="138"/>
        <v>0</v>
      </c>
      <c r="Z167" s="111"/>
      <c r="AA167" s="111"/>
      <c r="AB167" s="111"/>
    </row>
    <row r="168" spans="1:28" ht="20.149999999999999" customHeight="1">
      <c r="A168" s="99">
        <v>37</v>
      </c>
      <c r="B168" s="124" t="s">
        <v>467</v>
      </c>
      <c r="C168" s="124"/>
      <c r="D168" s="110" t="s">
        <v>478</v>
      </c>
      <c r="E168" s="112" t="s">
        <v>1189</v>
      </c>
      <c r="F168" s="111">
        <f t="shared" si="156"/>
        <v>5769.6</v>
      </c>
      <c r="G168" s="43"/>
      <c r="H168" s="111">
        <f t="shared" si="129"/>
        <v>17308.8</v>
      </c>
      <c r="I168" s="111">
        <f t="shared" si="130"/>
        <v>432.72</v>
      </c>
      <c r="J168" s="111">
        <v>0</v>
      </c>
      <c r="K168" s="111">
        <f t="shared" si="131"/>
        <v>2884.8</v>
      </c>
      <c r="L168" s="111">
        <f t="shared" si="132"/>
        <v>20193.599999999999</v>
      </c>
      <c r="M168" s="111">
        <f>F167*100%</f>
        <v>5769.6</v>
      </c>
      <c r="N168" s="43"/>
      <c r="O168" s="43">
        <f t="shared" si="155"/>
        <v>20000</v>
      </c>
      <c r="P168" s="111">
        <f t="shared" si="151"/>
        <v>576.96</v>
      </c>
      <c r="Q168" s="111">
        <v>5000</v>
      </c>
      <c r="R168" s="111">
        <f>7000</f>
        <v>7000</v>
      </c>
      <c r="S168" s="111">
        <f t="shared" si="153"/>
        <v>84936.08</v>
      </c>
      <c r="T168" s="111">
        <v>83370.091</v>
      </c>
      <c r="U168" s="111">
        <f t="shared" si="137"/>
        <v>1565.989</v>
      </c>
      <c r="V168" s="111"/>
      <c r="W168" s="111">
        <v>236.04</v>
      </c>
      <c r="X168" s="111">
        <v>236.04</v>
      </c>
      <c r="Y168" s="111">
        <f t="shared" si="138"/>
        <v>0</v>
      </c>
      <c r="Z168" s="111"/>
      <c r="AA168" s="111"/>
      <c r="AB168" s="111"/>
    </row>
    <row r="169" spans="1:28" ht="20.149999999999999" customHeight="1">
      <c r="A169" s="99">
        <v>38</v>
      </c>
      <c r="B169" s="806" t="s">
        <v>468</v>
      </c>
      <c r="C169" s="807"/>
      <c r="D169" s="110" t="s">
        <v>478</v>
      </c>
      <c r="E169" s="112" t="s">
        <v>1189</v>
      </c>
      <c r="F169" s="111">
        <f t="shared" si="156"/>
        <v>5769.6</v>
      </c>
      <c r="G169" s="43"/>
      <c r="H169" s="111">
        <f t="shared" si="129"/>
        <v>17308.8</v>
      </c>
      <c r="I169" s="111">
        <f t="shared" si="130"/>
        <v>432.72</v>
      </c>
      <c r="J169" s="111"/>
      <c r="K169" s="111">
        <f t="shared" si="131"/>
        <v>2884.8</v>
      </c>
      <c r="L169" s="111">
        <f t="shared" si="132"/>
        <v>20193.599999999999</v>
      </c>
      <c r="M169" s="111">
        <f t="shared" ref="M169:M186" si="157">F169*100%</f>
        <v>5769.6</v>
      </c>
      <c r="N169" s="43"/>
      <c r="O169" s="43">
        <f t="shared" si="155"/>
        <v>20000</v>
      </c>
      <c r="P169" s="111">
        <f t="shared" si="151"/>
        <v>576.96</v>
      </c>
      <c r="Q169" s="111">
        <v>5000</v>
      </c>
      <c r="R169" s="111">
        <f>4000</f>
        <v>4000</v>
      </c>
      <c r="S169" s="111">
        <f t="shared" si="153"/>
        <v>81936.08</v>
      </c>
      <c r="T169" s="111">
        <v>80370.091</v>
      </c>
      <c r="U169" s="111">
        <f t="shared" si="137"/>
        <v>1565.989</v>
      </c>
      <c r="V169" s="111"/>
      <c r="W169" s="111">
        <v>236.04</v>
      </c>
      <c r="X169" s="111">
        <v>236.04</v>
      </c>
      <c r="Y169" s="111">
        <f t="shared" si="138"/>
        <v>0</v>
      </c>
      <c r="Z169" s="111"/>
      <c r="AA169" s="111"/>
      <c r="AB169" s="111"/>
    </row>
    <row r="170" spans="1:28" ht="20.149999999999999" customHeight="1">
      <c r="A170" s="99">
        <v>39</v>
      </c>
      <c r="B170" s="110" t="s">
        <v>469</v>
      </c>
      <c r="C170" s="42"/>
      <c r="D170" s="110" t="s">
        <v>478</v>
      </c>
      <c r="E170" s="112" t="s">
        <v>1189</v>
      </c>
      <c r="F170" s="111">
        <f t="shared" si="156"/>
        <v>5769.6</v>
      </c>
      <c r="G170" s="43"/>
      <c r="H170" s="111">
        <f t="shared" si="129"/>
        <v>17308.8</v>
      </c>
      <c r="I170" s="111">
        <f t="shared" si="130"/>
        <v>432.72</v>
      </c>
      <c r="J170" s="111"/>
      <c r="K170" s="111">
        <f t="shared" si="131"/>
        <v>2884.8</v>
      </c>
      <c r="L170" s="111">
        <f t="shared" si="132"/>
        <v>20193.599999999999</v>
      </c>
      <c r="M170" s="111">
        <f t="shared" si="157"/>
        <v>5769.6</v>
      </c>
      <c r="N170" s="43"/>
      <c r="O170" s="43">
        <f t="shared" si="155"/>
        <v>20000</v>
      </c>
      <c r="P170" s="111">
        <f t="shared" si="151"/>
        <v>576.96</v>
      </c>
      <c r="Q170" s="111">
        <v>5000</v>
      </c>
      <c r="R170" s="111">
        <f>4000</f>
        <v>4000</v>
      </c>
      <c r="S170" s="111">
        <f t="shared" si="153"/>
        <v>81936.08</v>
      </c>
      <c r="T170" s="111">
        <v>80370.091</v>
      </c>
      <c r="U170" s="111">
        <f t="shared" si="137"/>
        <v>1565.989</v>
      </c>
      <c r="V170" s="111"/>
      <c r="W170" s="111">
        <v>236.04</v>
      </c>
      <c r="X170" s="111">
        <v>236.04</v>
      </c>
      <c r="Y170" s="111">
        <f t="shared" si="138"/>
        <v>0</v>
      </c>
      <c r="Z170" s="111"/>
      <c r="AA170" s="111"/>
      <c r="AB170" s="111"/>
    </row>
    <row r="171" spans="1:28" ht="20.149999999999999" customHeight="1">
      <c r="A171" s="99">
        <v>40</v>
      </c>
      <c r="B171" s="110" t="s">
        <v>470</v>
      </c>
      <c r="C171" s="42"/>
      <c r="D171" s="110" t="s">
        <v>478</v>
      </c>
      <c r="E171" s="112" t="s">
        <v>1189</v>
      </c>
      <c r="F171" s="111">
        <f t="shared" si="156"/>
        <v>5769.6</v>
      </c>
      <c r="G171" s="43"/>
      <c r="H171" s="111">
        <f t="shared" si="129"/>
        <v>17308.8</v>
      </c>
      <c r="I171" s="111">
        <f t="shared" si="130"/>
        <v>432.72</v>
      </c>
      <c r="J171" s="111"/>
      <c r="K171" s="111">
        <f t="shared" si="131"/>
        <v>2884.8</v>
      </c>
      <c r="L171" s="111">
        <f t="shared" si="132"/>
        <v>20193.599999999999</v>
      </c>
      <c r="M171" s="111">
        <f t="shared" si="157"/>
        <v>5769.6</v>
      </c>
      <c r="N171" s="43"/>
      <c r="O171" s="43">
        <f t="shared" si="155"/>
        <v>20000</v>
      </c>
      <c r="P171" s="111">
        <f t="shared" si="151"/>
        <v>576.96</v>
      </c>
      <c r="Q171" s="111">
        <v>5000</v>
      </c>
      <c r="R171" s="111">
        <f t="shared" ref="R171:R176" si="158">7000</f>
        <v>7000</v>
      </c>
      <c r="S171" s="111">
        <f t="shared" si="153"/>
        <v>84936.08</v>
      </c>
      <c r="T171" s="111">
        <v>83370.091</v>
      </c>
      <c r="U171" s="111">
        <f t="shared" si="137"/>
        <v>1565.989</v>
      </c>
      <c r="V171" s="111"/>
      <c r="W171" s="111">
        <v>236.04</v>
      </c>
      <c r="X171" s="111">
        <v>236.04</v>
      </c>
      <c r="Y171" s="111">
        <f t="shared" si="138"/>
        <v>0</v>
      </c>
      <c r="Z171" s="111"/>
      <c r="AA171" s="111"/>
      <c r="AB171" s="111"/>
    </row>
    <row r="172" spans="1:28" ht="20.149999999999999" customHeight="1">
      <c r="A172" s="99">
        <v>41</v>
      </c>
      <c r="B172" s="806" t="s">
        <v>471</v>
      </c>
      <c r="C172" s="807"/>
      <c r="D172" s="110" t="s">
        <v>478</v>
      </c>
      <c r="E172" s="112" t="s">
        <v>954</v>
      </c>
      <c r="F172" s="111">
        <f t="shared" ref="F172:F173" si="159">5257.44</f>
        <v>5257.44</v>
      </c>
      <c r="G172" s="43"/>
      <c r="H172" s="111">
        <f t="shared" si="129"/>
        <v>15772.32</v>
      </c>
      <c r="I172" s="111">
        <f t="shared" si="130"/>
        <v>394.30799999999999</v>
      </c>
      <c r="J172" s="111"/>
      <c r="K172" s="111">
        <f t="shared" si="131"/>
        <v>2628.72</v>
      </c>
      <c r="L172" s="111">
        <f t="shared" si="132"/>
        <v>18401.04</v>
      </c>
      <c r="M172" s="111">
        <f t="shared" si="157"/>
        <v>5257.44</v>
      </c>
      <c r="N172" s="43"/>
      <c r="O172" s="43">
        <f t="shared" si="155"/>
        <v>20000</v>
      </c>
      <c r="P172" s="111">
        <f t="shared" si="151"/>
        <v>525.74400000000003</v>
      </c>
      <c r="Q172" s="111">
        <v>5000</v>
      </c>
      <c r="R172" s="111">
        <f t="shared" si="158"/>
        <v>7000</v>
      </c>
      <c r="S172" s="111">
        <f t="shared" si="153"/>
        <v>80237.012000000002</v>
      </c>
      <c r="T172" s="111">
        <v>78671.023000000001</v>
      </c>
      <c r="U172" s="111">
        <f t="shared" si="137"/>
        <v>1565.98899999999</v>
      </c>
      <c r="V172" s="111"/>
      <c r="W172" s="111">
        <v>236.04</v>
      </c>
      <c r="X172" s="111">
        <v>236.04</v>
      </c>
      <c r="Y172" s="111">
        <f t="shared" si="138"/>
        <v>0</v>
      </c>
      <c r="Z172" s="111"/>
      <c r="AA172" s="111"/>
      <c r="AB172" s="111"/>
    </row>
    <row r="173" spans="1:28" ht="20.149999999999999" customHeight="1">
      <c r="A173" s="99">
        <v>42</v>
      </c>
      <c r="B173" s="806" t="s">
        <v>474</v>
      </c>
      <c r="C173" s="807"/>
      <c r="D173" s="110" t="s">
        <v>478</v>
      </c>
      <c r="E173" s="112" t="s">
        <v>954</v>
      </c>
      <c r="F173" s="111">
        <f t="shared" si="159"/>
        <v>5257.44</v>
      </c>
      <c r="G173" s="43"/>
      <c r="H173" s="111">
        <f t="shared" si="129"/>
        <v>15772.32</v>
      </c>
      <c r="I173" s="111">
        <f t="shared" si="130"/>
        <v>394.30799999999999</v>
      </c>
      <c r="J173" s="111"/>
      <c r="K173" s="111">
        <f t="shared" si="131"/>
        <v>2628.72</v>
      </c>
      <c r="L173" s="111">
        <f t="shared" si="132"/>
        <v>18401.04</v>
      </c>
      <c r="M173" s="111">
        <f t="shared" si="157"/>
        <v>5257.44</v>
      </c>
      <c r="N173" s="43"/>
      <c r="O173" s="43">
        <f t="shared" si="155"/>
        <v>20000</v>
      </c>
      <c r="P173" s="111">
        <f t="shared" si="151"/>
        <v>525.74400000000003</v>
      </c>
      <c r="Q173" s="111">
        <v>5000</v>
      </c>
      <c r="R173" s="111">
        <f t="shared" si="158"/>
        <v>7000</v>
      </c>
      <c r="S173" s="111">
        <f t="shared" si="153"/>
        <v>80237.012000000002</v>
      </c>
      <c r="T173" s="111">
        <v>78671.023000000001</v>
      </c>
      <c r="U173" s="111">
        <f t="shared" si="137"/>
        <v>1565.98899999999</v>
      </c>
      <c r="V173" s="111"/>
      <c r="W173" s="111">
        <v>236.04</v>
      </c>
      <c r="X173" s="111">
        <v>236.04</v>
      </c>
      <c r="Y173" s="111">
        <f t="shared" si="138"/>
        <v>0</v>
      </c>
      <c r="Z173" s="111"/>
      <c r="AA173" s="111"/>
      <c r="AB173" s="111"/>
    </row>
    <row r="174" spans="1:28" ht="20.149999999999999" customHeight="1">
      <c r="A174" s="99">
        <v>43</v>
      </c>
      <c r="B174" s="110" t="s">
        <v>475</v>
      </c>
      <c r="C174" s="42"/>
      <c r="D174" s="110" t="s">
        <v>478</v>
      </c>
      <c r="E174" s="112" t="s">
        <v>479</v>
      </c>
      <c r="F174" s="111">
        <f>5428.12</f>
        <v>5428.12</v>
      </c>
      <c r="G174" s="43"/>
      <c r="H174" s="111">
        <f t="shared" si="129"/>
        <v>16284.36</v>
      </c>
      <c r="I174" s="111">
        <f t="shared" si="130"/>
        <v>407.10899999999998</v>
      </c>
      <c r="J174" s="111"/>
      <c r="K174" s="111">
        <f t="shared" si="131"/>
        <v>2714.06</v>
      </c>
      <c r="L174" s="111">
        <f t="shared" si="132"/>
        <v>18998.419999999998</v>
      </c>
      <c r="M174" s="111">
        <f t="shared" si="157"/>
        <v>5428.12</v>
      </c>
      <c r="N174" s="43"/>
      <c r="O174" s="43">
        <f t="shared" si="155"/>
        <v>20000</v>
      </c>
      <c r="P174" s="111">
        <f t="shared" si="151"/>
        <v>542.81200000000001</v>
      </c>
      <c r="Q174" s="111">
        <v>5000</v>
      </c>
      <c r="R174" s="111">
        <f t="shared" si="158"/>
        <v>7000</v>
      </c>
      <c r="S174" s="111">
        <f t="shared" si="153"/>
        <v>81803.001000000004</v>
      </c>
      <c r="T174" s="111">
        <v>80237.012000000002</v>
      </c>
      <c r="U174" s="111">
        <f t="shared" si="137"/>
        <v>1565.98900000002</v>
      </c>
      <c r="V174" s="111"/>
      <c r="W174" s="111">
        <f>236.04</f>
        <v>236.04</v>
      </c>
      <c r="X174" s="111">
        <v>236.04</v>
      </c>
      <c r="Y174" s="111">
        <f t="shared" si="138"/>
        <v>0</v>
      </c>
      <c r="Z174" s="111"/>
      <c r="AA174" s="111"/>
      <c r="AB174" s="111"/>
    </row>
    <row r="175" spans="1:28" ht="20.149999999999999" customHeight="1">
      <c r="A175" s="99">
        <v>44</v>
      </c>
      <c r="B175" s="806" t="s">
        <v>477</v>
      </c>
      <c r="C175" s="807"/>
      <c r="D175" s="110" t="s">
        <v>478</v>
      </c>
      <c r="E175" s="112" t="s">
        <v>492</v>
      </c>
      <c r="F175" s="111">
        <f>5086.76</f>
        <v>5086.76</v>
      </c>
      <c r="G175" s="43"/>
      <c r="H175" s="111">
        <f t="shared" si="129"/>
        <v>15260.28</v>
      </c>
      <c r="I175" s="111">
        <f t="shared" si="130"/>
        <v>381.50700000000001</v>
      </c>
      <c r="J175" s="111"/>
      <c r="K175" s="111">
        <f t="shared" si="131"/>
        <v>2543.38</v>
      </c>
      <c r="L175" s="111">
        <f t="shared" si="132"/>
        <v>17803.66</v>
      </c>
      <c r="M175" s="111">
        <f t="shared" si="157"/>
        <v>5086.76</v>
      </c>
      <c r="N175" s="43"/>
      <c r="O175" s="43">
        <f t="shared" si="155"/>
        <v>20000</v>
      </c>
      <c r="P175" s="111">
        <f t="shared" si="151"/>
        <v>508.67599999999999</v>
      </c>
      <c r="Q175" s="111">
        <v>5000</v>
      </c>
      <c r="R175" s="111">
        <f t="shared" si="158"/>
        <v>7000</v>
      </c>
      <c r="S175" s="111">
        <f t="shared" si="153"/>
        <v>78671.023000000001</v>
      </c>
      <c r="T175" s="111">
        <v>77104.024749999997</v>
      </c>
      <c r="U175" s="111">
        <f t="shared" si="137"/>
        <v>1566.9982500000001</v>
      </c>
      <c r="V175" s="111"/>
      <c r="W175" s="111">
        <v>236.04</v>
      </c>
      <c r="X175" s="111">
        <v>236.04</v>
      </c>
      <c r="Y175" s="111">
        <f t="shared" si="138"/>
        <v>0</v>
      </c>
      <c r="Z175" s="111"/>
      <c r="AA175" s="111"/>
      <c r="AB175" s="111"/>
    </row>
    <row r="176" spans="1:28" ht="20.149999999999999" customHeight="1">
      <c r="A176" s="99">
        <v>45</v>
      </c>
      <c r="B176" s="806" t="s">
        <v>480</v>
      </c>
      <c r="C176" s="807"/>
      <c r="D176" s="110" t="s">
        <v>481</v>
      </c>
      <c r="E176" s="112" t="s">
        <v>1190</v>
      </c>
      <c r="F176" s="111">
        <f>4915.94</f>
        <v>4915.9399999999996</v>
      </c>
      <c r="G176" s="43"/>
      <c r="H176" s="111">
        <f t="shared" si="129"/>
        <v>14747.82</v>
      </c>
      <c r="I176" s="111">
        <f t="shared" si="130"/>
        <v>368.69549999999998</v>
      </c>
      <c r="J176" s="111"/>
      <c r="K176" s="111">
        <f t="shared" si="131"/>
        <v>2457.9699999999998</v>
      </c>
      <c r="L176" s="111">
        <f t="shared" si="132"/>
        <v>17205.79</v>
      </c>
      <c r="M176" s="111">
        <f t="shared" si="157"/>
        <v>4915.9399999999996</v>
      </c>
      <c r="N176" s="43"/>
      <c r="O176" s="43">
        <f t="shared" si="155"/>
        <v>20000</v>
      </c>
      <c r="P176" s="111">
        <f t="shared" si="151"/>
        <v>491.59399999999999</v>
      </c>
      <c r="Q176" s="111">
        <v>5000</v>
      </c>
      <c r="R176" s="111">
        <f t="shared" si="158"/>
        <v>7000</v>
      </c>
      <c r="S176" s="111">
        <f t="shared" si="153"/>
        <v>77103.749500000005</v>
      </c>
      <c r="T176" s="111">
        <v>75538.035749999995</v>
      </c>
      <c r="U176" s="111">
        <f t="shared" si="137"/>
        <v>1565.7137499999999</v>
      </c>
      <c r="V176" s="111"/>
      <c r="W176" s="111">
        <v>236.04</v>
      </c>
      <c r="X176" s="111">
        <v>236.04</v>
      </c>
      <c r="Y176" s="111">
        <f t="shared" si="138"/>
        <v>0</v>
      </c>
      <c r="Z176" s="111"/>
      <c r="AA176" s="111"/>
      <c r="AB176" s="111"/>
    </row>
    <row r="177" spans="1:28" ht="20.149999999999999" customHeight="1">
      <c r="A177" s="99">
        <v>46</v>
      </c>
      <c r="B177" s="806" t="s">
        <v>483</v>
      </c>
      <c r="C177" s="807"/>
      <c r="D177" s="110" t="s">
        <v>481</v>
      </c>
      <c r="E177" s="112" t="s">
        <v>1190</v>
      </c>
      <c r="F177" s="111">
        <f t="shared" ref="F177:F180" si="160">4915.94</f>
        <v>4915.9399999999996</v>
      </c>
      <c r="G177" s="43"/>
      <c r="H177" s="111">
        <f t="shared" si="129"/>
        <v>14747.82</v>
      </c>
      <c r="I177" s="111">
        <f t="shared" si="130"/>
        <v>368.69549999999998</v>
      </c>
      <c r="J177" s="111"/>
      <c r="K177" s="111">
        <f t="shared" si="131"/>
        <v>2457.9699999999998</v>
      </c>
      <c r="L177" s="111">
        <f t="shared" si="132"/>
        <v>17205.79</v>
      </c>
      <c r="M177" s="111">
        <f t="shared" si="157"/>
        <v>4915.9399999999996</v>
      </c>
      <c r="N177" s="43"/>
      <c r="O177" s="43">
        <f t="shared" si="155"/>
        <v>20000</v>
      </c>
      <c r="P177" s="111">
        <f t="shared" si="151"/>
        <v>491.59399999999999</v>
      </c>
      <c r="Q177" s="111">
        <v>5000</v>
      </c>
      <c r="R177" s="111">
        <f>4000</f>
        <v>4000</v>
      </c>
      <c r="S177" s="111">
        <f t="shared" si="153"/>
        <v>74103.749500000005</v>
      </c>
      <c r="T177" s="111">
        <v>72538.035749999995</v>
      </c>
      <c r="U177" s="111">
        <f t="shared" si="137"/>
        <v>1565.7137499999999</v>
      </c>
      <c r="V177" s="111"/>
      <c r="W177" s="111">
        <v>236.04</v>
      </c>
      <c r="X177" s="111">
        <v>236.04</v>
      </c>
      <c r="Y177" s="111">
        <f t="shared" si="138"/>
        <v>0</v>
      </c>
      <c r="Z177" s="111"/>
      <c r="AA177" s="111"/>
      <c r="AB177" s="111"/>
    </row>
    <row r="178" spans="1:28" ht="20.149999999999999" customHeight="1">
      <c r="A178" s="99">
        <v>47</v>
      </c>
      <c r="B178" s="806" t="s">
        <v>484</v>
      </c>
      <c r="C178" s="807"/>
      <c r="D178" s="110" t="s">
        <v>481</v>
      </c>
      <c r="E178" s="112" t="s">
        <v>1190</v>
      </c>
      <c r="F178" s="111">
        <f t="shared" si="160"/>
        <v>4915.9399999999996</v>
      </c>
      <c r="G178" s="43"/>
      <c r="H178" s="111">
        <f t="shared" si="129"/>
        <v>14747.82</v>
      </c>
      <c r="I178" s="111">
        <f t="shared" si="130"/>
        <v>368.69549999999998</v>
      </c>
      <c r="J178" s="111"/>
      <c r="K178" s="111">
        <f t="shared" si="131"/>
        <v>2457.9699999999998</v>
      </c>
      <c r="L178" s="111">
        <f t="shared" si="132"/>
        <v>17205.79</v>
      </c>
      <c r="M178" s="111">
        <f t="shared" si="157"/>
        <v>4915.9399999999996</v>
      </c>
      <c r="N178" s="43"/>
      <c r="O178" s="43">
        <f t="shared" si="155"/>
        <v>20000</v>
      </c>
      <c r="P178" s="111">
        <f t="shared" si="151"/>
        <v>491.59399999999999</v>
      </c>
      <c r="Q178" s="111">
        <v>5000</v>
      </c>
      <c r="R178" s="111">
        <f>7000</f>
        <v>7000</v>
      </c>
      <c r="S178" s="111">
        <f t="shared" si="153"/>
        <v>77103.749500000005</v>
      </c>
      <c r="T178" s="111">
        <v>75538.035749999995</v>
      </c>
      <c r="U178" s="111">
        <f t="shared" si="137"/>
        <v>1565.7137499999999</v>
      </c>
      <c r="V178" s="111"/>
      <c r="W178" s="111">
        <v>236.04</v>
      </c>
      <c r="X178" s="111">
        <v>236.04</v>
      </c>
      <c r="Y178" s="111">
        <f t="shared" si="138"/>
        <v>0</v>
      </c>
      <c r="Z178" s="111"/>
      <c r="AA178" s="111"/>
      <c r="AB178" s="111"/>
    </row>
    <row r="179" spans="1:28" ht="20.149999999999999" customHeight="1">
      <c r="A179" s="99">
        <v>48</v>
      </c>
      <c r="B179" s="806" t="s">
        <v>485</v>
      </c>
      <c r="C179" s="807"/>
      <c r="D179" s="110" t="s">
        <v>481</v>
      </c>
      <c r="E179" s="112" t="s">
        <v>1190</v>
      </c>
      <c r="F179" s="111">
        <f t="shared" si="160"/>
        <v>4915.9399999999996</v>
      </c>
      <c r="G179" s="43"/>
      <c r="H179" s="111">
        <f t="shared" si="129"/>
        <v>14747.82</v>
      </c>
      <c r="I179" s="111">
        <f t="shared" si="130"/>
        <v>368.69549999999998</v>
      </c>
      <c r="J179" s="111"/>
      <c r="K179" s="111">
        <f t="shared" si="131"/>
        <v>2457.9699999999998</v>
      </c>
      <c r="L179" s="111">
        <f t="shared" si="132"/>
        <v>17205.79</v>
      </c>
      <c r="M179" s="111">
        <f t="shared" si="157"/>
        <v>4915.9399999999996</v>
      </c>
      <c r="N179" s="43"/>
      <c r="O179" s="43">
        <f t="shared" si="155"/>
        <v>20000</v>
      </c>
      <c r="P179" s="111">
        <f t="shared" si="151"/>
        <v>491.59399999999999</v>
      </c>
      <c r="Q179" s="111">
        <v>5000</v>
      </c>
      <c r="R179" s="111">
        <f>4000</f>
        <v>4000</v>
      </c>
      <c r="S179" s="111">
        <f t="shared" si="153"/>
        <v>74103.749500000005</v>
      </c>
      <c r="T179" s="111">
        <v>72538.035749999995</v>
      </c>
      <c r="U179" s="111">
        <f t="shared" si="137"/>
        <v>1565.7137499999999</v>
      </c>
      <c r="V179" s="111"/>
      <c r="W179" s="111">
        <v>236.04</v>
      </c>
      <c r="X179" s="111">
        <v>236.04</v>
      </c>
      <c r="Y179" s="111">
        <f t="shared" si="138"/>
        <v>0</v>
      </c>
      <c r="Z179" s="111"/>
      <c r="AA179" s="111"/>
      <c r="AB179" s="111"/>
    </row>
    <row r="180" spans="1:28" ht="20.149999999999999" customHeight="1">
      <c r="A180" s="99">
        <v>49</v>
      </c>
      <c r="B180" s="806" t="s">
        <v>486</v>
      </c>
      <c r="C180" s="807"/>
      <c r="D180" s="110" t="s">
        <v>481</v>
      </c>
      <c r="E180" s="112" t="s">
        <v>1190</v>
      </c>
      <c r="F180" s="111">
        <f t="shared" si="160"/>
        <v>4915.9399999999996</v>
      </c>
      <c r="G180" s="43"/>
      <c r="H180" s="111">
        <f t="shared" si="129"/>
        <v>14747.82</v>
      </c>
      <c r="I180" s="111">
        <f t="shared" si="130"/>
        <v>368.69549999999998</v>
      </c>
      <c r="J180" s="111"/>
      <c r="K180" s="111">
        <f t="shared" si="131"/>
        <v>2457.9699999999998</v>
      </c>
      <c r="L180" s="111">
        <f t="shared" si="132"/>
        <v>17205.79</v>
      </c>
      <c r="M180" s="111">
        <f t="shared" si="157"/>
        <v>4915.9399999999996</v>
      </c>
      <c r="N180" s="43"/>
      <c r="O180" s="43">
        <f t="shared" si="155"/>
        <v>20000</v>
      </c>
      <c r="P180" s="111">
        <f t="shared" si="151"/>
        <v>491.59399999999999</v>
      </c>
      <c r="Q180" s="111">
        <v>5000</v>
      </c>
      <c r="R180" s="111">
        <f>7000</f>
        <v>7000</v>
      </c>
      <c r="S180" s="111">
        <f t="shared" si="153"/>
        <v>77103.749500000005</v>
      </c>
      <c r="T180" s="111">
        <v>75538.035749999995</v>
      </c>
      <c r="U180" s="111">
        <f t="shared" si="137"/>
        <v>1565.7137499999999</v>
      </c>
      <c r="V180" s="111"/>
      <c r="W180" s="111">
        <v>236.04</v>
      </c>
      <c r="X180" s="111">
        <v>236.04</v>
      </c>
      <c r="Y180" s="111">
        <f t="shared" si="138"/>
        <v>0</v>
      </c>
      <c r="Z180" s="111"/>
      <c r="AA180" s="111"/>
      <c r="AB180" s="111"/>
    </row>
    <row r="181" spans="1:28" ht="20.149999999999999" customHeight="1">
      <c r="A181" s="99">
        <v>50</v>
      </c>
      <c r="B181" s="832" t="s">
        <v>489</v>
      </c>
      <c r="C181" s="833"/>
      <c r="D181" s="110" t="s">
        <v>481</v>
      </c>
      <c r="E181" s="112" t="s">
        <v>494</v>
      </c>
      <c r="F181" s="111">
        <f>4836.5</f>
        <v>4836.5</v>
      </c>
      <c r="G181" s="43"/>
      <c r="H181" s="111">
        <f t="shared" si="129"/>
        <v>14509.5</v>
      </c>
      <c r="I181" s="111">
        <f t="shared" si="130"/>
        <v>362.73750000000001</v>
      </c>
      <c r="J181" s="111"/>
      <c r="K181" s="111">
        <f t="shared" si="131"/>
        <v>2418.25</v>
      </c>
      <c r="L181" s="111">
        <f t="shared" si="132"/>
        <v>16927.75</v>
      </c>
      <c r="M181" s="111">
        <f t="shared" si="157"/>
        <v>4836.5</v>
      </c>
      <c r="N181" s="43"/>
      <c r="O181" s="43">
        <f>15000</f>
        <v>15000</v>
      </c>
      <c r="P181" s="111">
        <f t="shared" si="151"/>
        <v>483.65</v>
      </c>
      <c r="Q181" s="111">
        <v>5000</v>
      </c>
      <c r="R181" s="111">
        <f>7000</f>
        <v>7000</v>
      </c>
      <c r="S181" s="111">
        <f t="shared" si="153"/>
        <v>71374.887499999997</v>
      </c>
      <c r="T181" s="111">
        <v>67328.070250000004</v>
      </c>
      <c r="U181" s="111">
        <f t="shared" si="137"/>
        <v>4046.8172500000101</v>
      </c>
      <c r="V181" s="111"/>
      <c r="W181" s="111">
        <v>236.04</v>
      </c>
      <c r="X181" s="111">
        <v>236.04</v>
      </c>
      <c r="Y181" s="111">
        <f t="shared" si="138"/>
        <v>0</v>
      </c>
      <c r="Z181" s="111"/>
      <c r="AA181" s="111"/>
      <c r="AB181" s="111"/>
    </row>
    <row r="182" spans="1:28" ht="20.149999999999999" customHeight="1">
      <c r="A182" s="99">
        <v>51</v>
      </c>
      <c r="B182" s="834" t="s">
        <v>490</v>
      </c>
      <c r="C182" s="835"/>
      <c r="D182" s="110" t="s">
        <v>481</v>
      </c>
      <c r="E182" s="112" t="s">
        <v>494</v>
      </c>
      <c r="F182" s="111">
        <f t="shared" ref="F182:F183" si="161">4836.5</f>
        <v>4836.5</v>
      </c>
      <c r="G182" s="43"/>
      <c r="H182" s="111">
        <f t="shared" si="129"/>
        <v>14509.5</v>
      </c>
      <c r="I182" s="111">
        <f t="shared" si="130"/>
        <v>362.73750000000001</v>
      </c>
      <c r="J182" s="111"/>
      <c r="K182" s="111">
        <f t="shared" si="131"/>
        <v>2418.25</v>
      </c>
      <c r="L182" s="111">
        <f t="shared" si="132"/>
        <v>16927.75</v>
      </c>
      <c r="M182" s="111">
        <f t="shared" si="157"/>
        <v>4836.5</v>
      </c>
      <c r="N182" s="43"/>
      <c r="O182" s="43">
        <f>15000</f>
        <v>15000</v>
      </c>
      <c r="P182" s="111">
        <f t="shared" si="151"/>
        <v>483.65</v>
      </c>
      <c r="Q182" s="111">
        <v>5000</v>
      </c>
      <c r="R182" s="111">
        <f>7000</f>
        <v>7000</v>
      </c>
      <c r="S182" s="111">
        <f t="shared" si="153"/>
        <v>71374.887499999997</v>
      </c>
      <c r="T182" s="111">
        <v>67328.070250000004</v>
      </c>
      <c r="U182" s="111">
        <f t="shared" si="137"/>
        <v>4046.8172500000101</v>
      </c>
      <c r="V182" s="111"/>
      <c r="W182" s="111">
        <v>236.04</v>
      </c>
      <c r="X182" s="111">
        <v>236.04</v>
      </c>
      <c r="Y182" s="111">
        <f t="shared" si="138"/>
        <v>0</v>
      </c>
      <c r="Z182" s="111"/>
      <c r="AA182" s="111"/>
      <c r="AB182" s="111"/>
    </row>
    <row r="183" spans="1:28" ht="20.149999999999999" customHeight="1">
      <c r="A183" s="99">
        <v>52</v>
      </c>
      <c r="B183" s="149" t="s">
        <v>491</v>
      </c>
      <c r="C183" s="150"/>
      <c r="D183" s="110" t="s">
        <v>481</v>
      </c>
      <c r="E183" s="112" t="s">
        <v>494</v>
      </c>
      <c r="F183" s="111">
        <f t="shared" si="161"/>
        <v>4836.5</v>
      </c>
      <c r="G183" s="43"/>
      <c r="H183" s="111">
        <f t="shared" si="129"/>
        <v>14509.5</v>
      </c>
      <c r="I183" s="111">
        <f t="shared" si="130"/>
        <v>362.73750000000001</v>
      </c>
      <c r="J183" s="111"/>
      <c r="K183" s="111">
        <f t="shared" si="131"/>
        <v>2418.25</v>
      </c>
      <c r="L183" s="111">
        <f t="shared" si="132"/>
        <v>16927.75</v>
      </c>
      <c r="M183" s="111">
        <f t="shared" si="157"/>
        <v>4836.5</v>
      </c>
      <c r="N183" s="43"/>
      <c r="O183" s="43">
        <f>15000</f>
        <v>15000</v>
      </c>
      <c r="P183" s="111">
        <f t="shared" si="151"/>
        <v>483.65</v>
      </c>
      <c r="Q183" s="111">
        <v>5000</v>
      </c>
      <c r="R183" s="111">
        <f>4000</f>
        <v>4000</v>
      </c>
      <c r="S183" s="111">
        <f t="shared" ref="S183:S185" si="162">SUM(F183:R183)</f>
        <v>68374.887499999997</v>
      </c>
      <c r="T183" s="111">
        <v>64328.070249999997</v>
      </c>
      <c r="U183" s="111">
        <f t="shared" si="137"/>
        <v>4046.8172500000101</v>
      </c>
      <c r="V183" s="111"/>
      <c r="W183" s="111">
        <v>236.04</v>
      </c>
      <c r="X183" s="111">
        <v>236.04</v>
      </c>
      <c r="Y183" s="111">
        <f t="shared" si="138"/>
        <v>0</v>
      </c>
      <c r="Z183" s="111"/>
      <c r="AA183" s="111"/>
      <c r="AB183" s="111"/>
    </row>
    <row r="184" spans="1:28" ht="20.149999999999999" customHeight="1">
      <c r="A184" s="99">
        <v>53</v>
      </c>
      <c r="B184" s="149" t="s">
        <v>487</v>
      </c>
      <c r="C184" s="150"/>
      <c r="D184" s="110" t="s">
        <v>481</v>
      </c>
      <c r="E184" s="112" t="s">
        <v>502</v>
      </c>
      <c r="F184" s="111">
        <f>4915.94</f>
        <v>4915.9399999999996</v>
      </c>
      <c r="G184" s="43"/>
      <c r="H184" s="111">
        <f t="shared" si="129"/>
        <v>14747.82</v>
      </c>
      <c r="I184" s="111">
        <f t="shared" si="130"/>
        <v>368.69549999999998</v>
      </c>
      <c r="J184" s="111"/>
      <c r="K184" s="111">
        <f t="shared" si="131"/>
        <v>2457.9699999999998</v>
      </c>
      <c r="L184" s="111">
        <f t="shared" si="132"/>
        <v>17205.79</v>
      </c>
      <c r="M184" s="111">
        <f t="shared" si="157"/>
        <v>4915.9399999999996</v>
      </c>
      <c r="N184" s="43"/>
      <c r="O184" s="43">
        <f>20000</f>
        <v>20000</v>
      </c>
      <c r="P184" s="111">
        <f t="shared" si="151"/>
        <v>491.59399999999999</v>
      </c>
      <c r="Q184" s="111">
        <v>5000</v>
      </c>
      <c r="R184" s="111">
        <f>4000</f>
        <v>4000</v>
      </c>
      <c r="S184" s="111">
        <f t="shared" si="162"/>
        <v>74103.749500000005</v>
      </c>
      <c r="T184" s="111">
        <v>72538.035749999995</v>
      </c>
      <c r="U184" s="111">
        <f t="shared" si="137"/>
        <v>1565.7137499999999</v>
      </c>
      <c r="V184" s="111"/>
      <c r="W184" s="111">
        <v>236.04</v>
      </c>
      <c r="X184" s="111">
        <v>236.04</v>
      </c>
      <c r="Y184" s="111">
        <f t="shared" si="138"/>
        <v>0</v>
      </c>
      <c r="Z184" s="111"/>
      <c r="AA184" s="111"/>
      <c r="AB184" s="111"/>
    </row>
    <row r="185" spans="1:28" ht="20.149999999999999" customHeight="1">
      <c r="A185" s="99">
        <v>54</v>
      </c>
      <c r="B185" s="149" t="s">
        <v>493</v>
      </c>
      <c r="C185" s="150"/>
      <c r="D185" s="110" t="s">
        <v>481</v>
      </c>
      <c r="E185" s="112" t="s">
        <v>497</v>
      </c>
      <c r="F185" s="38">
        <f>4248.5</f>
        <v>4248.5</v>
      </c>
      <c r="G185" s="43"/>
      <c r="H185" s="111">
        <f t="shared" si="129"/>
        <v>12745.5</v>
      </c>
      <c r="I185" s="111">
        <f t="shared" si="130"/>
        <v>318.63749999999999</v>
      </c>
      <c r="J185" s="111"/>
      <c r="K185" s="111">
        <f t="shared" si="131"/>
        <v>2124.25</v>
      </c>
      <c r="L185" s="111">
        <f t="shared" si="132"/>
        <v>14869.75</v>
      </c>
      <c r="M185" s="111">
        <f t="shared" si="157"/>
        <v>4248.5</v>
      </c>
      <c r="N185" s="43"/>
      <c r="O185" s="43">
        <f>15000</f>
        <v>15000</v>
      </c>
      <c r="P185" s="111">
        <f t="shared" si="151"/>
        <v>424.85</v>
      </c>
      <c r="Q185" s="111">
        <v>5000</v>
      </c>
      <c r="R185" s="111">
        <f>7000</f>
        <v>7000</v>
      </c>
      <c r="S185" s="111">
        <f t="shared" si="162"/>
        <v>65979.987500000003</v>
      </c>
      <c r="T185" s="111">
        <v>64631.996500000001</v>
      </c>
      <c r="U185" s="111">
        <f t="shared" si="137"/>
        <v>1347.99099999999</v>
      </c>
      <c r="V185" s="111"/>
      <c r="W185" s="111">
        <v>236.04</v>
      </c>
      <c r="X185" s="111">
        <v>236.04</v>
      </c>
      <c r="Y185" s="111">
        <f t="shared" si="138"/>
        <v>0</v>
      </c>
      <c r="Z185" s="111"/>
      <c r="AA185" s="111"/>
      <c r="AB185" s="111"/>
    </row>
    <row r="186" spans="1:28" ht="20.149999999999999" customHeight="1">
      <c r="A186" s="99">
        <v>55</v>
      </c>
      <c r="B186" s="149" t="s">
        <v>488</v>
      </c>
      <c r="C186" s="150"/>
      <c r="D186" s="110" t="s">
        <v>481</v>
      </c>
      <c r="E186" s="112" t="s">
        <v>502</v>
      </c>
      <c r="F186" s="111">
        <f>4915.94</f>
        <v>4915.9399999999996</v>
      </c>
      <c r="G186" s="43"/>
      <c r="H186" s="111">
        <f t="shared" si="129"/>
        <v>14747.82</v>
      </c>
      <c r="I186" s="111">
        <f t="shared" si="130"/>
        <v>368.69549999999998</v>
      </c>
      <c r="J186" s="111"/>
      <c r="K186" s="111">
        <f t="shared" si="131"/>
        <v>2457.9699999999998</v>
      </c>
      <c r="L186" s="111">
        <f t="shared" si="132"/>
        <v>17205.79</v>
      </c>
      <c r="M186" s="111">
        <f t="shared" si="157"/>
        <v>4915.9399999999996</v>
      </c>
      <c r="N186" s="43"/>
      <c r="O186" s="43">
        <f>20000</f>
        <v>20000</v>
      </c>
      <c r="P186" s="111">
        <f t="shared" si="151"/>
        <v>491.59399999999999</v>
      </c>
      <c r="Q186" s="111">
        <v>5000</v>
      </c>
      <c r="R186" s="111">
        <f>7000</f>
        <v>7000</v>
      </c>
      <c r="S186" s="111">
        <f t="shared" ref="S186" si="163">SUM(F186:R186)</f>
        <v>77103.749500000005</v>
      </c>
      <c r="T186" s="111">
        <v>75538.035749999995</v>
      </c>
      <c r="U186" s="111">
        <f t="shared" si="137"/>
        <v>1565.7137499999999</v>
      </c>
      <c r="V186" s="111"/>
      <c r="W186" s="111">
        <v>236.04</v>
      </c>
      <c r="X186" s="111">
        <v>236.04</v>
      </c>
      <c r="Y186" s="111">
        <f t="shared" si="138"/>
        <v>0</v>
      </c>
      <c r="Z186" s="111"/>
      <c r="AA186" s="111"/>
      <c r="AB186" s="111"/>
    </row>
    <row r="187" spans="1:28" ht="20.149999999999999" customHeight="1">
      <c r="A187" s="99"/>
      <c r="B187" s="105" t="s">
        <v>34</v>
      </c>
      <c r="D187" s="151" t="s">
        <v>1122</v>
      </c>
      <c r="E187" s="152"/>
      <c r="F187" s="142">
        <f t="shared" ref="F187:M187" si="164">SUM(F132:F186)</f>
        <v>833916.93999999901</v>
      </c>
      <c r="G187" s="142">
        <f t="shared" si="164"/>
        <v>0</v>
      </c>
      <c r="H187" s="142">
        <f t="shared" si="164"/>
        <v>2501750.8199999998</v>
      </c>
      <c r="I187" s="142">
        <f t="shared" si="164"/>
        <v>62543.770499999999</v>
      </c>
      <c r="J187" s="142">
        <f t="shared" si="164"/>
        <v>280855.33</v>
      </c>
      <c r="K187" s="142">
        <f t="shared" si="164"/>
        <v>416958.47</v>
      </c>
      <c r="L187" s="142">
        <f t="shared" si="164"/>
        <v>2918709.29</v>
      </c>
      <c r="M187" s="142">
        <f t="shared" si="164"/>
        <v>833916.93999999901</v>
      </c>
      <c r="N187" s="135"/>
      <c r="O187" s="135">
        <f>SUM(O132:O186)</f>
        <v>2300000</v>
      </c>
      <c r="P187" s="142">
        <f>SUM(P132:P186)</f>
        <v>83391.694000000003</v>
      </c>
      <c r="Q187" s="142">
        <f>SUM(Q132:Q186)</f>
        <v>505000</v>
      </c>
      <c r="R187" s="142">
        <f>SUM(R132:R186)</f>
        <v>211000</v>
      </c>
      <c r="S187" s="142">
        <f>SUM(S132:S186)</f>
        <v>10948043.2545</v>
      </c>
      <c r="T187" s="142">
        <v>10834146.823000001</v>
      </c>
      <c r="U187" s="142">
        <f>SUM(U132:U186)</f>
        <v>105835.73525</v>
      </c>
      <c r="V187" s="142"/>
      <c r="W187" s="142">
        <f t="shared" ref="W187" si="165">SUM(W132:W186)</f>
        <v>234382.48</v>
      </c>
      <c r="X187" s="142">
        <v>234382.48</v>
      </c>
      <c r="Y187" s="142">
        <f t="shared" ref="Y187" si="166">SUM(Y132:Y186)</f>
        <v>0</v>
      </c>
      <c r="Z187" s="142"/>
      <c r="AA187" s="142"/>
      <c r="AB187" s="142"/>
    </row>
    <row r="188" spans="1:28" ht="20.149999999999999" customHeight="1">
      <c r="A188" s="42"/>
      <c r="B188" s="836" t="s">
        <v>80</v>
      </c>
      <c r="C188" s="836"/>
      <c r="D188" s="154">
        <f>D39+D43+D56+D61+D76+D86+D99+D106+D117+D129+D187</f>
        <v>148</v>
      </c>
      <c r="E188" s="155"/>
      <c r="F188" s="156">
        <f t="shared" ref="F188:U188" si="167">F39+F43+F56+F61+F76+F86+F99+F106+F117+F129+F187</f>
        <v>3775265.35</v>
      </c>
      <c r="G188" s="156">
        <f t="shared" si="167"/>
        <v>0</v>
      </c>
      <c r="H188" s="156">
        <f t="shared" si="167"/>
        <v>11165307.300000001</v>
      </c>
      <c r="I188" s="156">
        <f t="shared" si="167"/>
        <v>319254.875</v>
      </c>
      <c r="J188" s="156">
        <f t="shared" si="167"/>
        <v>2311503.69</v>
      </c>
      <c r="K188" s="156">
        <f t="shared" si="167"/>
        <v>1879608.24</v>
      </c>
      <c r="L188" s="156">
        <f t="shared" si="167"/>
        <v>12651718.1</v>
      </c>
      <c r="M188" s="156">
        <f t="shared" si="167"/>
        <v>3735143.17</v>
      </c>
      <c r="N188" s="156">
        <f t="shared" si="167"/>
        <v>7680000</v>
      </c>
      <c r="O188" s="156">
        <f t="shared" si="167"/>
        <v>5010000</v>
      </c>
      <c r="P188" s="156">
        <f t="shared" si="167"/>
        <v>377526.54</v>
      </c>
      <c r="Q188" s="156">
        <f t="shared" si="167"/>
        <v>2020000</v>
      </c>
      <c r="R188" s="156" t="e">
        <f t="shared" si="167"/>
        <v>#REF!</v>
      </c>
      <c r="S188" s="156" t="e">
        <f t="shared" si="167"/>
        <v>#REF!</v>
      </c>
      <c r="T188" s="156">
        <f t="shared" si="167"/>
        <v>51639317.288800001</v>
      </c>
      <c r="U188" s="156" t="e">
        <f t="shared" si="167"/>
        <v>#REF!</v>
      </c>
      <c r="V188" s="156"/>
      <c r="W188" s="156">
        <f>W39+W43+W56+W61+W76+W86+W99+W106+W117+W129+W187</f>
        <v>1514721.3</v>
      </c>
      <c r="X188" s="156">
        <v>1514721.3</v>
      </c>
      <c r="Y188" s="156">
        <f>Y39+Y43+Y56+Y61+Y76+Y86+Y99+Y106+Y117+Y129+Y187</f>
        <v>0</v>
      </c>
      <c r="Z188" s="156"/>
      <c r="AA188" s="156"/>
      <c r="AB188" s="156"/>
    </row>
    <row r="189" spans="1:28" ht="20.149999999999999" customHeight="1">
      <c r="A189" s="42"/>
      <c r="B189" s="837"/>
      <c r="C189" s="837"/>
      <c r="D189" s="153"/>
      <c r="E189" s="157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</row>
    <row r="190" spans="1:28" ht="20.149999999999999" customHeight="1">
      <c r="A190" s="42"/>
      <c r="B190" s="837"/>
      <c r="C190" s="837"/>
      <c r="D190" s="802" t="s">
        <v>1192</v>
      </c>
      <c r="E190" s="802"/>
      <c r="F190" s="802"/>
      <c r="G190" s="802"/>
      <c r="H190" s="802"/>
      <c r="I190" s="802"/>
      <c r="J190" s="802"/>
      <c r="K190" s="838" t="s">
        <v>1216</v>
      </c>
      <c r="L190" s="838"/>
      <c r="M190" s="838"/>
      <c r="N190" s="155"/>
      <c r="O190" s="155"/>
      <c r="P190" s="838" t="s">
        <v>1217</v>
      </c>
      <c r="Q190" s="838"/>
      <c r="R190" s="838"/>
      <c r="S190" s="838"/>
      <c r="T190" s="155"/>
      <c r="U190" s="155"/>
      <c r="V190" s="155"/>
      <c r="W190" s="155"/>
      <c r="X190" s="155"/>
      <c r="Y190" s="158"/>
      <c r="Z190" s="158"/>
      <c r="AA190" s="158"/>
      <c r="AB190" s="158"/>
    </row>
    <row r="191" spans="1:28" ht="20.149999999999999" customHeight="1">
      <c r="A191" s="42"/>
      <c r="B191" s="837"/>
      <c r="C191" s="837"/>
      <c r="D191" s="802"/>
      <c r="E191" s="802"/>
      <c r="F191" s="802"/>
      <c r="G191" s="802"/>
      <c r="H191" s="802"/>
      <c r="I191" s="802"/>
      <c r="J191" s="802"/>
      <c r="K191" s="838"/>
      <c r="L191" s="838"/>
      <c r="M191" s="838"/>
      <c r="N191" s="155"/>
      <c r="O191" s="155"/>
      <c r="P191" s="838"/>
      <c r="Q191" s="838"/>
      <c r="R191" s="838"/>
      <c r="S191" s="838"/>
      <c r="T191" s="155"/>
      <c r="U191" s="155"/>
      <c r="V191" s="155"/>
      <c r="W191" s="155"/>
      <c r="X191" s="155"/>
      <c r="Y191" s="158"/>
      <c r="Z191" s="158"/>
      <c r="AA191" s="158"/>
      <c r="AB191" s="158"/>
    </row>
    <row r="192" spans="1:28" ht="20.149999999999999" customHeight="1"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</row>
    <row r="193" spans="2:28" ht="20.149999999999999" customHeight="1"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</row>
    <row r="194" spans="2:28" ht="20.149999999999999" customHeight="1"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32.453125" style="1" customWidth="1"/>
    <col min="4" max="4" width="9.1796875" style="1" customWidth="1"/>
    <col min="5" max="5" width="13.81640625" style="1" customWidth="1"/>
    <col min="6" max="6" width="14.7265625" style="1" customWidth="1"/>
    <col min="7" max="7" width="14" style="1" customWidth="1"/>
    <col min="8" max="16384" width="9.1796875" style="1"/>
  </cols>
  <sheetData>
    <row r="1" spans="1:7" ht="27" customHeight="1">
      <c r="A1" s="786" t="s">
        <v>0</v>
      </c>
      <c r="B1" s="786"/>
      <c r="C1" s="786"/>
      <c r="D1" s="786"/>
      <c r="E1" s="786"/>
    </row>
    <row r="2" spans="1:7" ht="33.75" customHeight="1">
      <c r="A2" s="62" t="s">
        <v>1218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5" t="s">
        <v>4</v>
      </c>
      <c r="E4" s="66" t="s">
        <v>134</v>
      </c>
      <c r="F4" s="66" t="s">
        <v>931</v>
      </c>
      <c r="G4" s="66" t="s">
        <v>932</v>
      </c>
    </row>
    <row r="5" spans="1:7" ht="20.149999999999999" customHeight="1">
      <c r="A5" s="8" t="s">
        <v>21</v>
      </c>
      <c r="B5" s="7" t="s">
        <v>22</v>
      </c>
      <c r="C5" s="67"/>
      <c r="D5" s="7"/>
      <c r="E5" s="68" t="s">
        <v>20</v>
      </c>
      <c r="F5" s="68" t="s">
        <v>20</v>
      </c>
      <c r="G5" s="68" t="s">
        <v>20</v>
      </c>
    </row>
    <row r="6" spans="1:7" ht="20.149999999999999" customHeight="1">
      <c r="A6" s="9">
        <v>1</v>
      </c>
      <c r="B6" s="10" t="s">
        <v>236</v>
      </c>
      <c r="C6" s="69" t="s">
        <v>237</v>
      </c>
      <c r="D6" s="11" t="s">
        <v>238</v>
      </c>
      <c r="E6" s="70">
        <v>2000000</v>
      </c>
      <c r="F6" s="71">
        <v>0</v>
      </c>
      <c r="G6" s="70">
        <v>2000000</v>
      </c>
    </row>
    <row r="7" spans="1:7" ht="20.149999999999999" customHeight="1">
      <c r="A7" s="9">
        <v>2</v>
      </c>
      <c r="B7" s="10" t="s">
        <v>1016</v>
      </c>
      <c r="C7" s="72" t="s">
        <v>1106</v>
      </c>
      <c r="D7" s="9" t="s">
        <v>231</v>
      </c>
      <c r="E7" s="70">
        <v>700000</v>
      </c>
      <c r="F7" s="71">
        <v>0</v>
      </c>
      <c r="G7" s="70">
        <v>700000</v>
      </c>
    </row>
    <row r="8" spans="1:7" ht="20.149999999999999" customHeight="1">
      <c r="A8" s="9">
        <v>3</v>
      </c>
      <c r="B8" s="13" t="s">
        <v>1107</v>
      </c>
      <c r="C8" s="72" t="s">
        <v>1108</v>
      </c>
      <c r="D8" s="9" t="s">
        <v>308</v>
      </c>
      <c r="E8" s="70">
        <f>700000/2</f>
        <v>350000</v>
      </c>
      <c r="F8" s="71">
        <v>0</v>
      </c>
      <c r="G8" s="70">
        <f t="shared" ref="G8:G9" si="0">700000/2</f>
        <v>350000</v>
      </c>
    </row>
    <row r="9" spans="1:7" ht="20.149999999999999" customHeight="1">
      <c r="A9" s="9">
        <v>4</v>
      </c>
      <c r="B9" s="10" t="s">
        <v>239</v>
      </c>
      <c r="C9" s="69" t="s">
        <v>240</v>
      </c>
      <c r="D9" s="9" t="s">
        <v>1157</v>
      </c>
      <c r="E9" s="70">
        <f>700000/2</f>
        <v>350000</v>
      </c>
      <c r="F9" s="71">
        <v>0</v>
      </c>
      <c r="G9" s="70">
        <f t="shared" si="0"/>
        <v>350000</v>
      </c>
    </row>
    <row r="10" spans="1:7" ht="20.149999999999999" customHeight="1">
      <c r="A10" s="9">
        <v>5</v>
      </c>
      <c r="B10" s="13" t="s">
        <v>241</v>
      </c>
      <c r="C10" s="72" t="s">
        <v>242</v>
      </c>
      <c r="D10" s="14" t="s">
        <v>946</v>
      </c>
      <c r="E10" s="70">
        <v>700000</v>
      </c>
      <c r="F10" s="71">
        <v>0</v>
      </c>
      <c r="G10" s="70">
        <v>700000</v>
      </c>
    </row>
    <row r="11" spans="1:7" ht="20.149999999999999" customHeight="1">
      <c r="A11" s="9">
        <v>6</v>
      </c>
      <c r="B11" s="13" t="s">
        <v>363</v>
      </c>
      <c r="C11" s="72" t="s">
        <v>1018</v>
      </c>
      <c r="D11" s="15" t="s">
        <v>946</v>
      </c>
      <c r="E11" s="70">
        <v>700000</v>
      </c>
      <c r="F11" s="71">
        <v>0</v>
      </c>
      <c r="G11" s="70">
        <v>700000</v>
      </c>
    </row>
    <row r="12" spans="1:7" ht="20.149999999999999" customHeight="1">
      <c r="A12" s="9">
        <v>7</v>
      </c>
      <c r="B12" s="10" t="s">
        <v>243</v>
      </c>
      <c r="C12" s="73" t="s">
        <v>244</v>
      </c>
      <c r="D12" s="15" t="s">
        <v>946</v>
      </c>
      <c r="E12" s="70">
        <v>700000</v>
      </c>
      <c r="F12" s="71">
        <v>0</v>
      </c>
      <c r="G12" s="70">
        <v>700000</v>
      </c>
    </row>
    <row r="13" spans="1:7" ht="20.149999999999999" customHeight="1">
      <c r="A13" s="9">
        <v>8</v>
      </c>
      <c r="B13" s="13" t="s">
        <v>245</v>
      </c>
      <c r="C13" s="72" t="s">
        <v>246</v>
      </c>
      <c r="D13" s="15" t="s">
        <v>946</v>
      </c>
      <c r="E13" s="70">
        <v>700000</v>
      </c>
      <c r="F13" s="71">
        <v>0</v>
      </c>
      <c r="G13" s="70">
        <v>700000</v>
      </c>
    </row>
    <row r="14" spans="1:7" ht="20.149999999999999" customHeight="1">
      <c r="A14" s="9">
        <v>9</v>
      </c>
      <c r="B14" s="10" t="s">
        <v>247</v>
      </c>
      <c r="C14" s="69" t="s">
        <v>248</v>
      </c>
      <c r="D14" s="14" t="s">
        <v>249</v>
      </c>
      <c r="E14" s="70">
        <v>700000</v>
      </c>
      <c r="F14" s="71">
        <v>0</v>
      </c>
      <c r="G14" s="70">
        <v>700000</v>
      </c>
    </row>
    <row r="15" spans="1:7" ht="20.149999999999999" customHeight="1">
      <c r="A15" s="9">
        <v>10</v>
      </c>
      <c r="B15" s="17" t="s">
        <v>223</v>
      </c>
      <c r="C15" s="69" t="s">
        <v>224</v>
      </c>
      <c r="D15" s="9" t="s">
        <v>952</v>
      </c>
      <c r="E15" s="70">
        <v>700000</v>
      </c>
      <c r="F15" s="71">
        <v>0</v>
      </c>
      <c r="G15" s="70">
        <v>700000</v>
      </c>
    </row>
    <row r="16" spans="1:7" ht="20.149999999999999" customHeight="1">
      <c r="A16" s="9">
        <v>11</v>
      </c>
      <c r="B16" s="18" t="s">
        <v>1109</v>
      </c>
      <c r="C16" s="72" t="s">
        <v>1110</v>
      </c>
      <c r="D16" s="15" t="s">
        <v>342</v>
      </c>
      <c r="E16" s="70">
        <v>500000</v>
      </c>
      <c r="F16" s="71">
        <v>0</v>
      </c>
      <c r="G16" s="70">
        <v>500000</v>
      </c>
    </row>
    <row r="17" spans="1:7" ht="19.5" customHeight="1">
      <c r="A17" s="9">
        <v>12</v>
      </c>
      <c r="B17" s="13" t="s">
        <v>1019</v>
      </c>
      <c r="C17" s="72" t="s">
        <v>253</v>
      </c>
      <c r="D17" s="9" t="s">
        <v>342</v>
      </c>
      <c r="E17" s="70">
        <v>500000</v>
      </c>
      <c r="F17" s="71">
        <v>0</v>
      </c>
      <c r="G17" s="70">
        <v>500000</v>
      </c>
    </row>
    <row r="18" spans="1:7" ht="19.5" customHeight="1">
      <c r="A18" s="9">
        <v>13</v>
      </c>
      <c r="B18" s="13" t="s">
        <v>1111</v>
      </c>
      <c r="C18" s="72" t="s">
        <v>1112</v>
      </c>
      <c r="D18" s="9" t="s">
        <v>342</v>
      </c>
      <c r="E18" s="70">
        <v>500000</v>
      </c>
      <c r="F18" s="71">
        <v>0</v>
      </c>
      <c r="G18" s="70">
        <v>500000</v>
      </c>
    </row>
    <row r="19" spans="1:7" ht="20.149999999999999" customHeight="1">
      <c r="A19" s="9">
        <v>14</v>
      </c>
      <c r="B19" s="10" t="s">
        <v>252</v>
      </c>
      <c r="C19" s="72" t="s">
        <v>253</v>
      </c>
      <c r="D19" s="14" t="s">
        <v>342</v>
      </c>
      <c r="E19" s="70">
        <v>500000</v>
      </c>
      <c r="F19" s="71">
        <v>0</v>
      </c>
      <c r="G19" s="70">
        <v>500000</v>
      </c>
    </row>
    <row r="20" spans="1:7" ht="20.149999999999999" customHeight="1">
      <c r="A20" s="9">
        <v>15</v>
      </c>
      <c r="B20" s="10" t="s">
        <v>264</v>
      </c>
      <c r="C20" s="69" t="s">
        <v>265</v>
      </c>
      <c r="D20" s="14" t="s">
        <v>1162</v>
      </c>
      <c r="E20" s="70">
        <v>500000</v>
      </c>
      <c r="F20" s="70">
        <v>500000</v>
      </c>
      <c r="G20" s="71">
        <v>0</v>
      </c>
    </row>
    <row r="21" spans="1:7" ht="20.149999999999999" customHeight="1">
      <c r="A21" s="9">
        <v>16</v>
      </c>
      <c r="B21" s="17" t="s">
        <v>267</v>
      </c>
      <c r="C21" s="72" t="s">
        <v>268</v>
      </c>
      <c r="D21" s="14" t="s">
        <v>1163</v>
      </c>
      <c r="E21" s="70">
        <v>500000</v>
      </c>
      <c r="F21" s="70">
        <v>500000</v>
      </c>
      <c r="G21" s="71">
        <v>0</v>
      </c>
    </row>
    <row r="22" spans="1:7" ht="20.149999999999999" customHeight="1">
      <c r="A22" s="9">
        <v>17</v>
      </c>
      <c r="B22" s="10" t="s">
        <v>389</v>
      </c>
      <c r="C22" s="69" t="s">
        <v>390</v>
      </c>
      <c r="D22" s="14" t="s">
        <v>332</v>
      </c>
      <c r="E22" s="70">
        <v>400000</v>
      </c>
      <c r="F22" s="70">
        <v>400000</v>
      </c>
      <c r="G22" s="71">
        <v>0</v>
      </c>
    </row>
    <row r="23" spans="1:7" ht="18.75" customHeight="1">
      <c r="A23" s="9">
        <v>18</v>
      </c>
      <c r="B23" s="10" t="s">
        <v>270</v>
      </c>
      <c r="C23" s="69" t="s">
        <v>50</v>
      </c>
      <c r="D23" s="14" t="s">
        <v>42</v>
      </c>
      <c r="E23" s="70">
        <v>400000</v>
      </c>
      <c r="F23" s="70">
        <v>400000</v>
      </c>
      <c r="G23" s="71">
        <v>0</v>
      </c>
    </row>
    <row r="24" spans="1:7" ht="18.75" customHeight="1">
      <c r="A24" s="9">
        <v>19</v>
      </c>
      <c r="B24" s="10" t="s">
        <v>387</v>
      </c>
      <c r="C24" s="72" t="s">
        <v>388</v>
      </c>
      <c r="D24" s="14" t="s">
        <v>42</v>
      </c>
      <c r="E24" s="70">
        <v>400000</v>
      </c>
      <c r="F24" s="70">
        <v>400000</v>
      </c>
      <c r="G24" s="71">
        <v>0</v>
      </c>
    </row>
    <row r="25" spans="1:7" ht="18.75" customHeight="1">
      <c r="A25" s="9">
        <v>20</v>
      </c>
      <c r="B25" s="17" t="s">
        <v>427</v>
      </c>
      <c r="C25" s="72" t="s">
        <v>1128</v>
      </c>
      <c r="D25" s="14" t="s">
        <v>345</v>
      </c>
      <c r="E25" s="70">
        <v>300000</v>
      </c>
      <c r="F25" s="70">
        <v>300000</v>
      </c>
      <c r="G25" s="71">
        <v>0</v>
      </c>
    </row>
    <row r="26" spans="1:7" ht="18.75" customHeight="1">
      <c r="A26" s="9">
        <v>21</v>
      </c>
      <c r="B26" s="17" t="s">
        <v>1113</v>
      </c>
      <c r="C26" s="69" t="s">
        <v>293</v>
      </c>
      <c r="D26" s="14" t="s">
        <v>301</v>
      </c>
      <c r="E26" s="70">
        <v>300000</v>
      </c>
      <c r="F26" s="70">
        <v>300000</v>
      </c>
      <c r="G26" s="71">
        <v>0</v>
      </c>
    </row>
    <row r="27" spans="1:7" ht="18.75" customHeight="1">
      <c r="A27" s="9">
        <v>22</v>
      </c>
      <c r="B27" s="3" t="s">
        <v>278</v>
      </c>
      <c r="C27" s="72" t="s">
        <v>176</v>
      </c>
      <c r="D27" s="9" t="s">
        <v>25</v>
      </c>
      <c r="E27" s="70">
        <v>300000</v>
      </c>
      <c r="F27" s="70">
        <v>300000</v>
      </c>
      <c r="G27" s="71">
        <v>0</v>
      </c>
    </row>
    <row r="28" spans="1:7" ht="18.75" customHeight="1">
      <c r="A28" s="9">
        <v>23</v>
      </c>
      <c r="B28" s="17" t="s">
        <v>280</v>
      </c>
      <c r="C28" s="69" t="s">
        <v>176</v>
      </c>
      <c r="D28" s="14" t="s">
        <v>25</v>
      </c>
      <c r="E28" s="70">
        <v>300000</v>
      </c>
      <c r="F28" s="70">
        <v>300000</v>
      </c>
      <c r="G28" s="71">
        <v>0</v>
      </c>
    </row>
    <row r="29" spans="1:7" ht="18.75" customHeight="1">
      <c r="A29" s="9">
        <v>24</v>
      </c>
      <c r="B29" s="10" t="s">
        <v>1020</v>
      </c>
      <c r="C29" s="69" t="s">
        <v>1021</v>
      </c>
      <c r="D29" s="14" t="s">
        <v>25</v>
      </c>
      <c r="E29" s="70">
        <v>300000</v>
      </c>
      <c r="F29" s="70">
        <v>300000</v>
      </c>
      <c r="G29" s="71">
        <v>0</v>
      </c>
    </row>
    <row r="30" spans="1:7" ht="18.75" customHeight="1">
      <c r="A30" s="9">
        <v>25</v>
      </c>
      <c r="B30" s="17" t="s">
        <v>282</v>
      </c>
      <c r="C30" s="69" t="s">
        <v>967</v>
      </c>
      <c r="D30" s="14" t="s">
        <v>1166</v>
      </c>
      <c r="E30" s="70">
        <v>300000</v>
      </c>
      <c r="F30" s="70">
        <v>300000</v>
      </c>
      <c r="G30" s="71">
        <v>0</v>
      </c>
    </row>
    <row r="31" spans="1:7" ht="18.75" customHeight="1">
      <c r="A31" s="9">
        <v>26</v>
      </c>
      <c r="B31" s="10" t="s">
        <v>370</v>
      </c>
      <c r="C31" s="73" t="s">
        <v>1130</v>
      </c>
      <c r="D31" s="14" t="s">
        <v>291</v>
      </c>
      <c r="E31" s="70">
        <v>300000</v>
      </c>
      <c r="F31" s="70">
        <v>300000</v>
      </c>
      <c r="G31" s="71">
        <v>0</v>
      </c>
    </row>
    <row r="32" spans="1:7" ht="18.75" customHeight="1">
      <c r="A32" s="9">
        <v>27</v>
      </c>
      <c r="B32" s="17" t="s">
        <v>284</v>
      </c>
      <c r="C32" s="72" t="s">
        <v>1022</v>
      </c>
      <c r="D32" s="9" t="s">
        <v>291</v>
      </c>
      <c r="E32" s="70">
        <v>300000</v>
      </c>
      <c r="F32" s="70">
        <v>300000</v>
      </c>
      <c r="G32" s="71">
        <v>0</v>
      </c>
    </row>
    <row r="33" spans="1:7" ht="18.75" customHeight="1">
      <c r="A33" s="9">
        <v>28</v>
      </c>
      <c r="B33" s="17" t="s">
        <v>287</v>
      </c>
      <c r="C33" s="73" t="s">
        <v>288</v>
      </c>
      <c r="D33" s="14" t="s">
        <v>25</v>
      </c>
      <c r="E33" s="70">
        <v>300000</v>
      </c>
      <c r="F33" s="70">
        <v>300000</v>
      </c>
      <c r="G33" s="71">
        <v>0</v>
      </c>
    </row>
    <row r="34" spans="1:7" ht="18.75" customHeight="1">
      <c r="A34" s="9">
        <v>29</v>
      </c>
      <c r="B34" s="17" t="s">
        <v>1219</v>
      </c>
      <c r="C34" s="73" t="s">
        <v>288</v>
      </c>
      <c r="D34" s="14" t="s">
        <v>31</v>
      </c>
      <c r="E34" s="70">
        <v>300000</v>
      </c>
      <c r="F34" s="70">
        <v>300000</v>
      </c>
      <c r="G34" s="71">
        <v>0</v>
      </c>
    </row>
    <row r="35" spans="1:7" ht="18.75" customHeight="1">
      <c r="A35" s="9">
        <v>30</v>
      </c>
      <c r="B35" s="17" t="s">
        <v>289</v>
      </c>
      <c r="C35" s="72" t="s">
        <v>1131</v>
      </c>
      <c r="D35" s="9" t="s">
        <v>31</v>
      </c>
      <c r="E35" s="70">
        <v>300000</v>
      </c>
      <c r="F35" s="70">
        <v>300000</v>
      </c>
      <c r="G35" s="71">
        <v>0</v>
      </c>
    </row>
    <row r="36" spans="1:7" ht="18.75" customHeight="1">
      <c r="A36" s="9">
        <v>31</v>
      </c>
      <c r="B36" s="17" t="s">
        <v>933</v>
      </c>
      <c r="C36" s="69" t="s">
        <v>293</v>
      </c>
      <c r="D36" s="14" t="s">
        <v>31</v>
      </c>
      <c r="E36" s="70">
        <v>300000</v>
      </c>
      <c r="F36" s="70">
        <v>300000</v>
      </c>
      <c r="G36" s="71">
        <v>0</v>
      </c>
    </row>
    <row r="37" spans="1:7" ht="18.75" customHeight="1">
      <c r="A37" s="9">
        <v>32</v>
      </c>
      <c r="B37" s="17" t="s">
        <v>1114</v>
      </c>
      <c r="C37" s="69" t="s">
        <v>293</v>
      </c>
      <c r="D37" s="14" t="s">
        <v>31</v>
      </c>
      <c r="E37" s="70">
        <v>300000</v>
      </c>
      <c r="F37" s="70">
        <v>300000</v>
      </c>
      <c r="G37" s="71">
        <v>0</v>
      </c>
    </row>
    <row r="38" spans="1:7" ht="26.25" customHeight="1">
      <c r="A38" s="9"/>
      <c r="B38" s="19" t="s">
        <v>34</v>
      </c>
      <c r="C38" s="74">
        <v>29</v>
      </c>
      <c r="D38" s="14"/>
      <c r="E38" s="75">
        <f>SUM(E6:E37)</f>
        <v>15700000</v>
      </c>
      <c r="F38" s="75">
        <f>SUM(F6:F37)</f>
        <v>6100000</v>
      </c>
      <c r="G38" s="75">
        <f t="shared" ref="G38" si="1">SUM(G6:G37)</f>
        <v>9600000</v>
      </c>
    </row>
    <row r="39" spans="1:7" ht="18.75" customHeight="1">
      <c r="A39" s="9"/>
      <c r="B39" s="21"/>
      <c r="C39" s="72"/>
      <c r="D39" s="14"/>
      <c r="E39" s="75"/>
      <c r="F39" s="70"/>
      <c r="G39" s="75"/>
    </row>
    <row r="40" spans="1:7" ht="18.75" customHeight="1">
      <c r="A40" s="9"/>
      <c r="B40" s="19" t="s">
        <v>35</v>
      </c>
      <c r="C40" s="72"/>
      <c r="D40" s="14"/>
      <c r="E40" s="70"/>
      <c r="F40" s="70"/>
      <c r="G40" s="70"/>
    </row>
    <row r="41" spans="1:7" ht="18.75" customHeight="1">
      <c r="A41" s="9">
        <v>1</v>
      </c>
      <c r="B41" s="17" t="s">
        <v>295</v>
      </c>
      <c r="C41" s="72" t="s">
        <v>296</v>
      </c>
      <c r="D41" s="9" t="s">
        <v>1168</v>
      </c>
      <c r="E41" s="70">
        <v>1000000</v>
      </c>
      <c r="F41" s="71">
        <v>0</v>
      </c>
      <c r="G41" s="70">
        <v>1000000</v>
      </c>
    </row>
    <row r="42" spans="1:7" ht="18.75" customHeight="1">
      <c r="A42" s="9">
        <v>2</v>
      </c>
      <c r="B42" s="17" t="s">
        <v>298</v>
      </c>
      <c r="C42" s="72" t="s">
        <v>537</v>
      </c>
      <c r="D42" s="9" t="s">
        <v>31</v>
      </c>
      <c r="E42" s="70">
        <v>300000</v>
      </c>
      <c r="F42" s="70">
        <v>300000</v>
      </c>
      <c r="G42" s="71">
        <v>0</v>
      </c>
    </row>
    <row r="43" spans="1:7" ht="19.5" customHeight="1">
      <c r="A43" s="9"/>
      <c r="B43" s="13"/>
      <c r="C43" s="74">
        <v>2</v>
      </c>
      <c r="D43" s="9"/>
      <c r="E43" s="75">
        <f>SUM(E41:E42)</f>
        <v>1300000</v>
      </c>
      <c r="F43" s="75">
        <f t="shared" ref="F43:G43" si="2">SUM(F41:F42)</f>
        <v>300000</v>
      </c>
      <c r="G43" s="75">
        <f t="shared" si="2"/>
        <v>1000000</v>
      </c>
    </row>
    <row r="44" spans="1:7" ht="20.149999999999999" customHeight="1">
      <c r="A44" s="9"/>
      <c r="B44" s="13"/>
      <c r="C44" s="72"/>
      <c r="D44" s="9"/>
      <c r="E44" s="70"/>
      <c r="F44" s="70"/>
      <c r="G44" s="70"/>
    </row>
    <row r="45" spans="1:7" ht="20.149999999999999" customHeight="1">
      <c r="A45" s="9"/>
      <c r="B45" s="22" t="s">
        <v>39</v>
      </c>
      <c r="C45" s="76"/>
      <c r="D45" s="23"/>
      <c r="E45" s="70"/>
      <c r="F45" s="70"/>
      <c r="G45" s="70"/>
    </row>
    <row r="46" spans="1:7" ht="20.149999999999999" customHeight="1">
      <c r="A46" s="9">
        <v>1</v>
      </c>
      <c r="B46" s="10" t="s">
        <v>302</v>
      </c>
      <c r="C46" s="72" t="s">
        <v>303</v>
      </c>
      <c r="D46" s="9" t="s">
        <v>297</v>
      </c>
      <c r="E46" s="70">
        <v>1000000</v>
      </c>
      <c r="F46" s="71">
        <v>0</v>
      </c>
      <c r="G46" s="70">
        <v>1000000</v>
      </c>
    </row>
    <row r="47" spans="1:7" ht="20.149999999999999" customHeight="1">
      <c r="A47" s="9">
        <v>2</v>
      </c>
      <c r="B47" s="10" t="s">
        <v>304</v>
      </c>
      <c r="C47" s="72" t="s">
        <v>305</v>
      </c>
      <c r="D47" s="9" t="s">
        <v>249</v>
      </c>
      <c r="E47" s="70">
        <v>700000</v>
      </c>
      <c r="F47" s="71">
        <v>0</v>
      </c>
      <c r="G47" s="70">
        <v>700000</v>
      </c>
    </row>
    <row r="48" spans="1:7" ht="20.149999999999999" customHeight="1">
      <c r="A48" s="9">
        <v>3</v>
      </c>
      <c r="B48" s="10" t="s">
        <v>306</v>
      </c>
      <c r="C48" s="72" t="s">
        <v>310</v>
      </c>
      <c r="D48" s="9" t="s">
        <v>249</v>
      </c>
      <c r="E48" s="70">
        <v>700000</v>
      </c>
      <c r="F48" s="71">
        <v>0</v>
      </c>
      <c r="G48" s="70">
        <v>700000</v>
      </c>
    </row>
    <row r="49" spans="1:7" ht="20.149999999999999" customHeight="1">
      <c r="A49" s="9">
        <v>4</v>
      </c>
      <c r="B49" s="10" t="s">
        <v>309</v>
      </c>
      <c r="C49" s="72" t="s">
        <v>310</v>
      </c>
      <c r="D49" s="9" t="s">
        <v>327</v>
      </c>
      <c r="E49" s="70">
        <v>700000</v>
      </c>
      <c r="F49" s="71">
        <v>0</v>
      </c>
      <c r="G49" s="70">
        <v>700000</v>
      </c>
    </row>
    <row r="50" spans="1:7" ht="20.149999999999999" customHeight="1">
      <c r="A50" s="9">
        <v>5</v>
      </c>
      <c r="B50" s="10" t="s">
        <v>311</v>
      </c>
      <c r="C50" s="72" t="s">
        <v>310</v>
      </c>
      <c r="D50" s="9" t="s">
        <v>228</v>
      </c>
      <c r="E50" s="70">
        <v>700000</v>
      </c>
      <c r="F50" s="71">
        <v>0</v>
      </c>
      <c r="G50" s="70">
        <v>700000</v>
      </c>
    </row>
    <row r="51" spans="1:7" ht="20.149999999999999" customHeight="1">
      <c r="A51" s="9">
        <v>6</v>
      </c>
      <c r="B51" s="10" t="s">
        <v>312</v>
      </c>
      <c r="C51" s="72" t="s">
        <v>259</v>
      </c>
      <c r="D51" s="9" t="s">
        <v>342</v>
      </c>
      <c r="E51" s="70">
        <v>500000</v>
      </c>
      <c r="F51" s="71">
        <v>0</v>
      </c>
      <c r="G51" s="70">
        <v>500000</v>
      </c>
    </row>
    <row r="52" spans="1:7" ht="20.149999999999999" customHeight="1">
      <c r="A52" s="9">
        <v>7</v>
      </c>
      <c r="B52" s="13" t="s">
        <v>313</v>
      </c>
      <c r="C52" s="72" t="s">
        <v>256</v>
      </c>
      <c r="D52" s="15" t="s">
        <v>342</v>
      </c>
      <c r="E52" s="70">
        <v>500000</v>
      </c>
      <c r="F52" s="71">
        <v>0</v>
      </c>
      <c r="G52" s="70">
        <v>500000</v>
      </c>
    </row>
    <row r="53" spans="1:7" ht="20.149999999999999" customHeight="1">
      <c r="A53" s="9">
        <v>8</v>
      </c>
      <c r="B53" s="10" t="s">
        <v>1025</v>
      </c>
      <c r="C53" s="72" t="s">
        <v>256</v>
      </c>
      <c r="D53" s="9" t="s">
        <v>260</v>
      </c>
      <c r="E53" s="70">
        <v>500000</v>
      </c>
      <c r="F53" s="71">
        <v>0</v>
      </c>
      <c r="G53" s="70">
        <v>500000</v>
      </c>
    </row>
    <row r="54" spans="1:7" ht="20.149999999999999" customHeight="1">
      <c r="A54" s="9">
        <v>9</v>
      </c>
      <c r="B54" s="10" t="s">
        <v>258</v>
      </c>
      <c r="C54" s="72" t="s">
        <v>353</v>
      </c>
      <c r="D54" s="9" t="s">
        <v>950</v>
      </c>
      <c r="E54" s="70">
        <v>500000</v>
      </c>
      <c r="F54" s="70">
        <v>500000</v>
      </c>
      <c r="G54" s="71">
        <v>0</v>
      </c>
    </row>
    <row r="55" spans="1:7" ht="20.149999999999999" customHeight="1">
      <c r="A55" s="9">
        <v>10</v>
      </c>
      <c r="B55" s="10" t="s">
        <v>315</v>
      </c>
      <c r="C55" s="72" t="s">
        <v>63</v>
      </c>
      <c r="D55" s="9" t="s">
        <v>25</v>
      </c>
      <c r="E55" s="70">
        <v>300000</v>
      </c>
      <c r="F55" s="70">
        <v>300000</v>
      </c>
      <c r="G55" s="71">
        <v>0</v>
      </c>
    </row>
    <row r="56" spans="1:7" ht="20.149999999999999" customHeight="1">
      <c r="A56" s="9">
        <v>11</v>
      </c>
      <c r="B56" s="10" t="s">
        <v>316</v>
      </c>
      <c r="C56" s="72" t="s">
        <v>63</v>
      </c>
      <c r="D56" s="9" t="s">
        <v>25</v>
      </c>
      <c r="E56" s="70">
        <v>300000</v>
      </c>
      <c r="F56" s="70">
        <v>300000</v>
      </c>
      <c r="G56" s="71">
        <v>0</v>
      </c>
    </row>
    <row r="57" spans="1:7" ht="20.149999999999999" customHeight="1">
      <c r="A57" s="9">
        <v>12</v>
      </c>
      <c r="B57" s="10" t="s">
        <v>317</v>
      </c>
      <c r="C57" s="72" t="s">
        <v>63</v>
      </c>
      <c r="D57" s="9" t="s">
        <v>25</v>
      </c>
      <c r="E57" s="70">
        <v>300000</v>
      </c>
      <c r="F57" s="70">
        <v>300000</v>
      </c>
      <c r="G57" s="71">
        <v>0</v>
      </c>
    </row>
    <row r="58" spans="1:7" ht="25.5" customHeight="1">
      <c r="A58" s="9"/>
      <c r="B58" s="19" t="s">
        <v>34</v>
      </c>
      <c r="C58" s="74">
        <v>11</v>
      </c>
      <c r="D58" s="20"/>
      <c r="E58" s="77">
        <f>SUM(E46:E57)</f>
        <v>6700000</v>
      </c>
      <c r="F58" s="77">
        <f t="shared" ref="F58:G58" si="3">SUM(F46:F57)</f>
        <v>1400000</v>
      </c>
      <c r="G58" s="77">
        <f t="shared" si="3"/>
        <v>5300000</v>
      </c>
    </row>
    <row r="59" spans="1:7" ht="20.149999999999999" customHeight="1">
      <c r="A59" s="9"/>
      <c r="B59" s="21"/>
      <c r="C59" s="74"/>
      <c r="D59" s="20"/>
      <c r="E59" s="78"/>
      <c r="F59" s="78"/>
      <c r="G59" s="78"/>
    </row>
    <row r="60" spans="1:7" ht="20.149999999999999" customHeight="1">
      <c r="A60" s="9"/>
      <c r="B60" s="19" t="s">
        <v>318</v>
      </c>
      <c r="C60" s="74"/>
      <c r="D60" s="20"/>
      <c r="E60" s="78"/>
      <c r="F60" s="78"/>
      <c r="G60" s="78"/>
    </row>
    <row r="61" spans="1:7" ht="20.149999999999999" customHeight="1">
      <c r="A61" s="9">
        <v>1</v>
      </c>
      <c r="B61" s="10" t="s">
        <v>319</v>
      </c>
      <c r="C61" s="69" t="s">
        <v>320</v>
      </c>
      <c r="D61" s="14" t="s">
        <v>297</v>
      </c>
      <c r="E61" s="70">
        <f>1000000/2</f>
        <v>500000</v>
      </c>
      <c r="F61" s="71">
        <v>0</v>
      </c>
      <c r="G61" s="70">
        <f t="shared" ref="G61" si="4">1000000/2</f>
        <v>500000</v>
      </c>
    </row>
    <row r="62" spans="1:7" ht="20.149999999999999" customHeight="1">
      <c r="A62" s="9"/>
      <c r="B62" s="19" t="s">
        <v>34</v>
      </c>
      <c r="C62" s="74">
        <v>2</v>
      </c>
      <c r="D62" s="20"/>
      <c r="E62" s="77">
        <f>SUM(E61)</f>
        <v>500000</v>
      </c>
      <c r="F62" s="79">
        <f t="shared" ref="F62:G62" si="5">SUM(F61)</f>
        <v>0</v>
      </c>
      <c r="G62" s="77">
        <f t="shared" si="5"/>
        <v>500000</v>
      </c>
    </row>
    <row r="63" spans="1:7" ht="20.149999999999999" customHeight="1">
      <c r="A63" s="9"/>
      <c r="B63" s="19"/>
      <c r="C63" s="74"/>
      <c r="D63" s="20"/>
      <c r="E63" s="78"/>
      <c r="F63" s="78"/>
      <c r="G63" s="78"/>
    </row>
    <row r="64" spans="1:7" ht="20.149999999999999" customHeight="1">
      <c r="A64" s="9"/>
      <c r="B64" s="19" t="s">
        <v>45</v>
      </c>
      <c r="C64" s="74"/>
      <c r="D64" s="20"/>
      <c r="E64" s="78"/>
      <c r="F64" s="78"/>
      <c r="G64" s="78"/>
    </row>
    <row r="65" spans="1:7" ht="20.149999999999999" customHeight="1">
      <c r="A65" s="9">
        <v>1</v>
      </c>
      <c r="B65" s="10" t="s">
        <v>323</v>
      </c>
      <c r="C65" s="73" t="s">
        <v>324</v>
      </c>
      <c r="D65" s="9" t="s">
        <v>297</v>
      </c>
      <c r="E65" s="70">
        <f>1000000/2</f>
        <v>500000</v>
      </c>
      <c r="F65" s="71">
        <v>0</v>
      </c>
      <c r="G65" s="70">
        <f t="shared" ref="G65" si="6">1000000/2</f>
        <v>500000</v>
      </c>
    </row>
    <row r="66" spans="1:7" ht="20.149999999999999" customHeight="1">
      <c r="A66" s="9">
        <v>2</v>
      </c>
      <c r="B66" s="17" t="s">
        <v>325</v>
      </c>
      <c r="C66" s="73" t="s">
        <v>326</v>
      </c>
      <c r="D66" s="14" t="s">
        <v>952</v>
      </c>
      <c r="E66" s="70">
        <f>700000/2</f>
        <v>350000</v>
      </c>
      <c r="F66" s="71">
        <v>0</v>
      </c>
      <c r="G66" s="70">
        <f t="shared" ref="G66" si="7">700000/2</f>
        <v>350000</v>
      </c>
    </row>
    <row r="67" spans="1:7" ht="20.149999999999999" customHeight="1">
      <c r="A67" s="9">
        <v>3</v>
      </c>
      <c r="B67" s="10" t="s">
        <v>328</v>
      </c>
      <c r="C67" s="72" t="s">
        <v>47</v>
      </c>
      <c r="D67" s="9" t="s">
        <v>950</v>
      </c>
      <c r="E67" s="70">
        <v>500000</v>
      </c>
      <c r="F67" s="70">
        <v>500000</v>
      </c>
      <c r="G67" s="71">
        <v>0</v>
      </c>
    </row>
    <row r="68" spans="1:7" ht="20.149999999999999" customHeight="1">
      <c r="A68" s="9">
        <v>4</v>
      </c>
      <c r="B68" s="17" t="s">
        <v>329</v>
      </c>
      <c r="C68" s="73" t="s">
        <v>47</v>
      </c>
      <c r="D68" s="14" t="s">
        <v>1162</v>
      </c>
      <c r="E68" s="70">
        <v>500000</v>
      </c>
      <c r="F68" s="70">
        <v>500000</v>
      </c>
      <c r="G68" s="71">
        <v>0</v>
      </c>
    </row>
    <row r="69" spans="1:7" ht="20.149999999999999" customHeight="1">
      <c r="A69" s="9">
        <v>5</v>
      </c>
      <c r="B69" s="13" t="s">
        <v>330</v>
      </c>
      <c r="C69" s="73" t="s">
        <v>256</v>
      </c>
      <c r="D69" s="14" t="s">
        <v>342</v>
      </c>
      <c r="E69" s="70">
        <v>500000</v>
      </c>
      <c r="F69" s="71">
        <v>0</v>
      </c>
      <c r="G69" s="70">
        <v>500000</v>
      </c>
    </row>
    <row r="70" spans="1:7" ht="20.149999999999999" customHeight="1">
      <c r="A70" s="9">
        <v>6</v>
      </c>
      <c r="B70" s="10" t="s">
        <v>331</v>
      </c>
      <c r="C70" s="72" t="s">
        <v>63</v>
      </c>
      <c r="D70" s="9" t="s">
        <v>1170</v>
      </c>
      <c r="E70" s="70">
        <v>300000</v>
      </c>
      <c r="F70" s="70">
        <v>300000</v>
      </c>
      <c r="G70" s="71">
        <v>0</v>
      </c>
    </row>
    <row r="71" spans="1:7" ht="20.149999999999999" customHeight="1">
      <c r="A71" s="9">
        <v>7</v>
      </c>
      <c r="B71" s="10" t="s">
        <v>1033</v>
      </c>
      <c r="C71" s="73" t="s">
        <v>275</v>
      </c>
      <c r="D71" s="14" t="s">
        <v>332</v>
      </c>
      <c r="E71" s="70">
        <v>400000</v>
      </c>
      <c r="F71" s="70">
        <v>400000</v>
      </c>
      <c r="G71" s="71">
        <v>0</v>
      </c>
    </row>
    <row r="72" spans="1:7" ht="20.149999999999999" customHeight="1">
      <c r="A72" s="9">
        <v>8</v>
      </c>
      <c r="B72" s="10" t="s">
        <v>333</v>
      </c>
      <c r="C72" s="73" t="s">
        <v>275</v>
      </c>
      <c r="D72" s="14" t="s">
        <v>42</v>
      </c>
      <c r="E72" s="70">
        <v>400000</v>
      </c>
      <c r="F72" s="70">
        <v>400000</v>
      </c>
      <c r="G72" s="71">
        <v>0</v>
      </c>
    </row>
    <row r="73" spans="1:7" ht="20.149999999999999" customHeight="1">
      <c r="A73" s="9">
        <v>9</v>
      </c>
      <c r="B73" s="10" t="s">
        <v>334</v>
      </c>
      <c r="C73" s="73" t="s">
        <v>275</v>
      </c>
      <c r="D73" s="14" t="s">
        <v>42</v>
      </c>
      <c r="E73" s="70">
        <v>400000</v>
      </c>
      <c r="F73" s="70">
        <v>400000</v>
      </c>
      <c r="G73" s="71">
        <v>0</v>
      </c>
    </row>
    <row r="74" spans="1:7" ht="20.149999999999999" customHeight="1">
      <c r="A74" s="9">
        <v>10</v>
      </c>
      <c r="B74" s="10" t="s">
        <v>335</v>
      </c>
      <c r="C74" s="72" t="s">
        <v>336</v>
      </c>
      <c r="D74" s="9" t="s">
        <v>42</v>
      </c>
      <c r="E74" s="70">
        <v>400000</v>
      </c>
      <c r="F74" s="70">
        <v>400000</v>
      </c>
      <c r="G74" s="71">
        <v>0</v>
      </c>
    </row>
    <row r="75" spans="1:7" ht="20.149999999999999" customHeight="1">
      <c r="A75" s="9">
        <v>11</v>
      </c>
      <c r="B75" s="10" t="s">
        <v>1115</v>
      </c>
      <c r="C75" s="73" t="s">
        <v>63</v>
      </c>
      <c r="D75" s="9" t="s">
        <v>38</v>
      </c>
      <c r="E75" s="70">
        <v>300000</v>
      </c>
      <c r="F75" s="70">
        <v>300000</v>
      </c>
      <c r="G75" s="71">
        <v>0</v>
      </c>
    </row>
    <row r="76" spans="1:7" ht="20.149999999999999" customHeight="1">
      <c r="A76" s="9">
        <v>12</v>
      </c>
      <c r="B76" s="10" t="s">
        <v>281</v>
      </c>
      <c r="C76" s="73" t="s">
        <v>273</v>
      </c>
      <c r="D76" s="9" t="s">
        <v>25</v>
      </c>
      <c r="E76" s="70">
        <v>300000</v>
      </c>
      <c r="F76" s="70">
        <v>300000</v>
      </c>
      <c r="G76" s="71">
        <v>0</v>
      </c>
    </row>
    <row r="77" spans="1:7" ht="20.149999999999999" customHeight="1">
      <c r="A77" s="9">
        <v>13</v>
      </c>
      <c r="B77" s="13" t="s">
        <v>272</v>
      </c>
      <c r="C77" s="73" t="s">
        <v>273</v>
      </c>
      <c r="D77" s="9" t="s">
        <v>31</v>
      </c>
      <c r="E77" s="70">
        <v>300000</v>
      </c>
      <c r="F77" s="70">
        <v>300000</v>
      </c>
      <c r="G77" s="71">
        <v>0</v>
      </c>
    </row>
    <row r="78" spans="1:7" ht="20.149999999999999" customHeight="1">
      <c r="A78" s="9"/>
      <c r="B78" s="19" t="s">
        <v>34</v>
      </c>
      <c r="C78" s="74">
        <v>13</v>
      </c>
      <c r="D78" s="20"/>
      <c r="E78" s="77">
        <f>SUM(E65:E77)</f>
        <v>5150000</v>
      </c>
      <c r="F78" s="77">
        <f t="shared" ref="F78:G78" si="8">SUM(F65:F77)</f>
        <v>3800000</v>
      </c>
      <c r="G78" s="77">
        <f t="shared" si="8"/>
        <v>1350000</v>
      </c>
    </row>
    <row r="79" spans="1:7" ht="20.149999999999999" customHeight="1">
      <c r="A79" s="9"/>
      <c r="B79" s="21"/>
      <c r="C79" s="74"/>
      <c r="D79" s="20"/>
      <c r="E79" s="78"/>
      <c r="F79" s="78"/>
      <c r="G79" s="78"/>
    </row>
    <row r="80" spans="1:7" ht="20.149999999999999" customHeight="1">
      <c r="A80" s="9"/>
      <c r="B80" s="19" t="s">
        <v>51</v>
      </c>
      <c r="C80" s="74"/>
      <c r="D80" s="20"/>
      <c r="E80" s="78"/>
      <c r="F80" s="78"/>
      <c r="G80" s="78"/>
    </row>
    <row r="81" spans="1:7" ht="20.149999999999999" customHeight="1">
      <c r="A81" s="9">
        <v>1</v>
      </c>
      <c r="B81" s="10" t="s">
        <v>338</v>
      </c>
      <c r="C81" s="72" t="s">
        <v>339</v>
      </c>
      <c r="D81" s="9" t="s">
        <v>297</v>
      </c>
      <c r="E81" s="70">
        <v>1000000</v>
      </c>
      <c r="F81" s="71">
        <v>0</v>
      </c>
      <c r="G81" s="70">
        <v>1000000</v>
      </c>
    </row>
    <row r="82" spans="1:7" ht="20.149999999999999" customHeight="1">
      <c r="A82" s="9">
        <v>2</v>
      </c>
      <c r="B82" s="13" t="s">
        <v>220</v>
      </c>
      <c r="C82" s="72" t="s">
        <v>221</v>
      </c>
      <c r="D82" s="14" t="s">
        <v>952</v>
      </c>
      <c r="E82" s="70">
        <v>700000</v>
      </c>
      <c r="F82" s="71">
        <v>0</v>
      </c>
      <c r="G82" s="70">
        <v>700000</v>
      </c>
    </row>
    <row r="83" spans="1:7" ht="20.149999999999999" customHeight="1">
      <c r="A83" s="9">
        <v>3</v>
      </c>
      <c r="B83" s="13" t="s">
        <v>1116</v>
      </c>
      <c r="C83" s="72" t="s">
        <v>1117</v>
      </c>
      <c r="D83" s="14" t="s">
        <v>952</v>
      </c>
      <c r="E83" s="70">
        <f>700000/2</f>
        <v>350000</v>
      </c>
      <c r="F83" s="71">
        <v>0</v>
      </c>
      <c r="G83" s="70">
        <f t="shared" ref="G83" si="9">700000/2</f>
        <v>350000</v>
      </c>
    </row>
    <row r="84" spans="1:7" ht="20.149999999999999" customHeight="1">
      <c r="A84" s="9">
        <v>4</v>
      </c>
      <c r="B84" s="10" t="s">
        <v>340</v>
      </c>
      <c r="C84" s="72" t="s">
        <v>968</v>
      </c>
      <c r="D84" s="14" t="s">
        <v>950</v>
      </c>
      <c r="E84" s="70">
        <v>500000</v>
      </c>
      <c r="F84" s="70">
        <v>500000</v>
      </c>
      <c r="G84" s="71">
        <v>0</v>
      </c>
    </row>
    <row r="85" spans="1:7" ht="20.149999999999999" customHeight="1">
      <c r="A85" s="9">
        <v>5</v>
      </c>
      <c r="B85" s="10" t="s">
        <v>343</v>
      </c>
      <c r="C85" s="72" t="s">
        <v>344</v>
      </c>
      <c r="D85" s="9" t="s">
        <v>38</v>
      </c>
      <c r="E85" s="70">
        <v>300000</v>
      </c>
      <c r="F85" s="70">
        <v>300000</v>
      </c>
      <c r="G85" s="71">
        <v>0</v>
      </c>
    </row>
    <row r="86" spans="1:7" ht="20.149999999999999" customHeight="1">
      <c r="A86" s="9"/>
      <c r="B86" s="19" t="s">
        <v>34</v>
      </c>
      <c r="C86" s="74">
        <v>5</v>
      </c>
      <c r="D86" s="20"/>
      <c r="E86" s="77">
        <f>SUM(E81:E85)</f>
        <v>2850000</v>
      </c>
      <c r="F86" s="77">
        <f>SUM(F81:F85)</f>
        <v>800000</v>
      </c>
      <c r="G86" s="77">
        <f t="shared" ref="G86" si="10">SUM(G81:G85)</f>
        <v>2050000</v>
      </c>
    </row>
    <row r="87" spans="1:7" ht="20.149999999999999" customHeight="1">
      <c r="A87" s="9"/>
      <c r="B87" s="19"/>
      <c r="C87" s="74"/>
      <c r="D87" s="20"/>
      <c r="E87" s="70"/>
      <c r="F87" s="70"/>
      <c r="G87" s="70"/>
    </row>
    <row r="88" spans="1:7" ht="20.149999999999999" customHeight="1">
      <c r="A88" s="9"/>
      <c r="B88" s="19" t="s">
        <v>56</v>
      </c>
      <c r="C88" s="80"/>
      <c r="D88" s="20"/>
      <c r="E88" s="70"/>
      <c r="F88" s="70"/>
      <c r="G88" s="70"/>
    </row>
    <row r="89" spans="1:7" ht="20.149999999999999" customHeight="1">
      <c r="A89" s="9">
        <v>1</v>
      </c>
      <c r="B89" s="10" t="s">
        <v>1173</v>
      </c>
      <c r="C89" s="72" t="s">
        <v>1134</v>
      </c>
      <c r="D89" s="9" t="s">
        <v>308</v>
      </c>
      <c r="E89" s="70">
        <v>700000</v>
      </c>
      <c r="F89" s="71">
        <v>0</v>
      </c>
      <c r="G89" s="70">
        <v>700000</v>
      </c>
    </row>
    <row r="90" spans="1:7" ht="20.149999999999999" customHeight="1">
      <c r="A90" s="9">
        <v>2</v>
      </c>
      <c r="B90" s="10" t="s">
        <v>349</v>
      </c>
      <c r="C90" s="72" t="s">
        <v>310</v>
      </c>
      <c r="D90" s="9" t="s">
        <v>249</v>
      </c>
      <c r="E90" s="70">
        <v>700000</v>
      </c>
      <c r="F90" s="71">
        <v>0</v>
      </c>
      <c r="G90" s="70">
        <v>700000</v>
      </c>
    </row>
    <row r="91" spans="1:7" ht="20.149999999999999" customHeight="1">
      <c r="A91" s="9">
        <v>3</v>
      </c>
      <c r="B91" s="10" t="s">
        <v>350</v>
      </c>
      <c r="C91" s="72" t="s">
        <v>310</v>
      </c>
      <c r="D91" s="9" t="s">
        <v>249</v>
      </c>
      <c r="E91" s="70">
        <v>700000</v>
      </c>
      <c r="F91" s="71">
        <v>0</v>
      </c>
      <c r="G91" s="70">
        <v>700000</v>
      </c>
    </row>
    <row r="92" spans="1:7" ht="20.149999999999999" customHeight="1">
      <c r="A92" s="9">
        <v>4</v>
      </c>
      <c r="B92" s="13" t="s">
        <v>386</v>
      </c>
      <c r="C92" s="72" t="s">
        <v>256</v>
      </c>
      <c r="D92" s="9" t="s">
        <v>257</v>
      </c>
      <c r="E92" s="70">
        <v>500000</v>
      </c>
      <c r="F92" s="71">
        <v>0</v>
      </c>
      <c r="G92" s="70">
        <v>500000</v>
      </c>
    </row>
    <row r="93" spans="1:7" ht="20.149999999999999" customHeight="1">
      <c r="A93" s="9">
        <v>5</v>
      </c>
      <c r="B93" s="10" t="s">
        <v>351</v>
      </c>
      <c r="C93" s="72" t="s">
        <v>259</v>
      </c>
      <c r="D93" s="9" t="s">
        <v>342</v>
      </c>
      <c r="E93" s="70">
        <v>500000</v>
      </c>
      <c r="F93" s="71">
        <v>0</v>
      </c>
      <c r="G93" s="70">
        <v>500000</v>
      </c>
    </row>
    <row r="94" spans="1:7" ht="21.65" customHeight="1">
      <c r="A94" s="9">
        <v>6</v>
      </c>
      <c r="B94" s="10" t="s">
        <v>352</v>
      </c>
      <c r="C94" s="72" t="s">
        <v>353</v>
      </c>
      <c r="D94" s="14" t="s">
        <v>950</v>
      </c>
      <c r="E94" s="70">
        <v>500000</v>
      </c>
      <c r="F94" s="70">
        <v>500000</v>
      </c>
      <c r="G94" s="71">
        <v>0</v>
      </c>
    </row>
    <row r="95" spans="1:7" ht="21.65" customHeight="1">
      <c r="A95" s="9">
        <v>7</v>
      </c>
      <c r="B95" s="10" t="s">
        <v>354</v>
      </c>
      <c r="C95" s="69" t="s">
        <v>47</v>
      </c>
      <c r="D95" s="14" t="s">
        <v>1162</v>
      </c>
      <c r="E95" s="70">
        <v>500000</v>
      </c>
      <c r="F95" s="70">
        <v>500000</v>
      </c>
      <c r="G95" s="71">
        <v>0</v>
      </c>
    </row>
    <row r="96" spans="1:7" ht="21.65" customHeight="1">
      <c r="A96" s="9">
        <v>8</v>
      </c>
      <c r="B96" s="10" t="s">
        <v>355</v>
      </c>
      <c r="C96" s="69" t="s">
        <v>47</v>
      </c>
      <c r="D96" s="14" t="s">
        <v>1162</v>
      </c>
      <c r="E96" s="70">
        <f>500000/2</f>
        <v>250000</v>
      </c>
      <c r="F96" s="70">
        <f>500000/2</f>
        <v>250000</v>
      </c>
      <c r="G96" s="71">
        <v>0</v>
      </c>
    </row>
    <row r="97" spans="1:7" ht="21.65" customHeight="1">
      <c r="A97" s="9">
        <v>9</v>
      </c>
      <c r="B97" s="10" t="s">
        <v>357</v>
      </c>
      <c r="C97" s="73" t="s">
        <v>275</v>
      </c>
      <c r="D97" s="14" t="s">
        <v>42</v>
      </c>
      <c r="E97" s="70">
        <v>400000</v>
      </c>
      <c r="F97" s="70">
        <v>400000</v>
      </c>
      <c r="G97" s="71">
        <v>0</v>
      </c>
    </row>
    <row r="98" spans="1:7" ht="21.65" customHeight="1">
      <c r="A98" s="9">
        <v>10</v>
      </c>
      <c r="B98" s="10" t="s">
        <v>359</v>
      </c>
      <c r="C98" s="72" t="s">
        <v>360</v>
      </c>
      <c r="D98" s="9" t="s">
        <v>38</v>
      </c>
      <c r="E98" s="70">
        <v>300000</v>
      </c>
      <c r="F98" s="70">
        <v>300000</v>
      </c>
      <c r="G98" s="71">
        <v>0</v>
      </c>
    </row>
    <row r="99" spans="1:7" ht="21.65" customHeight="1">
      <c r="A99" s="9">
        <v>11</v>
      </c>
      <c r="B99" s="10" t="s">
        <v>361</v>
      </c>
      <c r="C99" s="73" t="s">
        <v>362</v>
      </c>
      <c r="D99" s="14" t="s">
        <v>31</v>
      </c>
      <c r="E99" s="70">
        <v>300000</v>
      </c>
      <c r="F99" s="70">
        <v>300000</v>
      </c>
      <c r="G99" s="71">
        <v>0</v>
      </c>
    </row>
    <row r="100" spans="1:7" ht="20.149999999999999" customHeight="1">
      <c r="A100" s="9"/>
      <c r="B100" s="19" t="s">
        <v>34</v>
      </c>
      <c r="C100" s="74">
        <v>10</v>
      </c>
      <c r="D100" s="20"/>
      <c r="E100" s="77">
        <f>SUM(E89:E99)</f>
        <v>5350000</v>
      </c>
      <c r="F100" s="77">
        <f t="shared" ref="F100:G100" si="11">SUM(F89:F99)</f>
        <v>2250000</v>
      </c>
      <c r="G100" s="77">
        <f t="shared" si="11"/>
        <v>3100000</v>
      </c>
    </row>
    <row r="101" spans="1:7" ht="20.149999999999999" customHeight="1">
      <c r="A101" s="9"/>
      <c r="B101" s="21"/>
      <c r="C101" s="74"/>
      <c r="D101" s="20"/>
      <c r="E101" s="78"/>
      <c r="F101" s="78"/>
      <c r="G101" s="78"/>
    </row>
    <row r="102" spans="1:7" ht="20.149999999999999" customHeight="1">
      <c r="A102" s="9"/>
      <c r="B102" s="19" t="s">
        <v>1220</v>
      </c>
      <c r="C102" s="74"/>
      <c r="D102" s="20"/>
      <c r="E102" s="78"/>
      <c r="F102" s="78"/>
      <c r="G102" s="78"/>
    </row>
    <row r="103" spans="1:7" ht="20.149999999999999" customHeight="1">
      <c r="A103" s="9">
        <v>1</v>
      </c>
      <c r="B103" s="17" t="s">
        <v>232</v>
      </c>
      <c r="C103" s="81" t="s">
        <v>233</v>
      </c>
      <c r="D103" s="14" t="s">
        <v>308</v>
      </c>
      <c r="E103" s="70">
        <v>700000</v>
      </c>
      <c r="F103" s="71">
        <v>0</v>
      </c>
      <c r="G103" s="70">
        <v>700000</v>
      </c>
    </row>
    <row r="104" spans="1:7" ht="20.149999999999999" customHeight="1">
      <c r="A104" s="9">
        <v>2</v>
      </c>
      <c r="B104" s="10" t="s">
        <v>250</v>
      </c>
      <c r="C104" s="72" t="s">
        <v>367</v>
      </c>
      <c r="D104" s="9" t="s">
        <v>342</v>
      </c>
      <c r="E104" s="70">
        <v>500000</v>
      </c>
      <c r="F104" s="71">
        <v>0</v>
      </c>
      <c r="G104" s="70">
        <v>500000</v>
      </c>
    </row>
    <row r="105" spans="1:7" ht="20.149999999999999" customHeight="1">
      <c r="A105" s="9">
        <v>3</v>
      </c>
      <c r="B105" s="17" t="s">
        <v>1135</v>
      </c>
      <c r="C105" s="72" t="s">
        <v>1136</v>
      </c>
      <c r="D105" s="14" t="s">
        <v>1162</v>
      </c>
      <c r="E105" s="70">
        <v>500000</v>
      </c>
      <c r="F105" s="70">
        <v>500000</v>
      </c>
      <c r="G105" s="71">
        <v>0</v>
      </c>
    </row>
    <row r="106" spans="1:7" ht="20.149999999999999" customHeight="1">
      <c r="A106" s="9">
        <v>4</v>
      </c>
      <c r="B106" s="10" t="s">
        <v>368</v>
      </c>
      <c r="C106" s="72" t="s">
        <v>369</v>
      </c>
      <c r="D106" s="14" t="s">
        <v>42</v>
      </c>
      <c r="E106" s="70">
        <v>400000</v>
      </c>
      <c r="F106" s="70">
        <v>400000</v>
      </c>
      <c r="G106" s="71">
        <v>0</v>
      </c>
    </row>
    <row r="107" spans="1:7" ht="20.149999999999999" customHeight="1">
      <c r="A107" s="3"/>
      <c r="B107" s="19" t="s">
        <v>34</v>
      </c>
      <c r="C107" s="74">
        <v>4</v>
      </c>
      <c r="D107" s="25"/>
      <c r="E107" s="77">
        <f>SUM(E103:E106)</f>
        <v>2100000</v>
      </c>
      <c r="F107" s="77">
        <f t="shared" ref="F107:G107" si="12">SUM(F103:F106)</f>
        <v>900000</v>
      </c>
      <c r="G107" s="77">
        <f t="shared" si="12"/>
        <v>1200000</v>
      </c>
    </row>
    <row r="108" spans="1:7" ht="20.149999999999999" customHeight="1">
      <c r="A108" s="3"/>
      <c r="B108" s="21"/>
      <c r="C108" s="74"/>
      <c r="D108" s="25"/>
      <c r="E108" s="78"/>
      <c r="F108" s="78"/>
      <c r="G108" s="78"/>
    </row>
    <row r="109" spans="1:7" ht="20.149999999999999" customHeight="1">
      <c r="A109" s="3"/>
      <c r="B109" s="19" t="s">
        <v>372</v>
      </c>
      <c r="C109" s="72"/>
      <c r="D109" s="3"/>
      <c r="E109" s="82"/>
      <c r="F109" s="82"/>
      <c r="G109" s="82"/>
    </row>
    <row r="110" spans="1:7" ht="20.149999999999999" customHeight="1">
      <c r="A110" s="3">
        <v>1</v>
      </c>
      <c r="B110" s="10" t="s">
        <v>373</v>
      </c>
      <c r="C110" s="69" t="s">
        <v>374</v>
      </c>
      <c r="D110" s="14" t="s">
        <v>297</v>
      </c>
      <c r="E110" s="70">
        <v>1000000</v>
      </c>
      <c r="F110" s="71">
        <v>0</v>
      </c>
      <c r="G110" s="70">
        <v>1000000</v>
      </c>
    </row>
    <row r="111" spans="1:7" ht="20.149999999999999" customHeight="1">
      <c r="A111" s="3">
        <v>2</v>
      </c>
      <c r="B111" s="10" t="s">
        <v>375</v>
      </c>
      <c r="C111" s="72" t="s">
        <v>376</v>
      </c>
      <c r="D111" s="15" t="s">
        <v>946</v>
      </c>
      <c r="E111" s="70">
        <v>700000</v>
      </c>
      <c r="F111" s="71">
        <v>0</v>
      </c>
      <c r="G111" s="70">
        <v>700000</v>
      </c>
    </row>
    <row r="112" spans="1:7" ht="20.149999999999999" customHeight="1">
      <c r="A112" s="3">
        <v>3</v>
      </c>
      <c r="B112" s="10" t="s">
        <v>377</v>
      </c>
      <c r="C112" s="72" t="s">
        <v>378</v>
      </c>
      <c r="D112" s="9" t="s">
        <v>263</v>
      </c>
      <c r="E112" s="70">
        <v>500000</v>
      </c>
      <c r="F112" s="70">
        <v>500000</v>
      </c>
      <c r="G112" s="71">
        <v>0</v>
      </c>
    </row>
    <row r="113" spans="1:7" ht="20.149999999999999" customHeight="1">
      <c r="A113" s="3">
        <v>4</v>
      </c>
      <c r="B113" s="10" t="s">
        <v>379</v>
      </c>
      <c r="C113" s="72" t="s">
        <v>378</v>
      </c>
      <c r="D113" s="9" t="s">
        <v>266</v>
      </c>
      <c r="E113" s="70">
        <v>500000</v>
      </c>
      <c r="F113" s="70">
        <v>500000</v>
      </c>
      <c r="G113" s="71">
        <v>0</v>
      </c>
    </row>
    <row r="114" spans="1:7" ht="20.149999999999999" customHeight="1">
      <c r="A114" s="3">
        <v>5</v>
      </c>
      <c r="B114" s="10" t="s">
        <v>380</v>
      </c>
      <c r="C114" s="72" t="s">
        <v>381</v>
      </c>
      <c r="D114" s="14" t="s">
        <v>945</v>
      </c>
      <c r="E114" s="70">
        <v>300000</v>
      </c>
      <c r="F114" s="70">
        <v>300000</v>
      </c>
      <c r="G114" s="71">
        <v>0</v>
      </c>
    </row>
    <row r="115" spans="1:7" ht="20.149999999999999" customHeight="1">
      <c r="A115" s="3">
        <v>6</v>
      </c>
      <c r="B115" s="17" t="s">
        <v>383</v>
      </c>
      <c r="C115" s="72" t="s">
        <v>381</v>
      </c>
      <c r="D115" s="9" t="s">
        <v>291</v>
      </c>
      <c r="E115" s="70">
        <v>300000</v>
      </c>
      <c r="F115" s="70">
        <v>300000</v>
      </c>
      <c r="G115" s="71">
        <v>0</v>
      </c>
    </row>
    <row r="116" spans="1:7" ht="20.149999999999999" customHeight="1">
      <c r="A116" s="3">
        <v>7</v>
      </c>
      <c r="B116" s="17" t="s">
        <v>385</v>
      </c>
      <c r="C116" s="72" t="s">
        <v>381</v>
      </c>
      <c r="D116" s="14" t="s">
        <v>31</v>
      </c>
      <c r="E116" s="70">
        <v>300000</v>
      </c>
      <c r="F116" s="70">
        <v>300000</v>
      </c>
      <c r="G116" s="71">
        <v>0</v>
      </c>
    </row>
    <row r="117" spans="1:7" ht="20.149999999999999" customHeight="1">
      <c r="A117" s="3"/>
      <c r="B117" s="19" t="s">
        <v>34</v>
      </c>
      <c r="C117" s="74">
        <v>7</v>
      </c>
      <c r="D117" s="3"/>
      <c r="E117" s="83">
        <f>SUM(E110:E116)</f>
        <v>3600000</v>
      </c>
      <c r="F117" s="83">
        <f t="shared" ref="F117:G117" si="13">SUM(F110:F116)</f>
        <v>1900000</v>
      </c>
      <c r="G117" s="83">
        <f t="shared" si="13"/>
        <v>1700000</v>
      </c>
    </row>
    <row r="118" spans="1:7" ht="20.149999999999999" customHeight="1">
      <c r="A118" s="3"/>
      <c r="B118" s="21"/>
      <c r="C118" s="81"/>
      <c r="D118" s="3"/>
      <c r="E118" s="84"/>
      <c r="F118" s="84"/>
      <c r="G118" s="84"/>
    </row>
    <row r="119" spans="1:7" ht="20.149999999999999" customHeight="1">
      <c r="A119" s="3"/>
      <c r="B119" s="19" t="s">
        <v>67</v>
      </c>
      <c r="C119" s="74"/>
      <c r="D119" s="20"/>
      <c r="E119" s="70"/>
      <c r="F119" s="70"/>
      <c r="G119" s="70"/>
    </row>
    <row r="120" spans="1:7" ht="20.149999999999999" customHeight="1">
      <c r="A120" s="3">
        <v>1</v>
      </c>
      <c r="B120" s="10" t="s">
        <v>392</v>
      </c>
      <c r="C120" s="69" t="s">
        <v>393</v>
      </c>
      <c r="D120" s="14" t="s">
        <v>297</v>
      </c>
      <c r="E120" s="70">
        <v>1000000</v>
      </c>
      <c r="F120" s="71">
        <v>0</v>
      </c>
      <c r="G120" s="70">
        <v>1000000</v>
      </c>
    </row>
    <row r="121" spans="1:7" ht="20.149999999999999" customHeight="1">
      <c r="A121" s="3">
        <v>2</v>
      </c>
      <c r="B121" s="10" t="s">
        <v>1138</v>
      </c>
      <c r="C121" s="69" t="s">
        <v>1139</v>
      </c>
      <c r="D121" s="14" t="s">
        <v>231</v>
      </c>
      <c r="E121" s="70">
        <v>700000</v>
      </c>
      <c r="F121" s="71">
        <v>0</v>
      </c>
      <c r="G121" s="70">
        <v>700000</v>
      </c>
    </row>
    <row r="122" spans="1:7" ht="20.149999999999999" customHeight="1">
      <c r="A122" s="3">
        <v>3</v>
      </c>
      <c r="B122" s="10" t="s">
        <v>130</v>
      </c>
      <c r="C122" s="69" t="s">
        <v>227</v>
      </c>
      <c r="D122" s="14" t="s">
        <v>249</v>
      </c>
      <c r="E122" s="70">
        <v>700000</v>
      </c>
      <c r="F122" s="71">
        <v>0</v>
      </c>
      <c r="G122" s="70">
        <v>700000</v>
      </c>
    </row>
    <row r="123" spans="1:7" ht="20.149999999999999" customHeight="1">
      <c r="A123" s="3">
        <v>4</v>
      </c>
      <c r="B123" s="13" t="s">
        <v>395</v>
      </c>
      <c r="C123" s="69" t="s">
        <v>227</v>
      </c>
      <c r="D123" s="14" t="s">
        <v>249</v>
      </c>
      <c r="E123" s="70">
        <v>700000</v>
      </c>
      <c r="F123" s="71">
        <v>0</v>
      </c>
      <c r="G123" s="70">
        <v>700000</v>
      </c>
    </row>
    <row r="124" spans="1:7" ht="20.149999999999999" customHeight="1">
      <c r="A124" s="3">
        <v>5</v>
      </c>
      <c r="B124" s="13" t="s">
        <v>226</v>
      </c>
      <c r="C124" s="69" t="s">
        <v>227</v>
      </c>
      <c r="D124" s="14" t="s">
        <v>228</v>
      </c>
      <c r="E124" s="70">
        <v>700000</v>
      </c>
      <c r="F124" s="71">
        <v>0</v>
      </c>
      <c r="G124" s="70">
        <v>700000</v>
      </c>
    </row>
    <row r="125" spans="1:7" ht="20.149999999999999" customHeight="1">
      <c r="A125" s="3">
        <v>6</v>
      </c>
      <c r="B125" s="10" t="s">
        <v>396</v>
      </c>
      <c r="C125" s="69" t="s">
        <v>397</v>
      </c>
      <c r="D125" s="14" t="s">
        <v>260</v>
      </c>
      <c r="E125" s="70">
        <v>500000</v>
      </c>
      <c r="F125" s="71">
        <v>0</v>
      </c>
      <c r="G125" s="70">
        <v>500000</v>
      </c>
    </row>
    <row r="126" spans="1:7" ht="20.149999999999999" customHeight="1">
      <c r="A126" s="3">
        <v>7</v>
      </c>
      <c r="B126" s="10" t="s">
        <v>398</v>
      </c>
      <c r="C126" s="69" t="s">
        <v>399</v>
      </c>
      <c r="D126" s="14" t="s">
        <v>950</v>
      </c>
      <c r="E126" s="70">
        <v>500000</v>
      </c>
      <c r="F126" s="70">
        <v>500000</v>
      </c>
      <c r="G126" s="71">
        <v>0</v>
      </c>
    </row>
    <row r="127" spans="1:7" ht="20.149999999999999" customHeight="1">
      <c r="A127" s="3">
        <v>8</v>
      </c>
      <c r="B127" s="10" t="s">
        <v>400</v>
      </c>
      <c r="C127" s="69" t="s">
        <v>970</v>
      </c>
      <c r="D127" s="14" t="s">
        <v>950</v>
      </c>
      <c r="E127" s="70">
        <v>500000</v>
      </c>
      <c r="F127" s="70">
        <v>500000</v>
      </c>
      <c r="G127" s="71">
        <v>0</v>
      </c>
    </row>
    <row r="128" spans="1:7" ht="20.149999999999999" customHeight="1">
      <c r="A128" s="3">
        <v>9</v>
      </c>
      <c r="B128" s="17" t="s">
        <v>1140</v>
      </c>
      <c r="C128" s="69" t="s">
        <v>1141</v>
      </c>
      <c r="D128" s="14" t="s">
        <v>951</v>
      </c>
      <c r="E128" s="70">
        <v>500000</v>
      </c>
      <c r="F128" s="70">
        <v>500000</v>
      </c>
      <c r="G128" s="71">
        <v>0</v>
      </c>
    </row>
    <row r="129" spans="1:7" ht="20.149999999999999" customHeight="1">
      <c r="A129" s="3">
        <v>10</v>
      </c>
      <c r="B129" s="10" t="s">
        <v>401</v>
      </c>
      <c r="C129" s="69" t="s">
        <v>402</v>
      </c>
      <c r="D129" s="9" t="s">
        <v>25</v>
      </c>
      <c r="E129" s="70">
        <v>300000</v>
      </c>
      <c r="F129" s="70">
        <v>300000</v>
      </c>
      <c r="G129" s="71">
        <v>0</v>
      </c>
    </row>
    <row r="130" spans="1:7" ht="20.149999999999999" customHeight="1">
      <c r="A130" s="3">
        <v>11</v>
      </c>
      <c r="B130" s="17" t="s">
        <v>403</v>
      </c>
      <c r="C130" s="69" t="s">
        <v>404</v>
      </c>
      <c r="D130" s="14" t="s">
        <v>31</v>
      </c>
      <c r="E130" s="70">
        <v>300000</v>
      </c>
      <c r="F130" s="70">
        <v>300000</v>
      </c>
      <c r="G130" s="71">
        <v>0</v>
      </c>
    </row>
    <row r="131" spans="1:7" ht="20.149999999999999" customHeight="1">
      <c r="A131" s="3"/>
      <c r="B131" s="19" t="s">
        <v>34</v>
      </c>
      <c r="C131" s="85" t="s">
        <v>1142</v>
      </c>
      <c r="D131" s="14"/>
      <c r="E131" s="77">
        <f>SUM(E120:E130)</f>
        <v>6400000</v>
      </c>
      <c r="F131" s="77">
        <f t="shared" ref="F131:G131" si="14">SUM(F120:F130)</f>
        <v>2100000</v>
      </c>
      <c r="G131" s="77">
        <f t="shared" si="14"/>
        <v>4300000</v>
      </c>
    </row>
    <row r="132" spans="1:7" ht="20.149999999999999" customHeight="1">
      <c r="A132" s="3"/>
      <c r="B132" s="21"/>
      <c r="C132" s="85"/>
      <c r="D132" s="14"/>
      <c r="E132" s="78"/>
      <c r="F132" s="78"/>
      <c r="G132" s="78"/>
    </row>
    <row r="133" spans="1:7" ht="20.149999999999999" customHeight="1">
      <c r="A133" s="3"/>
      <c r="B133" s="19" t="s">
        <v>71</v>
      </c>
      <c r="C133" s="69"/>
      <c r="D133" s="14"/>
      <c r="E133" s="70"/>
      <c r="F133" s="70"/>
      <c r="G133" s="70"/>
    </row>
    <row r="134" spans="1:7" ht="20.149999999999999" customHeight="1">
      <c r="A134" s="26">
        <v>1</v>
      </c>
      <c r="B134" s="10" t="s">
        <v>407</v>
      </c>
      <c r="C134" s="69" t="s">
        <v>1221</v>
      </c>
      <c r="D134" s="14" t="s">
        <v>297</v>
      </c>
      <c r="E134" s="70">
        <f>1000000/2</f>
        <v>500000</v>
      </c>
      <c r="F134" s="71">
        <v>0</v>
      </c>
      <c r="G134" s="70">
        <f t="shared" ref="G134" si="15">1000000/2</f>
        <v>500000</v>
      </c>
    </row>
    <row r="135" spans="1:7" ht="20.149999999999999" customHeight="1">
      <c r="A135" s="26">
        <v>2</v>
      </c>
      <c r="B135" s="10" t="s">
        <v>229</v>
      </c>
      <c r="C135" s="69" t="s">
        <v>230</v>
      </c>
      <c r="D135" s="14" t="s">
        <v>231</v>
      </c>
      <c r="E135" s="70">
        <f>700000/2</f>
        <v>350000</v>
      </c>
      <c r="F135" s="71">
        <v>0</v>
      </c>
      <c r="G135" s="70">
        <f t="shared" ref="G135" si="16">700000/2</f>
        <v>350000</v>
      </c>
    </row>
    <row r="136" spans="1:7" ht="20.149999999999999" customHeight="1">
      <c r="A136" s="26">
        <v>3</v>
      </c>
      <c r="B136" s="13" t="s">
        <v>409</v>
      </c>
      <c r="C136" s="72" t="s">
        <v>410</v>
      </c>
      <c r="D136" s="15" t="s">
        <v>946</v>
      </c>
      <c r="E136" s="70">
        <v>700000</v>
      </c>
      <c r="F136" s="71">
        <v>0</v>
      </c>
      <c r="G136" s="70">
        <v>700000</v>
      </c>
    </row>
    <row r="137" spans="1:7" ht="20.149999999999999" customHeight="1">
      <c r="A137" s="26">
        <v>4</v>
      </c>
      <c r="B137" s="10" t="s">
        <v>411</v>
      </c>
      <c r="C137" s="69" t="s">
        <v>412</v>
      </c>
      <c r="D137" s="14" t="s">
        <v>342</v>
      </c>
      <c r="E137" s="70">
        <v>500000</v>
      </c>
      <c r="F137" s="71">
        <v>0</v>
      </c>
      <c r="G137" s="70">
        <v>500000</v>
      </c>
    </row>
    <row r="138" spans="1:7" ht="20.149999999999999" customHeight="1">
      <c r="A138" s="26">
        <v>5</v>
      </c>
      <c r="B138" s="10" t="s">
        <v>413</v>
      </c>
      <c r="C138" s="72" t="s">
        <v>414</v>
      </c>
      <c r="D138" s="14" t="s">
        <v>342</v>
      </c>
      <c r="E138" s="70">
        <v>500000</v>
      </c>
      <c r="F138" s="71">
        <v>0</v>
      </c>
      <c r="G138" s="70">
        <v>500000</v>
      </c>
    </row>
    <row r="139" spans="1:7" ht="20.149999999999999" customHeight="1">
      <c r="A139" s="26">
        <v>6</v>
      </c>
      <c r="B139" s="10" t="s">
        <v>366</v>
      </c>
      <c r="C139" s="72" t="s">
        <v>420</v>
      </c>
      <c r="D139" s="14" t="s">
        <v>950</v>
      </c>
      <c r="E139" s="70">
        <v>500000</v>
      </c>
      <c r="F139" s="70">
        <v>500000</v>
      </c>
      <c r="G139" s="71">
        <v>0</v>
      </c>
    </row>
    <row r="140" spans="1:7" ht="20.149999999999999" customHeight="1">
      <c r="A140" s="26">
        <v>7</v>
      </c>
      <c r="B140" s="10" t="s">
        <v>416</v>
      </c>
      <c r="C140" s="69" t="s">
        <v>417</v>
      </c>
      <c r="D140" s="14" t="s">
        <v>332</v>
      </c>
      <c r="E140" s="70">
        <v>400000</v>
      </c>
      <c r="F140" s="70">
        <v>400000</v>
      </c>
      <c r="G140" s="71">
        <v>0</v>
      </c>
    </row>
    <row r="141" spans="1:7" ht="20.149999999999999" customHeight="1">
      <c r="A141" s="26">
        <v>8</v>
      </c>
      <c r="B141" s="10" t="s">
        <v>418</v>
      </c>
      <c r="C141" s="69" t="s">
        <v>417</v>
      </c>
      <c r="D141" s="14" t="s">
        <v>332</v>
      </c>
      <c r="E141" s="70">
        <v>400000</v>
      </c>
      <c r="F141" s="70">
        <v>400000</v>
      </c>
      <c r="G141" s="71">
        <v>0</v>
      </c>
    </row>
    <row r="142" spans="1:7" ht="20.149999999999999" customHeight="1">
      <c r="A142" s="26">
        <v>9</v>
      </c>
      <c r="B142" s="10" t="s">
        <v>419</v>
      </c>
      <c r="C142" s="72" t="s">
        <v>420</v>
      </c>
      <c r="D142" s="14" t="s">
        <v>332</v>
      </c>
      <c r="E142" s="70">
        <v>400000</v>
      </c>
      <c r="F142" s="70">
        <v>400000</v>
      </c>
      <c r="G142" s="71">
        <v>0</v>
      </c>
    </row>
    <row r="143" spans="1:7" ht="20.149999999999999" customHeight="1">
      <c r="A143" s="26">
        <v>10</v>
      </c>
      <c r="B143" s="10" t="s">
        <v>421</v>
      </c>
      <c r="C143" s="69" t="s">
        <v>426</v>
      </c>
      <c r="D143" s="14" t="s">
        <v>42</v>
      </c>
      <c r="E143" s="70">
        <v>400000</v>
      </c>
      <c r="F143" s="70">
        <v>400000</v>
      </c>
      <c r="G143" s="71">
        <v>0</v>
      </c>
    </row>
    <row r="144" spans="1:7" ht="20.149999999999999" customHeight="1">
      <c r="A144" s="26">
        <v>11</v>
      </c>
      <c r="B144" s="10" t="s">
        <v>423</v>
      </c>
      <c r="C144" s="69" t="s">
        <v>971</v>
      </c>
      <c r="D144" s="14" t="s">
        <v>345</v>
      </c>
      <c r="E144" s="70">
        <v>300000</v>
      </c>
      <c r="F144" s="70">
        <v>300000</v>
      </c>
      <c r="G144" s="71">
        <v>0</v>
      </c>
    </row>
    <row r="145" spans="1:7" ht="20.149999999999999" customHeight="1">
      <c r="A145" s="26">
        <v>12</v>
      </c>
      <c r="B145" s="10" t="s">
        <v>425</v>
      </c>
      <c r="C145" s="69" t="s">
        <v>426</v>
      </c>
      <c r="D145" s="14" t="s">
        <v>42</v>
      </c>
      <c r="E145" s="70">
        <v>400000</v>
      </c>
      <c r="F145" s="70">
        <v>400000</v>
      </c>
      <c r="G145" s="71">
        <v>0</v>
      </c>
    </row>
    <row r="146" spans="1:7" ht="20.149999999999999" customHeight="1">
      <c r="A146" s="26">
        <v>13</v>
      </c>
      <c r="B146" s="10" t="s">
        <v>429</v>
      </c>
      <c r="C146" s="72" t="s">
        <v>430</v>
      </c>
      <c r="D146" s="14" t="s">
        <v>301</v>
      </c>
      <c r="E146" s="70">
        <v>300000</v>
      </c>
      <c r="F146" s="70">
        <v>300000</v>
      </c>
      <c r="G146" s="71">
        <v>0</v>
      </c>
    </row>
    <row r="147" spans="1:7" ht="20.149999999999999" customHeight="1">
      <c r="A147" s="26">
        <v>14</v>
      </c>
      <c r="B147" s="10" t="s">
        <v>431</v>
      </c>
      <c r="C147" s="72" t="s">
        <v>430</v>
      </c>
      <c r="D147" s="14" t="s">
        <v>301</v>
      </c>
      <c r="E147" s="70">
        <v>300000</v>
      </c>
      <c r="F147" s="70">
        <v>300000</v>
      </c>
      <c r="G147" s="71">
        <v>0</v>
      </c>
    </row>
    <row r="148" spans="1:7" ht="20.149999999999999" customHeight="1">
      <c r="A148" s="26">
        <v>15</v>
      </c>
      <c r="B148" s="10" t="s">
        <v>433</v>
      </c>
      <c r="C148" s="72" t="s">
        <v>430</v>
      </c>
      <c r="D148" s="14" t="s">
        <v>301</v>
      </c>
      <c r="E148" s="70">
        <v>300000</v>
      </c>
      <c r="F148" s="70">
        <v>300000</v>
      </c>
      <c r="G148" s="71">
        <v>0</v>
      </c>
    </row>
    <row r="149" spans="1:7" ht="20.149999999999999" customHeight="1">
      <c r="A149" s="26">
        <v>16</v>
      </c>
      <c r="B149" s="10" t="s">
        <v>434</v>
      </c>
      <c r="C149" s="69" t="s">
        <v>435</v>
      </c>
      <c r="D149" s="14" t="s">
        <v>38</v>
      </c>
      <c r="E149" s="70">
        <v>300000</v>
      </c>
      <c r="F149" s="70">
        <v>300000</v>
      </c>
      <c r="G149" s="71">
        <v>0</v>
      </c>
    </row>
    <row r="150" spans="1:7" ht="20.149999999999999" customHeight="1">
      <c r="A150" s="26">
        <v>17</v>
      </c>
      <c r="B150" s="10" t="s">
        <v>953</v>
      </c>
      <c r="C150" s="69" t="s">
        <v>437</v>
      </c>
      <c r="D150" s="9" t="s">
        <v>25</v>
      </c>
      <c r="E150" s="70">
        <v>300000</v>
      </c>
      <c r="F150" s="70">
        <v>300000</v>
      </c>
      <c r="G150" s="71">
        <v>0</v>
      </c>
    </row>
    <row r="151" spans="1:7" ht="20.149999999999999" customHeight="1">
      <c r="A151" s="26">
        <v>18</v>
      </c>
      <c r="B151" s="10" t="s">
        <v>438</v>
      </c>
      <c r="C151" s="69" t="s">
        <v>439</v>
      </c>
      <c r="D151" s="14" t="s">
        <v>38</v>
      </c>
      <c r="E151" s="70">
        <v>300000</v>
      </c>
      <c r="F151" s="70">
        <v>300000</v>
      </c>
      <c r="G151" s="71">
        <v>0</v>
      </c>
    </row>
    <row r="152" spans="1:7" ht="20.149999999999999" customHeight="1">
      <c r="A152" s="26">
        <v>19</v>
      </c>
      <c r="B152" s="10" t="s">
        <v>440</v>
      </c>
      <c r="C152" s="69" t="s">
        <v>441</v>
      </c>
      <c r="D152" s="14" t="s">
        <v>25</v>
      </c>
      <c r="E152" s="70">
        <v>300000</v>
      </c>
      <c r="F152" s="70">
        <v>300000</v>
      </c>
      <c r="G152" s="71">
        <v>0</v>
      </c>
    </row>
    <row r="153" spans="1:7" ht="20.149999999999999" customHeight="1">
      <c r="A153" s="26">
        <v>20</v>
      </c>
      <c r="B153" s="10" t="s">
        <v>442</v>
      </c>
      <c r="C153" s="69" t="s">
        <v>443</v>
      </c>
      <c r="D153" s="14" t="s">
        <v>38</v>
      </c>
      <c r="E153" s="70">
        <v>300000</v>
      </c>
      <c r="F153" s="70">
        <v>300000</v>
      </c>
      <c r="G153" s="71">
        <v>0</v>
      </c>
    </row>
    <row r="154" spans="1:7" ht="20.149999999999999" customHeight="1">
      <c r="A154" s="26">
        <v>21</v>
      </c>
      <c r="B154" s="10" t="s">
        <v>444</v>
      </c>
      <c r="C154" s="69" t="s">
        <v>445</v>
      </c>
      <c r="D154" s="14" t="s">
        <v>25</v>
      </c>
      <c r="E154" s="70">
        <v>300000</v>
      </c>
      <c r="F154" s="70">
        <v>300000</v>
      </c>
      <c r="G154" s="71">
        <v>0</v>
      </c>
    </row>
    <row r="155" spans="1:7" ht="20.149999999999999" customHeight="1">
      <c r="A155" s="26">
        <v>22</v>
      </c>
      <c r="B155" s="17" t="s">
        <v>446</v>
      </c>
      <c r="C155" s="69" t="s">
        <v>451</v>
      </c>
      <c r="D155" s="14" t="s">
        <v>1166</v>
      </c>
      <c r="E155" s="70">
        <v>300000</v>
      </c>
      <c r="F155" s="70">
        <v>300000</v>
      </c>
      <c r="G155" s="71">
        <v>0</v>
      </c>
    </row>
    <row r="156" spans="1:7" ht="20.149999999999999" customHeight="1">
      <c r="A156" s="26">
        <v>23</v>
      </c>
      <c r="B156" s="17" t="s">
        <v>1143</v>
      </c>
      <c r="C156" s="69" t="s">
        <v>449</v>
      </c>
      <c r="D156" s="14" t="s">
        <v>31</v>
      </c>
      <c r="E156" s="70">
        <v>300000</v>
      </c>
      <c r="F156" s="70">
        <v>300000</v>
      </c>
      <c r="G156" s="71">
        <v>0</v>
      </c>
    </row>
    <row r="157" spans="1:7" ht="20.149999999999999" customHeight="1">
      <c r="A157" s="26">
        <v>24</v>
      </c>
      <c r="B157" s="17" t="s">
        <v>448</v>
      </c>
      <c r="C157" s="69" t="s">
        <v>449</v>
      </c>
      <c r="D157" s="14" t="s">
        <v>31</v>
      </c>
      <c r="E157" s="70">
        <v>300000</v>
      </c>
      <c r="F157" s="70">
        <v>300000</v>
      </c>
      <c r="G157" s="71">
        <v>0</v>
      </c>
    </row>
    <row r="158" spans="1:7" ht="20.149999999999999" customHeight="1">
      <c r="A158" s="26">
        <v>25</v>
      </c>
      <c r="B158" s="17" t="s">
        <v>450</v>
      </c>
      <c r="C158" s="69" t="s">
        <v>451</v>
      </c>
      <c r="D158" s="14" t="s">
        <v>31</v>
      </c>
      <c r="E158" s="70">
        <v>300000</v>
      </c>
      <c r="F158" s="70">
        <v>300000</v>
      </c>
      <c r="G158" s="71">
        <v>0</v>
      </c>
    </row>
    <row r="159" spans="1:7" ht="20.149999999999999" customHeight="1">
      <c r="A159" s="26">
        <v>26</v>
      </c>
      <c r="B159" s="17" t="s">
        <v>452</v>
      </c>
      <c r="C159" s="69" t="s">
        <v>453</v>
      </c>
      <c r="D159" s="14" t="s">
        <v>31</v>
      </c>
      <c r="E159" s="70">
        <v>300000</v>
      </c>
      <c r="F159" s="70">
        <v>300000</v>
      </c>
      <c r="G159" s="71">
        <v>0</v>
      </c>
    </row>
    <row r="160" spans="1:7" ht="20.149999999999999" customHeight="1">
      <c r="A160" s="26">
        <v>27</v>
      </c>
      <c r="B160" s="17" t="s">
        <v>454</v>
      </c>
      <c r="C160" s="69" t="s">
        <v>455</v>
      </c>
      <c r="D160" s="14" t="s">
        <v>31</v>
      </c>
      <c r="E160" s="70">
        <v>300000</v>
      </c>
      <c r="F160" s="70">
        <v>300000</v>
      </c>
      <c r="G160" s="71">
        <v>0</v>
      </c>
    </row>
    <row r="161" spans="1:7" ht="20.149999999999999" customHeight="1">
      <c r="A161" s="26">
        <v>28</v>
      </c>
      <c r="B161" s="10" t="s">
        <v>457</v>
      </c>
      <c r="C161" s="69" t="s">
        <v>458</v>
      </c>
      <c r="D161" s="14" t="s">
        <v>476</v>
      </c>
      <c r="E161" s="70">
        <v>100000</v>
      </c>
      <c r="F161" s="70">
        <v>100000</v>
      </c>
      <c r="G161" s="71">
        <v>0</v>
      </c>
    </row>
    <row r="162" spans="1:7" ht="20.149999999999999" customHeight="1">
      <c r="A162" s="26">
        <v>29</v>
      </c>
      <c r="B162" s="10" t="s">
        <v>460</v>
      </c>
      <c r="C162" s="69" t="s">
        <v>458</v>
      </c>
      <c r="D162" s="14" t="s">
        <v>476</v>
      </c>
      <c r="E162" s="70">
        <v>100000</v>
      </c>
      <c r="F162" s="70">
        <v>100000</v>
      </c>
      <c r="G162" s="71">
        <v>0</v>
      </c>
    </row>
    <row r="163" spans="1:7" ht="20.149999999999999" customHeight="1">
      <c r="A163" s="26">
        <v>30</v>
      </c>
      <c r="B163" s="10" t="s">
        <v>461</v>
      </c>
      <c r="C163" s="69" t="s">
        <v>458</v>
      </c>
      <c r="D163" s="14" t="s">
        <v>476</v>
      </c>
      <c r="E163" s="70">
        <v>100000</v>
      </c>
      <c r="F163" s="70">
        <v>100000</v>
      </c>
      <c r="G163" s="71">
        <v>0</v>
      </c>
    </row>
    <row r="164" spans="1:7" ht="20.149999999999999" customHeight="1">
      <c r="A164" s="26">
        <v>31</v>
      </c>
      <c r="B164" s="10" t="s">
        <v>664</v>
      </c>
      <c r="C164" s="69" t="s">
        <v>458</v>
      </c>
      <c r="D164" s="14" t="s">
        <v>476</v>
      </c>
      <c r="E164" s="70">
        <v>100000</v>
      </c>
      <c r="F164" s="70">
        <v>100000</v>
      </c>
      <c r="G164" s="71">
        <v>0</v>
      </c>
    </row>
    <row r="165" spans="1:7" ht="20.149999999999999" customHeight="1">
      <c r="A165" s="26">
        <v>32</v>
      </c>
      <c r="B165" s="10" t="s">
        <v>662</v>
      </c>
      <c r="C165" s="69" t="s">
        <v>458</v>
      </c>
      <c r="D165" s="14" t="s">
        <v>476</v>
      </c>
      <c r="E165" s="70">
        <v>100000</v>
      </c>
      <c r="F165" s="70">
        <v>100000</v>
      </c>
      <c r="G165" s="71">
        <v>0</v>
      </c>
    </row>
    <row r="166" spans="1:7" ht="20.149999999999999" customHeight="1">
      <c r="A166" s="26">
        <v>33</v>
      </c>
      <c r="B166" s="10" t="s">
        <v>462</v>
      </c>
      <c r="C166" s="69" t="s">
        <v>458</v>
      </c>
      <c r="D166" s="14" t="s">
        <v>476</v>
      </c>
      <c r="E166" s="70">
        <v>100000</v>
      </c>
      <c r="F166" s="70">
        <v>100000</v>
      </c>
      <c r="G166" s="71">
        <v>0</v>
      </c>
    </row>
    <row r="167" spans="1:7" ht="20.149999999999999" customHeight="1">
      <c r="A167" s="26">
        <v>34</v>
      </c>
      <c r="B167" s="10" t="s">
        <v>463</v>
      </c>
      <c r="C167" s="69" t="s">
        <v>458</v>
      </c>
      <c r="D167" s="14" t="s">
        <v>476</v>
      </c>
      <c r="E167" s="70">
        <v>100000</v>
      </c>
      <c r="F167" s="70">
        <v>100000</v>
      </c>
      <c r="G167" s="71">
        <v>0</v>
      </c>
    </row>
    <row r="168" spans="1:7" ht="20.149999999999999" customHeight="1">
      <c r="A168" s="26">
        <v>35</v>
      </c>
      <c r="B168" s="10" t="s">
        <v>464</v>
      </c>
      <c r="C168" s="69" t="s">
        <v>458</v>
      </c>
      <c r="D168" s="14" t="s">
        <v>473</v>
      </c>
      <c r="E168" s="70">
        <v>100000</v>
      </c>
      <c r="F168" s="70">
        <v>100000</v>
      </c>
      <c r="G168" s="71">
        <v>0</v>
      </c>
    </row>
    <row r="169" spans="1:7" ht="20.149999999999999" customHeight="1">
      <c r="A169" s="26">
        <v>36</v>
      </c>
      <c r="B169" s="10" t="s">
        <v>466</v>
      </c>
      <c r="C169" s="69" t="s">
        <v>458</v>
      </c>
      <c r="D169" s="14" t="s">
        <v>473</v>
      </c>
      <c r="E169" s="70">
        <v>100000</v>
      </c>
      <c r="F169" s="70">
        <v>100000</v>
      </c>
      <c r="G169" s="71">
        <v>0</v>
      </c>
    </row>
    <row r="170" spans="1:7" ht="20.149999999999999" customHeight="1">
      <c r="A170" s="26">
        <v>37</v>
      </c>
      <c r="B170" s="10" t="s">
        <v>1121</v>
      </c>
      <c r="C170" s="69" t="s">
        <v>458</v>
      </c>
      <c r="D170" s="14" t="s">
        <v>473</v>
      </c>
      <c r="E170" s="70">
        <v>100000</v>
      </c>
      <c r="F170" s="70">
        <v>100000</v>
      </c>
      <c r="G170" s="71">
        <v>0</v>
      </c>
    </row>
    <row r="171" spans="1:7" ht="20.149999999999999" customHeight="1">
      <c r="A171" s="26">
        <v>38</v>
      </c>
      <c r="B171" s="13" t="s">
        <v>467</v>
      </c>
      <c r="C171" s="69" t="s">
        <v>458</v>
      </c>
      <c r="D171" s="14" t="s">
        <v>473</v>
      </c>
      <c r="E171" s="70">
        <v>100000</v>
      </c>
      <c r="F171" s="70">
        <v>100000</v>
      </c>
      <c r="G171" s="71">
        <v>0</v>
      </c>
    </row>
    <row r="172" spans="1:7" ht="20.149999999999999" customHeight="1">
      <c r="A172" s="26">
        <v>39</v>
      </c>
      <c r="B172" s="10" t="s">
        <v>468</v>
      </c>
      <c r="C172" s="69" t="s">
        <v>458</v>
      </c>
      <c r="D172" s="14" t="s">
        <v>473</v>
      </c>
      <c r="E172" s="70">
        <v>100000</v>
      </c>
      <c r="F172" s="70">
        <v>100000</v>
      </c>
      <c r="G172" s="71">
        <v>0</v>
      </c>
    </row>
    <row r="173" spans="1:7" ht="20.149999999999999" customHeight="1">
      <c r="A173" s="26">
        <v>40</v>
      </c>
      <c r="B173" s="17" t="s">
        <v>469</v>
      </c>
      <c r="C173" s="69" t="s">
        <v>458</v>
      </c>
      <c r="D173" s="14" t="s">
        <v>473</v>
      </c>
      <c r="E173" s="70">
        <v>100000</v>
      </c>
      <c r="F173" s="70">
        <v>100000</v>
      </c>
      <c r="G173" s="71">
        <v>0</v>
      </c>
    </row>
    <row r="174" spans="1:7" ht="20.149999999999999" customHeight="1">
      <c r="A174" s="26">
        <v>41</v>
      </c>
      <c r="B174" s="17" t="s">
        <v>470</v>
      </c>
      <c r="C174" s="69" t="s">
        <v>458</v>
      </c>
      <c r="D174" s="14" t="s">
        <v>473</v>
      </c>
      <c r="E174" s="70">
        <v>100000</v>
      </c>
      <c r="F174" s="70">
        <v>100000</v>
      </c>
      <c r="G174" s="71">
        <v>0</v>
      </c>
    </row>
    <row r="175" spans="1:7" ht="20.149999999999999" customHeight="1">
      <c r="A175" s="26">
        <v>42</v>
      </c>
      <c r="B175" s="10" t="s">
        <v>471</v>
      </c>
      <c r="C175" s="69" t="s">
        <v>478</v>
      </c>
      <c r="D175" s="14" t="s">
        <v>954</v>
      </c>
      <c r="E175" s="70">
        <v>100000</v>
      </c>
      <c r="F175" s="70">
        <v>100000</v>
      </c>
      <c r="G175" s="71">
        <v>0</v>
      </c>
    </row>
    <row r="176" spans="1:7" ht="20.149999999999999" customHeight="1">
      <c r="A176" s="26">
        <v>43</v>
      </c>
      <c r="B176" s="10" t="s">
        <v>474</v>
      </c>
      <c r="C176" s="69" t="s">
        <v>478</v>
      </c>
      <c r="D176" s="14" t="s">
        <v>954</v>
      </c>
      <c r="E176" s="70">
        <v>100000</v>
      </c>
      <c r="F176" s="70">
        <v>100000</v>
      </c>
      <c r="G176" s="71">
        <v>0</v>
      </c>
    </row>
    <row r="177" spans="1:7" ht="20.149999999999999" customHeight="1">
      <c r="A177" s="26">
        <v>44</v>
      </c>
      <c r="B177" s="17" t="s">
        <v>475</v>
      </c>
      <c r="C177" s="69" t="s">
        <v>478</v>
      </c>
      <c r="D177" s="14" t="s">
        <v>479</v>
      </c>
      <c r="E177" s="70">
        <v>100000</v>
      </c>
      <c r="F177" s="70">
        <v>100000</v>
      </c>
      <c r="G177" s="71">
        <v>0</v>
      </c>
    </row>
    <row r="178" spans="1:7" ht="20.149999999999999" customHeight="1">
      <c r="A178" s="26">
        <v>45</v>
      </c>
      <c r="B178" s="10" t="s">
        <v>477</v>
      </c>
      <c r="C178" s="69" t="s">
        <v>478</v>
      </c>
      <c r="D178" s="14" t="s">
        <v>492</v>
      </c>
      <c r="E178" s="70">
        <v>100000</v>
      </c>
      <c r="F178" s="70">
        <v>100000</v>
      </c>
      <c r="G178" s="71">
        <v>0</v>
      </c>
    </row>
    <row r="179" spans="1:7" ht="20.149999999999999" customHeight="1">
      <c r="A179" s="26">
        <v>46</v>
      </c>
      <c r="B179" s="10" t="s">
        <v>480</v>
      </c>
      <c r="C179" s="69" t="s">
        <v>481</v>
      </c>
      <c r="D179" s="14" t="s">
        <v>1190</v>
      </c>
      <c r="E179" s="70">
        <v>100000</v>
      </c>
      <c r="F179" s="70">
        <v>100000</v>
      </c>
      <c r="G179" s="71">
        <v>0</v>
      </c>
    </row>
    <row r="180" spans="1:7" ht="20.149999999999999" customHeight="1">
      <c r="A180" s="26">
        <v>47</v>
      </c>
      <c r="B180" s="10" t="s">
        <v>483</v>
      </c>
      <c r="C180" s="69" t="s">
        <v>481</v>
      </c>
      <c r="D180" s="14" t="s">
        <v>1190</v>
      </c>
      <c r="E180" s="70">
        <v>100000</v>
      </c>
      <c r="F180" s="70">
        <v>100000</v>
      </c>
      <c r="G180" s="71">
        <v>0</v>
      </c>
    </row>
    <row r="181" spans="1:7" ht="20.149999999999999" customHeight="1">
      <c r="A181" s="26">
        <v>48</v>
      </c>
      <c r="B181" s="10" t="s">
        <v>484</v>
      </c>
      <c r="C181" s="69" t="s">
        <v>481</v>
      </c>
      <c r="D181" s="14" t="s">
        <v>1190</v>
      </c>
      <c r="E181" s="70">
        <v>100000</v>
      </c>
      <c r="F181" s="70">
        <v>100000</v>
      </c>
      <c r="G181" s="71">
        <v>0</v>
      </c>
    </row>
    <row r="182" spans="1:7" ht="20.149999999999999" customHeight="1">
      <c r="A182" s="26">
        <v>49</v>
      </c>
      <c r="B182" s="10" t="s">
        <v>485</v>
      </c>
      <c r="C182" s="69" t="s">
        <v>481</v>
      </c>
      <c r="D182" s="14" t="s">
        <v>1190</v>
      </c>
      <c r="E182" s="70">
        <v>100000</v>
      </c>
      <c r="F182" s="70">
        <v>100000</v>
      </c>
      <c r="G182" s="71">
        <v>0</v>
      </c>
    </row>
    <row r="183" spans="1:7" ht="20.149999999999999" customHeight="1">
      <c r="A183" s="26">
        <v>50</v>
      </c>
      <c r="B183" s="10" t="s">
        <v>486</v>
      </c>
      <c r="C183" s="69" t="s">
        <v>481</v>
      </c>
      <c r="D183" s="14" t="s">
        <v>1190</v>
      </c>
      <c r="E183" s="70">
        <v>100000</v>
      </c>
      <c r="F183" s="70">
        <v>100000</v>
      </c>
      <c r="G183" s="71">
        <v>0</v>
      </c>
    </row>
    <row r="184" spans="1:7" ht="20.149999999999999" customHeight="1">
      <c r="A184" s="26">
        <v>51</v>
      </c>
      <c r="B184" s="17" t="s">
        <v>487</v>
      </c>
      <c r="C184" s="69" t="s">
        <v>481</v>
      </c>
      <c r="D184" s="14" t="s">
        <v>502</v>
      </c>
      <c r="E184" s="70">
        <v>100000</v>
      </c>
      <c r="F184" s="70">
        <v>100000</v>
      </c>
      <c r="G184" s="71">
        <v>0</v>
      </c>
    </row>
    <row r="185" spans="1:7" ht="20.149999999999999" customHeight="1">
      <c r="A185" s="26">
        <v>52</v>
      </c>
      <c r="B185" s="17" t="s">
        <v>488</v>
      </c>
      <c r="C185" s="69" t="s">
        <v>481</v>
      </c>
      <c r="D185" s="14" t="s">
        <v>502</v>
      </c>
      <c r="E185" s="70">
        <v>100000</v>
      </c>
      <c r="F185" s="70">
        <v>100000</v>
      </c>
      <c r="G185" s="71">
        <v>0</v>
      </c>
    </row>
    <row r="186" spans="1:7" ht="20.149999999999999" customHeight="1">
      <c r="A186" s="26">
        <v>53</v>
      </c>
      <c r="B186" s="10" t="s">
        <v>489</v>
      </c>
      <c r="C186" s="69" t="s">
        <v>478</v>
      </c>
      <c r="D186" s="14" t="s">
        <v>502</v>
      </c>
      <c r="E186" s="70">
        <v>100000</v>
      </c>
      <c r="F186" s="70">
        <v>100000</v>
      </c>
      <c r="G186" s="71">
        <v>0</v>
      </c>
    </row>
    <row r="187" spans="1:7" ht="20.149999999999999" customHeight="1">
      <c r="A187" s="26">
        <v>54</v>
      </c>
      <c r="B187" s="10" t="s">
        <v>490</v>
      </c>
      <c r="C187" s="69" t="s">
        <v>478</v>
      </c>
      <c r="D187" s="14" t="s">
        <v>502</v>
      </c>
      <c r="E187" s="70">
        <v>100000</v>
      </c>
      <c r="F187" s="70">
        <v>100000</v>
      </c>
      <c r="G187" s="71">
        <v>0</v>
      </c>
    </row>
    <row r="188" spans="1:7" ht="20.149999999999999" customHeight="1">
      <c r="A188" s="26">
        <v>55</v>
      </c>
      <c r="B188" s="17" t="s">
        <v>491</v>
      </c>
      <c r="C188" s="69" t="s">
        <v>481</v>
      </c>
      <c r="D188" s="14" t="s">
        <v>494</v>
      </c>
      <c r="E188" s="70">
        <v>100000</v>
      </c>
      <c r="F188" s="70">
        <v>100000</v>
      </c>
      <c r="G188" s="71">
        <v>0</v>
      </c>
    </row>
    <row r="189" spans="1:7" ht="20.149999999999999" customHeight="1">
      <c r="A189" s="26">
        <v>56</v>
      </c>
      <c r="B189" s="17" t="s">
        <v>493</v>
      </c>
      <c r="C189" s="69" t="s">
        <v>481</v>
      </c>
      <c r="D189" s="14" t="s">
        <v>497</v>
      </c>
      <c r="E189" s="70">
        <v>100000</v>
      </c>
      <c r="F189" s="70">
        <v>100000</v>
      </c>
      <c r="G189" s="71">
        <v>0</v>
      </c>
    </row>
    <row r="190" spans="1:7" ht="20.149999999999999" customHeight="1">
      <c r="A190" s="26"/>
      <c r="B190" s="7" t="s">
        <v>34</v>
      </c>
      <c r="C190" s="86" t="s">
        <v>1222</v>
      </c>
      <c r="D190" s="28"/>
      <c r="E190" s="77">
        <f>SUM(E134:E189)</f>
        <v>12750000</v>
      </c>
      <c r="F190" s="77">
        <f t="shared" ref="F190:G190" si="17">SUM(F134:F189)</f>
        <v>10200000</v>
      </c>
      <c r="G190" s="77">
        <f t="shared" si="17"/>
        <v>2550000</v>
      </c>
    </row>
    <row r="191" spans="1:7" ht="20.149999999999999" customHeight="1">
      <c r="A191" s="3"/>
      <c r="B191" s="29" t="s">
        <v>80</v>
      </c>
      <c r="C191" s="87">
        <f>C38+C43+C58+C62+C78+C86+C100+C107+C117+C131+C190+2</f>
        <v>152</v>
      </c>
      <c r="D191" s="31"/>
      <c r="E191" s="88">
        <f>E190+E131+E117+E107+E100+E86+E78+E62+E58+E43+E38</f>
        <v>62400000</v>
      </c>
      <c r="F191" s="88">
        <f>F190+F131+F117+F107+F100+F86+F78+F62+F58+F43+F38</f>
        <v>29750000</v>
      </c>
      <c r="G191" s="88">
        <f t="shared" ref="G191" si="18">G190+G131+G117+G107+G100+G86+G78+G62+G58+G43+G38</f>
        <v>32650000</v>
      </c>
    </row>
    <row r="192" spans="1:7" ht="20.149999999999999" customHeight="1">
      <c r="A192" s="2"/>
      <c r="B192" s="32"/>
      <c r="C192" s="32"/>
      <c r="D192" s="33"/>
      <c r="E192" s="89"/>
      <c r="F192" s="90"/>
      <c r="G192" s="90"/>
    </row>
    <row r="193" spans="1:5" ht="28.5" customHeight="1">
      <c r="A193" s="2"/>
      <c r="B193" s="32"/>
      <c r="C193" s="32"/>
      <c r="D193" s="33"/>
      <c r="E193" s="9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796875" defaultRowHeight="20.149999999999999" customHeight="1"/>
  <cols>
    <col min="1" max="1" width="5.453125" style="1" customWidth="1"/>
    <col min="2" max="2" width="43.81640625" style="1" customWidth="1"/>
    <col min="3" max="3" width="32.453125" style="1" customWidth="1"/>
    <col min="4" max="4" width="9.1796875" style="1" customWidth="1"/>
    <col min="5" max="5" width="13.81640625" style="1" customWidth="1"/>
    <col min="6" max="6" width="14.7265625" style="1" customWidth="1"/>
    <col min="7" max="7" width="14" style="1" customWidth="1"/>
    <col min="8" max="16384" width="9.1796875" style="1"/>
  </cols>
  <sheetData>
    <row r="1" spans="1:7" ht="27" customHeight="1">
      <c r="A1" s="786" t="s">
        <v>0</v>
      </c>
      <c r="B1" s="786"/>
      <c r="C1" s="786"/>
      <c r="D1" s="786"/>
      <c r="E1" s="786"/>
    </row>
    <row r="2" spans="1:7" ht="33.75" customHeight="1">
      <c r="A2" s="62" t="s">
        <v>1218</v>
      </c>
      <c r="B2" s="63"/>
      <c r="C2" s="63"/>
      <c r="D2" s="62"/>
      <c r="E2" s="64"/>
    </row>
    <row r="3" spans="1:7" ht="9.75" customHeight="1">
      <c r="A3" s="2"/>
      <c r="B3" s="2"/>
      <c r="C3" s="2"/>
      <c r="D3" s="2"/>
    </row>
    <row r="4" spans="1:7" ht="61.5" customHeight="1">
      <c r="A4" s="3"/>
      <c r="B4" s="4" t="s">
        <v>2</v>
      </c>
      <c r="C4" s="5" t="s">
        <v>3</v>
      </c>
      <c r="D4" s="65" t="s">
        <v>4</v>
      </c>
      <c r="E4" s="66" t="s">
        <v>134</v>
      </c>
      <c r="F4" s="66" t="s">
        <v>931</v>
      </c>
      <c r="G4" s="66" t="s">
        <v>932</v>
      </c>
    </row>
    <row r="5" spans="1:7" ht="20.149999999999999" customHeight="1">
      <c r="A5" s="8" t="s">
        <v>21</v>
      </c>
      <c r="B5" s="7" t="s">
        <v>22</v>
      </c>
      <c r="C5" s="67"/>
      <c r="D5" s="7"/>
      <c r="E5" s="68" t="s">
        <v>20</v>
      </c>
      <c r="F5" s="68" t="s">
        <v>20</v>
      </c>
      <c r="G5" s="68" t="s">
        <v>20</v>
      </c>
    </row>
    <row r="6" spans="1:7" ht="20.149999999999999" customHeight="1">
      <c r="A6" s="9">
        <v>1</v>
      </c>
      <c r="B6" s="10" t="s">
        <v>236</v>
      </c>
      <c r="C6" s="69" t="s">
        <v>237</v>
      </c>
      <c r="D6" s="11" t="s">
        <v>238</v>
      </c>
      <c r="E6" s="70">
        <v>2000000</v>
      </c>
      <c r="F6" s="71">
        <v>0</v>
      </c>
      <c r="G6" s="70">
        <v>2000000</v>
      </c>
    </row>
    <row r="7" spans="1:7" ht="20.149999999999999" customHeight="1">
      <c r="A7" s="9">
        <v>2</v>
      </c>
      <c r="B7" s="10" t="s">
        <v>1016</v>
      </c>
      <c r="C7" s="72" t="s">
        <v>1106</v>
      </c>
      <c r="D7" s="9" t="s">
        <v>231</v>
      </c>
      <c r="E7" s="70">
        <v>700000</v>
      </c>
      <c r="F7" s="71">
        <v>0</v>
      </c>
      <c r="G7" s="70">
        <v>700000</v>
      </c>
    </row>
    <row r="8" spans="1:7" ht="20.149999999999999" customHeight="1">
      <c r="A8" s="9">
        <v>3</v>
      </c>
      <c r="B8" s="13" t="s">
        <v>1107</v>
      </c>
      <c r="C8" s="72" t="s">
        <v>1108</v>
      </c>
      <c r="D8" s="9" t="s">
        <v>308</v>
      </c>
      <c r="E8" s="70">
        <f>700000/2</f>
        <v>350000</v>
      </c>
      <c r="F8" s="71">
        <v>0</v>
      </c>
      <c r="G8" s="70">
        <f t="shared" ref="G8:G9" si="0">700000/2</f>
        <v>350000</v>
      </c>
    </row>
    <row r="9" spans="1:7" ht="20.149999999999999" customHeight="1">
      <c r="A9" s="9">
        <v>4</v>
      </c>
      <c r="B9" s="10" t="s">
        <v>239</v>
      </c>
      <c r="C9" s="69" t="s">
        <v>240</v>
      </c>
      <c r="D9" s="9" t="s">
        <v>1157</v>
      </c>
      <c r="E9" s="70">
        <f>700000/2</f>
        <v>350000</v>
      </c>
      <c r="F9" s="71">
        <v>0</v>
      </c>
      <c r="G9" s="70">
        <f t="shared" si="0"/>
        <v>350000</v>
      </c>
    </row>
    <row r="10" spans="1:7" ht="20.149999999999999" customHeight="1">
      <c r="A10" s="9">
        <v>5</v>
      </c>
      <c r="B10" s="13" t="s">
        <v>241</v>
      </c>
      <c r="C10" s="72" t="s">
        <v>242</v>
      </c>
      <c r="D10" s="14" t="s">
        <v>946</v>
      </c>
      <c r="E10" s="70">
        <v>700000</v>
      </c>
      <c r="F10" s="71">
        <v>0</v>
      </c>
      <c r="G10" s="70">
        <v>700000</v>
      </c>
    </row>
    <row r="11" spans="1:7" ht="20.149999999999999" customHeight="1">
      <c r="A11" s="9">
        <v>6</v>
      </c>
      <c r="B11" s="13" t="s">
        <v>363</v>
      </c>
      <c r="C11" s="72" t="s">
        <v>1018</v>
      </c>
      <c r="D11" s="15" t="s">
        <v>946</v>
      </c>
      <c r="E11" s="70">
        <v>700000</v>
      </c>
      <c r="F11" s="71">
        <v>0</v>
      </c>
      <c r="G11" s="70">
        <v>700000</v>
      </c>
    </row>
    <row r="12" spans="1:7" ht="20.149999999999999" customHeight="1">
      <c r="A12" s="9">
        <v>7</v>
      </c>
      <c r="B12" s="10" t="s">
        <v>243</v>
      </c>
      <c r="C12" s="73" t="s">
        <v>244</v>
      </c>
      <c r="D12" s="15" t="s">
        <v>946</v>
      </c>
      <c r="E12" s="70">
        <v>700000</v>
      </c>
      <c r="F12" s="71">
        <v>0</v>
      </c>
      <c r="G12" s="70">
        <v>700000</v>
      </c>
    </row>
    <row r="13" spans="1:7" ht="20.149999999999999" customHeight="1">
      <c r="A13" s="9">
        <v>8</v>
      </c>
      <c r="B13" s="13" t="s">
        <v>245</v>
      </c>
      <c r="C13" s="72" t="s">
        <v>246</v>
      </c>
      <c r="D13" s="15" t="s">
        <v>946</v>
      </c>
      <c r="E13" s="70">
        <v>700000</v>
      </c>
      <c r="F13" s="71">
        <v>0</v>
      </c>
      <c r="G13" s="70">
        <v>700000</v>
      </c>
    </row>
    <row r="14" spans="1:7" ht="20.149999999999999" customHeight="1">
      <c r="A14" s="9">
        <v>9</v>
      </c>
      <c r="B14" s="10" t="s">
        <v>247</v>
      </c>
      <c r="C14" s="69" t="s">
        <v>248</v>
      </c>
      <c r="D14" s="14" t="s">
        <v>249</v>
      </c>
      <c r="E14" s="70">
        <v>700000</v>
      </c>
      <c r="F14" s="71">
        <v>0</v>
      </c>
      <c r="G14" s="70">
        <v>700000</v>
      </c>
    </row>
    <row r="15" spans="1:7" ht="20.149999999999999" customHeight="1">
      <c r="A15" s="9">
        <v>10</v>
      </c>
      <c r="B15" s="17" t="s">
        <v>223</v>
      </c>
      <c r="C15" s="69" t="s">
        <v>224</v>
      </c>
      <c r="D15" s="9" t="s">
        <v>952</v>
      </c>
      <c r="E15" s="70">
        <v>700000</v>
      </c>
      <c r="F15" s="71">
        <v>0</v>
      </c>
      <c r="G15" s="70">
        <v>700000</v>
      </c>
    </row>
    <row r="16" spans="1:7" ht="20.149999999999999" customHeight="1">
      <c r="A16" s="9">
        <v>11</v>
      </c>
      <c r="B16" s="18" t="s">
        <v>1109</v>
      </c>
      <c r="C16" s="72" t="s">
        <v>1110</v>
      </c>
      <c r="D16" s="15" t="s">
        <v>342</v>
      </c>
      <c r="E16" s="70">
        <v>500000</v>
      </c>
      <c r="F16" s="71">
        <v>0</v>
      </c>
      <c r="G16" s="70">
        <v>500000</v>
      </c>
    </row>
    <row r="17" spans="1:7" ht="19.5" customHeight="1">
      <c r="A17" s="9">
        <v>12</v>
      </c>
      <c r="B17" s="13" t="s">
        <v>1019</v>
      </c>
      <c r="C17" s="72" t="s">
        <v>253</v>
      </c>
      <c r="D17" s="9" t="s">
        <v>342</v>
      </c>
      <c r="E17" s="70">
        <v>500000</v>
      </c>
      <c r="F17" s="71">
        <v>0</v>
      </c>
      <c r="G17" s="70">
        <v>500000</v>
      </c>
    </row>
    <row r="18" spans="1:7" ht="19.5" customHeight="1">
      <c r="A18" s="9">
        <v>13</v>
      </c>
      <c r="B18" s="13" t="s">
        <v>1111</v>
      </c>
      <c r="C18" s="72" t="s">
        <v>1112</v>
      </c>
      <c r="D18" s="9" t="s">
        <v>342</v>
      </c>
      <c r="E18" s="70">
        <v>500000</v>
      </c>
      <c r="F18" s="71">
        <v>0</v>
      </c>
      <c r="G18" s="70">
        <v>500000</v>
      </c>
    </row>
    <row r="19" spans="1:7" ht="20.149999999999999" customHeight="1">
      <c r="A19" s="9">
        <v>14</v>
      </c>
      <c r="B19" s="10" t="s">
        <v>252</v>
      </c>
      <c r="C19" s="72" t="s">
        <v>253</v>
      </c>
      <c r="D19" s="14" t="s">
        <v>342</v>
      </c>
      <c r="E19" s="70">
        <v>500000</v>
      </c>
      <c r="F19" s="71">
        <v>0</v>
      </c>
      <c r="G19" s="70">
        <v>500000</v>
      </c>
    </row>
    <row r="20" spans="1:7" ht="20.149999999999999" customHeight="1">
      <c r="A20" s="9">
        <v>15</v>
      </c>
      <c r="B20" s="10" t="s">
        <v>264</v>
      </c>
      <c r="C20" s="69" t="s">
        <v>265</v>
      </c>
      <c r="D20" s="14" t="s">
        <v>1162</v>
      </c>
      <c r="E20" s="70">
        <v>500000</v>
      </c>
      <c r="F20" s="70">
        <v>500000</v>
      </c>
      <c r="G20" s="71">
        <v>0</v>
      </c>
    </row>
    <row r="21" spans="1:7" ht="20.149999999999999" customHeight="1">
      <c r="A21" s="9">
        <v>16</v>
      </c>
      <c r="B21" s="17" t="s">
        <v>267</v>
      </c>
      <c r="C21" s="72" t="s">
        <v>268</v>
      </c>
      <c r="D21" s="14" t="s">
        <v>1163</v>
      </c>
      <c r="E21" s="70">
        <v>500000</v>
      </c>
      <c r="F21" s="70">
        <v>500000</v>
      </c>
      <c r="G21" s="71">
        <v>0</v>
      </c>
    </row>
    <row r="22" spans="1:7" ht="20.149999999999999" customHeight="1">
      <c r="A22" s="9">
        <v>17</v>
      </c>
      <c r="B22" s="10" t="s">
        <v>389</v>
      </c>
      <c r="C22" s="69" t="s">
        <v>390</v>
      </c>
      <c r="D22" s="14" t="s">
        <v>332</v>
      </c>
      <c r="E22" s="70">
        <v>400000</v>
      </c>
      <c r="F22" s="70">
        <v>400000</v>
      </c>
      <c r="G22" s="71">
        <v>0</v>
      </c>
    </row>
    <row r="23" spans="1:7" ht="18.75" customHeight="1">
      <c r="A23" s="9">
        <v>18</v>
      </c>
      <c r="B23" s="10" t="s">
        <v>270</v>
      </c>
      <c r="C23" s="69" t="s">
        <v>50</v>
      </c>
      <c r="D23" s="14" t="s">
        <v>42</v>
      </c>
      <c r="E23" s="70">
        <v>400000</v>
      </c>
      <c r="F23" s="70">
        <v>400000</v>
      </c>
      <c r="G23" s="71">
        <v>0</v>
      </c>
    </row>
    <row r="24" spans="1:7" ht="18.75" customHeight="1">
      <c r="A24" s="9">
        <v>19</v>
      </c>
      <c r="B24" s="10" t="s">
        <v>387</v>
      </c>
      <c r="C24" s="72" t="s">
        <v>388</v>
      </c>
      <c r="D24" s="14" t="s">
        <v>42</v>
      </c>
      <c r="E24" s="70">
        <v>400000</v>
      </c>
      <c r="F24" s="70">
        <v>400000</v>
      </c>
      <c r="G24" s="71">
        <v>0</v>
      </c>
    </row>
    <row r="25" spans="1:7" ht="18.75" customHeight="1">
      <c r="A25" s="9">
        <v>20</v>
      </c>
      <c r="B25" s="17" t="s">
        <v>427</v>
      </c>
      <c r="C25" s="72" t="s">
        <v>1128</v>
      </c>
      <c r="D25" s="14" t="s">
        <v>345</v>
      </c>
      <c r="E25" s="70">
        <v>300000</v>
      </c>
      <c r="F25" s="70">
        <v>300000</v>
      </c>
      <c r="G25" s="71">
        <v>0</v>
      </c>
    </row>
    <row r="26" spans="1:7" ht="18.75" customHeight="1">
      <c r="A26" s="9">
        <v>21</v>
      </c>
      <c r="B26" s="17" t="s">
        <v>1113</v>
      </c>
      <c r="C26" s="69" t="s">
        <v>293</v>
      </c>
      <c r="D26" s="14" t="s">
        <v>301</v>
      </c>
      <c r="E26" s="70">
        <v>300000</v>
      </c>
      <c r="F26" s="70">
        <v>300000</v>
      </c>
      <c r="G26" s="71">
        <v>0</v>
      </c>
    </row>
    <row r="27" spans="1:7" ht="18.75" customHeight="1">
      <c r="A27" s="9">
        <v>22</v>
      </c>
      <c r="B27" s="3" t="s">
        <v>278</v>
      </c>
      <c r="C27" s="72" t="s">
        <v>176</v>
      </c>
      <c r="D27" s="9" t="s">
        <v>25</v>
      </c>
      <c r="E27" s="70">
        <v>300000</v>
      </c>
      <c r="F27" s="70">
        <v>300000</v>
      </c>
      <c r="G27" s="71">
        <v>0</v>
      </c>
    </row>
    <row r="28" spans="1:7" ht="18.75" customHeight="1">
      <c r="A28" s="9">
        <v>23</v>
      </c>
      <c r="B28" s="17" t="s">
        <v>280</v>
      </c>
      <c r="C28" s="69" t="s">
        <v>176</v>
      </c>
      <c r="D28" s="14" t="s">
        <v>25</v>
      </c>
      <c r="E28" s="70">
        <v>300000</v>
      </c>
      <c r="F28" s="70">
        <v>300000</v>
      </c>
      <c r="G28" s="71">
        <v>0</v>
      </c>
    </row>
    <row r="29" spans="1:7" ht="18.75" customHeight="1">
      <c r="A29" s="9">
        <v>24</v>
      </c>
      <c r="B29" s="10" t="s">
        <v>1020</v>
      </c>
      <c r="C29" s="69" t="s">
        <v>1021</v>
      </c>
      <c r="D29" s="14" t="s">
        <v>25</v>
      </c>
      <c r="E29" s="70">
        <v>300000</v>
      </c>
      <c r="F29" s="70">
        <v>300000</v>
      </c>
      <c r="G29" s="71">
        <v>0</v>
      </c>
    </row>
    <row r="30" spans="1:7" ht="18.75" customHeight="1">
      <c r="A30" s="9">
        <v>25</v>
      </c>
      <c r="B30" s="17" t="s">
        <v>282</v>
      </c>
      <c r="C30" s="69" t="s">
        <v>967</v>
      </c>
      <c r="D30" s="14" t="s">
        <v>1166</v>
      </c>
      <c r="E30" s="70">
        <v>300000</v>
      </c>
      <c r="F30" s="70">
        <v>300000</v>
      </c>
      <c r="G30" s="71">
        <v>0</v>
      </c>
    </row>
    <row r="31" spans="1:7" ht="18.75" customHeight="1">
      <c r="A31" s="9">
        <v>26</v>
      </c>
      <c r="B31" s="10" t="s">
        <v>370</v>
      </c>
      <c r="C31" s="73" t="s">
        <v>1130</v>
      </c>
      <c r="D31" s="14" t="s">
        <v>291</v>
      </c>
      <c r="E31" s="70">
        <v>300000</v>
      </c>
      <c r="F31" s="70">
        <v>300000</v>
      </c>
      <c r="G31" s="71">
        <v>0</v>
      </c>
    </row>
    <row r="32" spans="1:7" ht="18.75" customHeight="1">
      <c r="A32" s="9">
        <v>27</v>
      </c>
      <c r="B32" s="17" t="s">
        <v>284</v>
      </c>
      <c r="C32" s="72" t="s">
        <v>1022</v>
      </c>
      <c r="D32" s="9" t="s">
        <v>291</v>
      </c>
      <c r="E32" s="70">
        <v>300000</v>
      </c>
      <c r="F32" s="70">
        <v>300000</v>
      </c>
      <c r="G32" s="71">
        <v>0</v>
      </c>
    </row>
    <row r="33" spans="1:7" ht="18.75" customHeight="1">
      <c r="A33" s="9">
        <v>28</v>
      </c>
      <c r="B33" s="17" t="s">
        <v>287</v>
      </c>
      <c r="C33" s="73" t="s">
        <v>288</v>
      </c>
      <c r="D33" s="14" t="s">
        <v>25</v>
      </c>
      <c r="E33" s="70">
        <v>300000</v>
      </c>
      <c r="F33" s="70">
        <v>300000</v>
      </c>
      <c r="G33" s="71">
        <v>0</v>
      </c>
    </row>
    <row r="34" spans="1:7" ht="18.75" customHeight="1">
      <c r="A34" s="9">
        <v>29</v>
      </c>
      <c r="B34" s="17" t="s">
        <v>1219</v>
      </c>
      <c r="C34" s="73" t="s">
        <v>288</v>
      </c>
      <c r="D34" s="14" t="s">
        <v>31</v>
      </c>
      <c r="E34" s="70">
        <v>300000</v>
      </c>
      <c r="F34" s="70">
        <v>300000</v>
      </c>
      <c r="G34" s="71">
        <v>0</v>
      </c>
    </row>
    <row r="35" spans="1:7" ht="18.75" customHeight="1">
      <c r="A35" s="9">
        <v>30</v>
      </c>
      <c r="B35" s="17" t="s">
        <v>289</v>
      </c>
      <c r="C35" s="72" t="s">
        <v>1131</v>
      </c>
      <c r="D35" s="9" t="s">
        <v>31</v>
      </c>
      <c r="E35" s="70">
        <v>300000</v>
      </c>
      <c r="F35" s="70">
        <v>300000</v>
      </c>
      <c r="G35" s="71">
        <v>0</v>
      </c>
    </row>
    <row r="36" spans="1:7" ht="18.75" customHeight="1">
      <c r="A36" s="9">
        <v>31</v>
      </c>
      <c r="B36" s="17" t="s">
        <v>933</v>
      </c>
      <c r="C36" s="69" t="s">
        <v>293</v>
      </c>
      <c r="D36" s="14" t="s">
        <v>31</v>
      </c>
      <c r="E36" s="70">
        <v>300000</v>
      </c>
      <c r="F36" s="70">
        <v>300000</v>
      </c>
      <c r="G36" s="71">
        <v>0</v>
      </c>
    </row>
    <row r="37" spans="1:7" ht="18.75" customHeight="1">
      <c r="A37" s="9">
        <v>32</v>
      </c>
      <c r="B37" s="17" t="s">
        <v>1114</v>
      </c>
      <c r="C37" s="69" t="s">
        <v>293</v>
      </c>
      <c r="D37" s="14" t="s">
        <v>31</v>
      </c>
      <c r="E37" s="70">
        <v>300000</v>
      </c>
      <c r="F37" s="70">
        <v>300000</v>
      </c>
      <c r="G37" s="71">
        <v>0</v>
      </c>
    </row>
    <row r="38" spans="1:7" ht="26.25" customHeight="1">
      <c r="A38" s="9"/>
      <c r="B38" s="19" t="s">
        <v>34</v>
      </c>
      <c r="C38" s="74">
        <v>29</v>
      </c>
      <c r="D38" s="14"/>
      <c r="E38" s="75">
        <f>SUM(E6:E37)</f>
        <v>15700000</v>
      </c>
      <c r="F38" s="75">
        <f>SUM(F6:F37)</f>
        <v>6100000</v>
      </c>
      <c r="G38" s="75">
        <f t="shared" ref="G38" si="1">SUM(G6:G37)</f>
        <v>9600000</v>
      </c>
    </row>
    <row r="39" spans="1:7" ht="18.75" customHeight="1">
      <c r="A39" s="9"/>
      <c r="B39" s="21"/>
      <c r="C39" s="72"/>
      <c r="D39" s="14"/>
      <c r="E39" s="75"/>
      <c r="F39" s="70"/>
      <c r="G39" s="75"/>
    </row>
    <row r="40" spans="1:7" ht="18.75" customHeight="1">
      <c r="A40" s="9"/>
      <c r="B40" s="19" t="s">
        <v>35</v>
      </c>
      <c r="C40" s="72"/>
      <c r="D40" s="14"/>
      <c r="E40" s="70"/>
      <c r="F40" s="70"/>
      <c r="G40" s="70"/>
    </row>
    <row r="41" spans="1:7" ht="18.75" customHeight="1">
      <c r="A41" s="9">
        <v>1</v>
      </c>
      <c r="B41" s="17" t="s">
        <v>295</v>
      </c>
      <c r="C41" s="72" t="s">
        <v>296</v>
      </c>
      <c r="D41" s="9" t="s">
        <v>1168</v>
      </c>
      <c r="E41" s="70">
        <v>1000000</v>
      </c>
      <c r="F41" s="71">
        <v>0</v>
      </c>
      <c r="G41" s="70">
        <v>1000000</v>
      </c>
    </row>
    <row r="42" spans="1:7" ht="18.75" customHeight="1">
      <c r="A42" s="9">
        <v>2</v>
      </c>
      <c r="B42" s="17" t="s">
        <v>298</v>
      </c>
      <c r="C42" s="72" t="s">
        <v>537</v>
      </c>
      <c r="D42" s="9" t="s">
        <v>31</v>
      </c>
      <c r="E42" s="70">
        <v>300000</v>
      </c>
      <c r="F42" s="70">
        <v>300000</v>
      </c>
      <c r="G42" s="71">
        <v>0</v>
      </c>
    </row>
    <row r="43" spans="1:7" ht="19.5" customHeight="1">
      <c r="A43" s="9"/>
      <c r="B43" s="13"/>
      <c r="C43" s="74">
        <v>2</v>
      </c>
      <c r="D43" s="9"/>
      <c r="E43" s="75">
        <f>SUM(E41:E42)</f>
        <v>1300000</v>
      </c>
      <c r="F43" s="75">
        <f t="shared" ref="F43:G43" si="2">SUM(F41:F42)</f>
        <v>300000</v>
      </c>
      <c r="G43" s="75">
        <f t="shared" si="2"/>
        <v>1000000</v>
      </c>
    </row>
    <row r="44" spans="1:7" ht="20.149999999999999" customHeight="1">
      <c r="A44" s="9"/>
      <c r="B44" s="13"/>
      <c r="C44" s="72"/>
      <c r="D44" s="9"/>
      <c r="E44" s="70"/>
      <c r="F44" s="70"/>
      <c r="G44" s="70"/>
    </row>
    <row r="45" spans="1:7" ht="20.149999999999999" customHeight="1">
      <c r="A45" s="9"/>
      <c r="B45" s="22" t="s">
        <v>39</v>
      </c>
      <c r="C45" s="76"/>
      <c r="D45" s="23"/>
      <c r="E45" s="70"/>
      <c r="F45" s="70"/>
      <c r="G45" s="70"/>
    </row>
    <row r="46" spans="1:7" ht="20.149999999999999" customHeight="1">
      <c r="A46" s="9">
        <v>1</v>
      </c>
      <c r="B46" s="10" t="s">
        <v>302</v>
      </c>
      <c r="C46" s="72" t="s">
        <v>303</v>
      </c>
      <c r="D46" s="9" t="s">
        <v>297</v>
      </c>
      <c r="E46" s="70">
        <v>1000000</v>
      </c>
      <c r="F46" s="71">
        <v>0</v>
      </c>
      <c r="G46" s="70">
        <v>1000000</v>
      </c>
    </row>
    <row r="47" spans="1:7" ht="20.149999999999999" customHeight="1">
      <c r="A47" s="9">
        <v>2</v>
      </c>
      <c r="B47" s="10" t="s">
        <v>304</v>
      </c>
      <c r="C47" s="72" t="s">
        <v>305</v>
      </c>
      <c r="D47" s="9" t="s">
        <v>249</v>
      </c>
      <c r="E47" s="70">
        <v>700000</v>
      </c>
      <c r="F47" s="71">
        <v>0</v>
      </c>
      <c r="G47" s="70">
        <v>700000</v>
      </c>
    </row>
    <row r="48" spans="1:7" ht="20.149999999999999" customHeight="1">
      <c r="A48" s="9">
        <v>3</v>
      </c>
      <c r="B48" s="10" t="s">
        <v>306</v>
      </c>
      <c r="C48" s="72" t="s">
        <v>310</v>
      </c>
      <c r="D48" s="9" t="s">
        <v>249</v>
      </c>
      <c r="E48" s="70">
        <v>700000</v>
      </c>
      <c r="F48" s="71">
        <v>0</v>
      </c>
      <c r="G48" s="70">
        <v>700000</v>
      </c>
    </row>
    <row r="49" spans="1:7" ht="20.149999999999999" customHeight="1">
      <c r="A49" s="9">
        <v>4</v>
      </c>
      <c r="B49" s="10" t="s">
        <v>309</v>
      </c>
      <c r="C49" s="72" t="s">
        <v>310</v>
      </c>
      <c r="D49" s="9" t="s">
        <v>327</v>
      </c>
      <c r="E49" s="70">
        <v>700000</v>
      </c>
      <c r="F49" s="71">
        <v>0</v>
      </c>
      <c r="G49" s="70">
        <v>700000</v>
      </c>
    </row>
    <row r="50" spans="1:7" ht="20.149999999999999" customHeight="1">
      <c r="A50" s="9">
        <v>5</v>
      </c>
      <c r="B50" s="10" t="s">
        <v>311</v>
      </c>
      <c r="C50" s="72" t="s">
        <v>310</v>
      </c>
      <c r="D50" s="9" t="s">
        <v>228</v>
      </c>
      <c r="E50" s="70">
        <v>700000</v>
      </c>
      <c r="F50" s="71">
        <v>0</v>
      </c>
      <c r="G50" s="70">
        <v>700000</v>
      </c>
    </row>
    <row r="51" spans="1:7" ht="20.149999999999999" customHeight="1">
      <c r="A51" s="9">
        <v>6</v>
      </c>
      <c r="B51" s="10" t="s">
        <v>312</v>
      </c>
      <c r="C51" s="72" t="s">
        <v>259</v>
      </c>
      <c r="D51" s="9" t="s">
        <v>342</v>
      </c>
      <c r="E51" s="70">
        <v>500000</v>
      </c>
      <c r="F51" s="71">
        <v>0</v>
      </c>
      <c r="G51" s="70">
        <v>500000</v>
      </c>
    </row>
    <row r="52" spans="1:7" ht="20.149999999999999" customHeight="1">
      <c r="A52" s="9">
        <v>7</v>
      </c>
      <c r="B52" s="13" t="s">
        <v>313</v>
      </c>
      <c r="C52" s="72" t="s">
        <v>256</v>
      </c>
      <c r="D52" s="15" t="s">
        <v>342</v>
      </c>
      <c r="E52" s="70">
        <v>500000</v>
      </c>
      <c r="F52" s="71">
        <v>0</v>
      </c>
      <c r="G52" s="70">
        <v>500000</v>
      </c>
    </row>
    <row r="53" spans="1:7" ht="20.149999999999999" customHeight="1">
      <c r="A53" s="9">
        <v>8</v>
      </c>
      <c r="B53" s="10" t="s">
        <v>1025</v>
      </c>
      <c r="C53" s="72" t="s">
        <v>256</v>
      </c>
      <c r="D53" s="9" t="s">
        <v>260</v>
      </c>
      <c r="E53" s="70">
        <v>500000</v>
      </c>
      <c r="F53" s="71">
        <v>0</v>
      </c>
      <c r="G53" s="70">
        <v>500000</v>
      </c>
    </row>
    <row r="54" spans="1:7" ht="20.149999999999999" customHeight="1">
      <c r="A54" s="9">
        <v>9</v>
      </c>
      <c r="B54" s="10" t="s">
        <v>258</v>
      </c>
      <c r="C54" s="72" t="s">
        <v>353</v>
      </c>
      <c r="D54" s="9" t="s">
        <v>950</v>
      </c>
      <c r="E54" s="70">
        <v>500000</v>
      </c>
      <c r="F54" s="70">
        <v>500000</v>
      </c>
      <c r="G54" s="71">
        <v>0</v>
      </c>
    </row>
    <row r="55" spans="1:7" ht="20.149999999999999" customHeight="1">
      <c r="A55" s="9">
        <v>10</v>
      </c>
      <c r="B55" s="10" t="s">
        <v>315</v>
      </c>
      <c r="C55" s="72" t="s">
        <v>63</v>
      </c>
      <c r="D55" s="9" t="s">
        <v>25</v>
      </c>
      <c r="E55" s="70">
        <v>300000</v>
      </c>
      <c r="F55" s="70">
        <v>300000</v>
      </c>
      <c r="G55" s="71">
        <v>0</v>
      </c>
    </row>
    <row r="56" spans="1:7" ht="20.149999999999999" customHeight="1">
      <c r="A56" s="9">
        <v>11</v>
      </c>
      <c r="B56" s="10" t="s">
        <v>316</v>
      </c>
      <c r="C56" s="72" t="s">
        <v>63</v>
      </c>
      <c r="D56" s="9" t="s">
        <v>25</v>
      </c>
      <c r="E56" s="70">
        <v>300000</v>
      </c>
      <c r="F56" s="70">
        <v>300000</v>
      </c>
      <c r="G56" s="71">
        <v>0</v>
      </c>
    </row>
    <row r="57" spans="1:7" ht="20.149999999999999" customHeight="1">
      <c r="A57" s="9">
        <v>12</v>
      </c>
      <c r="B57" s="10" t="s">
        <v>317</v>
      </c>
      <c r="C57" s="72" t="s">
        <v>63</v>
      </c>
      <c r="D57" s="9" t="s">
        <v>25</v>
      </c>
      <c r="E57" s="70">
        <v>300000</v>
      </c>
      <c r="F57" s="70">
        <v>300000</v>
      </c>
      <c r="G57" s="71">
        <v>0</v>
      </c>
    </row>
    <row r="58" spans="1:7" ht="25.5" customHeight="1">
      <c r="A58" s="9"/>
      <c r="B58" s="19" t="s">
        <v>34</v>
      </c>
      <c r="C58" s="74">
        <v>11</v>
      </c>
      <c r="D58" s="20"/>
      <c r="E58" s="77">
        <f>SUM(E46:E57)</f>
        <v>6700000</v>
      </c>
      <c r="F58" s="77">
        <f t="shared" ref="F58:G58" si="3">SUM(F46:F57)</f>
        <v>1400000</v>
      </c>
      <c r="G58" s="77">
        <f t="shared" si="3"/>
        <v>5300000</v>
      </c>
    </row>
    <row r="59" spans="1:7" ht="20.149999999999999" customHeight="1">
      <c r="A59" s="9"/>
      <c r="B59" s="21"/>
      <c r="C59" s="74"/>
      <c r="D59" s="20"/>
      <c r="E59" s="78"/>
      <c r="F59" s="78"/>
      <c r="G59" s="78"/>
    </row>
    <row r="60" spans="1:7" ht="20.149999999999999" customHeight="1">
      <c r="A60" s="9"/>
      <c r="B60" s="19" t="s">
        <v>318</v>
      </c>
      <c r="C60" s="74"/>
      <c r="D60" s="20"/>
      <c r="E60" s="78"/>
      <c r="F60" s="78"/>
      <c r="G60" s="78"/>
    </row>
    <row r="61" spans="1:7" ht="20.149999999999999" customHeight="1">
      <c r="A61" s="9">
        <v>1</v>
      </c>
      <c r="B61" s="10" t="s">
        <v>319</v>
      </c>
      <c r="C61" s="69" t="s">
        <v>320</v>
      </c>
      <c r="D61" s="14" t="s">
        <v>297</v>
      </c>
      <c r="E61" s="70">
        <f>1000000/2</f>
        <v>500000</v>
      </c>
      <c r="F61" s="71">
        <v>0</v>
      </c>
      <c r="G61" s="70">
        <f t="shared" ref="G61" si="4">1000000/2</f>
        <v>500000</v>
      </c>
    </row>
    <row r="62" spans="1:7" ht="20.149999999999999" customHeight="1">
      <c r="A62" s="9"/>
      <c r="B62" s="19" t="s">
        <v>34</v>
      </c>
      <c r="C62" s="74">
        <v>2</v>
      </c>
      <c r="D62" s="20"/>
      <c r="E62" s="77">
        <f>SUM(E61)</f>
        <v>500000</v>
      </c>
      <c r="F62" s="79">
        <f t="shared" ref="F62:G62" si="5">SUM(F61)</f>
        <v>0</v>
      </c>
      <c r="G62" s="77">
        <f t="shared" si="5"/>
        <v>500000</v>
      </c>
    </row>
    <row r="63" spans="1:7" ht="20.149999999999999" customHeight="1">
      <c r="A63" s="9"/>
      <c r="B63" s="19"/>
      <c r="C63" s="74"/>
      <c r="D63" s="20"/>
      <c r="E63" s="78"/>
      <c r="F63" s="78"/>
      <c r="G63" s="78"/>
    </row>
    <row r="64" spans="1:7" ht="20.149999999999999" customHeight="1">
      <c r="A64" s="9"/>
      <c r="B64" s="19" t="s">
        <v>45</v>
      </c>
      <c r="C64" s="74"/>
      <c r="D64" s="20"/>
      <c r="E64" s="78"/>
      <c r="F64" s="78"/>
      <c r="G64" s="78"/>
    </row>
    <row r="65" spans="1:7" ht="20.149999999999999" customHeight="1">
      <c r="A65" s="9">
        <v>1</v>
      </c>
      <c r="B65" s="10" t="s">
        <v>323</v>
      </c>
      <c r="C65" s="73" t="s">
        <v>324</v>
      </c>
      <c r="D65" s="9" t="s">
        <v>297</v>
      </c>
      <c r="E65" s="70">
        <f>1000000/2</f>
        <v>500000</v>
      </c>
      <c r="F65" s="71">
        <v>0</v>
      </c>
      <c r="G65" s="70">
        <f t="shared" ref="G65" si="6">1000000/2</f>
        <v>500000</v>
      </c>
    </row>
    <row r="66" spans="1:7" ht="20.149999999999999" customHeight="1">
      <c r="A66" s="9">
        <v>2</v>
      </c>
      <c r="B66" s="17" t="s">
        <v>325</v>
      </c>
      <c r="C66" s="73" t="s">
        <v>326</v>
      </c>
      <c r="D66" s="14" t="s">
        <v>952</v>
      </c>
      <c r="E66" s="70">
        <f>700000/2</f>
        <v>350000</v>
      </c>
      <c r="F66" s="71">
        <v>0</v>
      </c>
      <c r="G66" s="70">
        <f t="shared" ref="G66" si="7">700000/2</f>
        <v>350000</v>
      </c>
    </row>
    <row r="67" spans="1:7" ht="20.149999999999999" customHeight="1">
      <c r="A67" s="9">
        <v>3</v>
      </c>
      <c r="B67" s="10" t="s">
        <v>328</v>
      </c>
      <c r="C67" s="72" t="s">
        <v>47</v>
      </c>
      <c r="D67" s="9" t="s">
        <v>950</v>
      </c>
      <c r="E67" s="70">
        <v>500000</v>
      </c>
      <c r="F67" s="70">
        <v>500000</v>
      </c>
      <c r="G67" s="71">
        <v>0</v>
      </c>
    </row>
    <row r="68" spans="1:7" ht="20.149999999999999" customHeight="1">
      <c r="A68" s="9">
        <v>4</v>
      </c>
      <c r="B68" s="17" t="s">
        <v>329</v>
      </c>
      <c r="C68" s="73" t="s">
        <v>47</v>
      </c>
      <c r="D68" s="14" t="s">
        <v>1162</v>
      </c>
      <c r="E68" s="70">
        <v>500000</v>
      </c>
      <c r="F68" s="70">
        <v>500000</v>
      </c>
      <c r="G68" s="71">
        <v>0</v>
      </c>
    </row>
    <row r="69" spans="1:7" ht="20.149999999999999" customHeight="1">
      <c r="A69" s="9">
        <v>5</v>
      </c>
      <c r="B69" s="13" t="s">
        <v>330</v>
      </c>
      <c r="C69" s="73" t="s">
        <v>256</v>
      </c>
      <c r="D69" s="14" t="s">
        <v>342</v>
      </c>
      <c r="E69" s="70">
        <v>500000</v>
      </c>
      <c r="F69" s="71">
        <v>0</v>
      </c>
      <c r="G69" s="70">
        <v>500000</v>
      </c>
    </row>
    <row r="70" spans="1:7" ht="20.149999999999999" customHeight="1">
      <c r="A70" s="9">
        <v>6</v>
      </c>
      <c r="B70" s="10" t="s">
        <v>331</v>
      </c>
      <c r="C70" s="72" t="s">
        <v>63</v>
      </c>
      <c r="D70" s="9" t="s">
        <v>1170</v>
      </c>
      <c r="E70" s="70">
        <v>300000</v>
      </c>
      <c r="F70" s="70">
        <v>300000</v>
      </c>
      <c r="G70" s="71">
        <v>0</v>
      </c>
    </row>
    <row r="71" spans="1:7" ht="20.149999999999999" customHeight="1">
      <c r="A71" s="9">
        <v>7</v>
      </c>
      <c r="B71" s="10" t="s">
        <v>1033</v>
      </c>
      <c r="C71" s="73" t="s">
        <v>275</v>
      </c>
      <c r="D71" s="14" t="s">
        <v>332</v>
      </c>
      <c r="E71" s="70">
        <v>400000</v>
      </c>
      <c r="F71" s="70">
        <v>400000</v>
      </c>
      <c r="G71" s="71">
        <v>0</v>
      </c>
    </row>
    <row r="72" spans="1:7" ht="20.149999999999999" customHeight="1">
      <c r="A72" s="9">
        <v>8</v>
      </c>
      <c r="B72" s="10" t="s">
        <v>333</v>
      </c>
      <c r="C72" s="73" t="s">
        <v>275</v>
      </c>
      <c r="D72" s="14" t="s">
        <v>42</v>
      </c>
      <c r="E72" s="70">
        <v>400000</v>
      </c>
      <c r="F72" s="70">
        <v>400000</v>
      </c>
      <c r="G72" s="71">
        <v>0</v>
      </c>
    </row>
    <row r="73" spans="1:7" ht="20.149999999999999" customHeight="1">
      <c r="A73" s="9">
        <v>9</v>
      </c>
      <c r="B73" s="10" t="s">
        <v>334</v>
      </c>
      <c r="C73" s="73" t="s">
        <v>275</v>
      </c>
      <c r="D73" s="14" t="s">
        <v>42</v>
      </c>
      <c r="E73" s="70">
        <v>400000</v>
      </c>
      <c r="F73" s="70">
        <v>400000</v>
      </c>
      <c r="G73" s="71">
        <v>0</v>
      </c>
    </row>
    <row r="74" spans="1:7" ht="20.149999999999999" customHeight="1">
      <c r="A74" s="9">
        <v>10</v>
      </c>
      <c r="B74" s="10" t="s">
        <v>335</v>
      </c>
      <c r="C74" s="72" t="s">
        <v>336</v>
      </c>
      <c r="D74" s="9" t="s">
        <v>42</v>
      </c>
      <c r="E74" s="70">
        <v>400000</v>
      </c>
      <c r="F74" s="70">
        <v>400000</v>
      </c>
      <c r="G74" s="71">
        <v>0</v>
      </c>
    </row>
    <row r="75" spans="1:7" ht="20.149999999999999" customHeight="1">
      <c r="A75" s="9">
        <v>11</v>
      </c>
      <c r="B75" s="10" t="s">
        <v>1115</v>
      </c>
      <c r="C75" s="73" t="s">
        <v>63</v>
      </c>
      <c r="D75" s="9" t="s">
        <v>38</v>
      </c>
      <c r="E75" s="70">
        <v>300000</v>
      </c>
      <c r="F75" s="70">
        <v>300000</v>
      </c>
      <c r="G75" s="71">
        <v>0</v>
      </c>
    </row>
    <row r="76" spans="1:7" ht="20.149999999999999" customHeight="1">
      <c r="A76" s="9">
        <v>12</v>
      </c>
      <c r="B76" s="10" t="s">
        <v>281</v>
      </c>
      <c r="C76" s="73" t="s">
        <v>273</v>
      </c>
      <c r="D76" s="9" t="s">
        <v>25</v>
      </c>
      <c r="E76" s="70">
        <v>300000</v>
      </c>
      <c r="F76" s="70">
        <v>300000</v>
      </c>
      <c r="G76" s="71">
        <v>0</v>
      </c>
    </row>
    <row r="77" spans="1:7" ht="20.149999999999999" customHeight="1">
      <c r="A77" s="9">
        <v>13</v>
      </c>
      <c r="B77" s="13" t="s">
        <v>272</v>
      </c>
      <c r="C77" s="73" t="s">
        <v>273</v>
      </c>
      <c r="D77" s="9" t="s">
        <v>31</v>
      </c>
      <c r="E77" s="70">
        <v>300000</v>
      </c>
      <c r="F77" s="70">
        <v>300000</v>
      </c>
      <c r="G77" s="71">
        <v>0</v>
      </c>
    </row>
    <row r="78" spans="1:7" ht="20.149999999999999" customHeight="1">
      <c r="A78" s="9"/>
      <c r="B78" s="19" t="s">
        <v>34</v>
      </c>
      <c r="C78" s="74">
        <v>13</v>
      </c>
      <c r="D78" s="20"/>
      <c r="E78" s="77">
        <f>SUM(E65:E77)</f>
        <v>5150000</v>
      </c>
      <c r="F78" s="77">
        <f t="shared" ref="F78:G78" si="8">SUM(F65:F77)</f>
        <v>3800000</v>
      </c>
      <c r="G78" s="77">
        <f t="shared" si="8"/>
        <v>1350000</v>
      </c>
    </row>
    <row r="79" spans="1:7" ht="20.149999999999999" customHeight="1">
      <c r="A79" s="9"/>
      <c r="B79" s="21"/>
      <c r="C79" s="74"/>
      <c r="D79" s="20"/>
      <c r="E79" s="78"/>
      <c r="F79" s="78"/>
      <c r="G79" s="78"/>
    </row>
    <row r="80" spans="1:7" ht="20.149999999999999" customHeight="1">
      <c r="A80" s="9"/>
      <c r="B80" s="19" t="s">
        <v>51</v>
      </c>
      <c r="C80" s="74"/>
      <c r="D80" s="20"/>
      <c r="E80" s="78"/>
      <c r="F80" s="78"/>
      <c r="G80" s="78"/>
    </row>
    <row r="81" spans="1:7" ht="20.149999999999999" customHeight="1">
      <c r="A81" s="9">
        <v>1</v>
      </c>
      <c r="B81" s="10" t="s">
        <v>338</v>
      </c>
      <c r="C81" s="72" t="s">
        <v>339</v>
      </c>
      <c r="D81" s="9" t="s">
        <v>297</v>
      </c>
      <c r="E81" s="70">
        <v>1000000</v>
      </c>
      <c r="F81" s="71">
        <v>0</v>
      </c>
      <c r="G81" s="70">
        <v>1000000</v>
      </c>
    </row>
    <row r="82" spans="1:7" ht="20.149999999999999" customHeight="1">
      <c r="A82" s="9">
        <v>2</v>
      </c>
      <c r="B82" s="13" t="s">
        <v>220</v>
      </c>
      <c r="C82" s="72" t="s">
        <v>221</v>
      </c>
      <c r="D82" s="14" t="s">
        <v>952</v>
      </c>
      <c r="E82" s="70">
        <v>700000</v>
      </c>
      <c r="F82" s="71">
        <v>0</v>
      </c>
      <c r="G82" s="70">
        <v>700000</v>
      </c>
    </row>
    <row r="83" spans="1:7" ht="20.149999999999999" customHeight="1">
      <c r="A83" s="9">
        <v>3</v>
      </c>
      <c r="B83" s="13" t="s">
        <v>1116</v>
      </c>
      <c r="C83" s="72" t="s">
        <v>1117</v>
      </c>
      <c r="D83" s="14" t="s">
        <v>952</v>
      </c>
      <c r="E83" s="70">
        <f>700000/2</f>
        <v>350000</v>
      </c>
      <c r="F83" s="71">
        <v>0</v>
      </c>
      <c r="G83" s="70">
        <f t="shared" ref="G83" si="9">700000/2</f>
        <v>350000</v>
      </c>
    </row>
    <row r="84" spans="1:7" ht="20.149999999999999" customHeight="1">
      <c r="A84" s="9">
        <v>4</v>
      </c>
      <c r="B84" s="10" t="s">
        <v>340</v>
      </c>
      <c r="C84" s="72" t="s">
        <v>968</v>
      </c>
      <c r="D84" s="14" t="s">
        <v>950</v>
      </c>
      <c r="E84" s="70">
        <v>500000</v>
      </c>
      <c r="F84" s="70">
        <v>500000</v>
      </c>
      <c r="G84" s="71">
        <v>0</v>
      </c>
    </row>
    <row r="85" spans="1:7" ht="20.149999999999999" customHeight="1">
      <c r="A85" s="9">
        <v>5</v>
      </c>
      <c r="B85" s="10" t="s">
        <v>343</v>
      </c>
      <c r="C85" s="72" t="s">
        <v>344</v>
      </c>
      <c r="D85" s="9" t="s">
        <v>38</v>
      </c>
      <c r="E85" s="70">
        <v>300000</v>
      </c>
      <c r="F85" s="70">
        <v>300000</v>
      </c>
      <c r="G85" s="71">
        <v>0</v>
      </c>
    </row>
    <row r="86" spans="1:7" ht="20.149999999999999" customHeight="1">
      <c r="A86" s="9"/>
      <c r="B86" s="19" t="s">
        <v>34</v>
      </c>
      <c r="C86" s="74">
        <v>5</v>
      </c>
      <c r="D86" s="20"/>
      <c r="E86" s="77">
        <f>SUM(E81:E85)</f>
        <v>2850000</v>
      </c>
      <c r="F86" s="77">
        <f>SUM(F81:F85)</f>
        <v>800000</v>
      </c>
      <c r="G86" s="77">
        <f t="shared" ref="G86" si="10">SUM(G81:G85)</f>
        <v>2050000</v>
      </c>
    </row>
    <row r="87" spans="1:7" ht="20.149999999999999" customHeight="1">
      <c r="A87" s="9"/>
      <c r="B87" s="19"/>
      <c r="C87" s="74"/>
      <c r="D87" s="20"/>
      <c r="E87" s="70"/>
      <c r="F87" s="70"/>
      <c r="G87" s="70"/>
    </row>
    <row r="88" spans="1:7" ht="20.149999999999999" customHeight="1">
      <c r="A88" s="9"/>
      <c r="B88" s="19" t="s">
        <v>56</v>
      </c>
      <c r="C88" s="80"/>
      <c r="D88" s="20"/>
      <c r="E88" s="70"/>
      <c r="F88" s="70"/>
      <c r="G88" s="70"/>
    </row>
    <row r="89" spans="1:7" ht="20.149999999999999" customHeight="1">
      <c r="A89" s="9">
        <v>1</v>
      </c>
      <c r="B89" s="10" t="s">
        <v>1173</v>
      </c>
      <c r="C89" s="72" t="s">
        <v>1134</v>
      </c>
      <c r="D89" s="9" t="s">
        <v>308</v>
      </c>
      <c r="E89" s="70">
        <v>700000</v>
      </c>
      <c r="F89" s="71">
        <v>0</v>
      </c>
      <c r="G89" s="70">
        <v>700000</v>
      </c>
    </row>
    <row r="90" spans="1:7" ht="20.149999999999999" customHeight="1">
      <c r="A90" s="9">
        <v>2</v>
      </c>
      <c r="B90" s="10" t="s">
        <v>349</v>
      </c>
      <c r="C90" s="72" t="s">
        <v>310</v>
      </c>
      <c r="D90" s="9" t="s">
        <v>249</v>
      </c>
      <c r="E90" s="70">
        <v>700000</v>
      </c>
      <c r="F90" s="71">
        <v>0</v>
      </c>
      <c r="G90" s="70">
        <v>700000</v>
      </c>
    </row>
    <row r="91" spans="1:7" ht="20.149999999999999" customHeight="1">
      <c r="A91" s="9">
        <v>3</v>
      </c>
      <c r="B91" s="10" t="s">
        <v>350</v>
      </c>
      <c r="C91" s="72" t="s">
        <v>310</v>
      </c>
      <c r="D91" s="9" t="s">
        <v>249</v>
      </c>
      <c r="E91" s="70">
        <v>700000</v>
      </c>
      <c r="F91" s="71">
        <v>0</v>
      </c>
      <c r="G91" s="70">
        <v>700000</v>
      </c>
    </row>
    <row r="92" spans="1:7" ht="20.149999999999999" customHeight="1">
      <c r="A92" s="9">
        <v>4</v>
      </c>
      <c r="B92" s="13" t="s">
        <v>386</v>
      </c>
      <c r="C92" s="72" t="s">
        <v>256</v>
      </c>
      <c r="D92" s="9" t="s">
        <v>257</v>
      </c>
      <c r="E92" s="70">
        <v>500000</v>
      </c>
      <c r="F92" s="71">
        <v>0</v>
      </c>
      <c r="G92" s="70">
        <v>500000</v>
      </c>
    </row>
    <row r="93" spans="1:7" ht="20.149999999999999" customHeight="1">
      <c r="A93" s="9">
        <v>5</v>
      </c>
      <c r="B93" s="10" t="s">
        <v>351</v>
      </c>
      <c r="C93" s="72" t="s">
        <v>259</v>
      </c>
      <c r="D93" s="9" t="s">
        <v>342</v>
      </c>
      <c r="E93" s="70">
        <v>500000</v>
      </c>
      <c r="F93" s="71">
        <v>0</v>
      </c>
      <c r="G93" s="70">
        <v>500000</v>
      </c>
    </row>
    <row r="94" spans="1:7" ht="21.65" customHeight="1">
      <c r="A94" s="9">
        <v>6</v>
      </c>
      <c r="B94" s="10" t="s">
        <v>352</v>
      </c>
      <c r="C94" s="72" t="s">
        <v>353</v>
      </c>
      <c r="D94" s="14" t="s">
        <v>950</v>
      </c>
      <c r="E94" s="70">
        <v>500000</v>
      </c>
      <c r="F94" s="70">
        <v>500000</v>
      </c>
      <c r="G94" s="71">
        <v>0</v>
      </c>
    </row>
    <row r="95" spans="1:7" ht="21.65" customHeight="1">
      <c r="A95" s="9">
        <v>7</v>
      </c>
      <c r="B95" s="10" t="s">
        <v>354</v>
      </c>
      <c r="C95" s="69" t="s">
        <v>47</v>
      </c>
      <c r="D95" s="14" t="s">
        <v>1162</v>
      </c>
      <c r="E95" s="70">
        <v>500000</v>
      </c>
      <c r="F95" s="70">
        <v>500000</v>
      </c>
      <c r="G95" s="71">
        <v>0</v>
      </c>
    </row>
    <row r="96" spans="1:7" ht="21.65" customHeight="1">
      <c r="A96" s="9">
        <v>8</v>
      </c>
      <c r="B96" s="10" t="s">
        <v>355</v>
      </c>
      <c r="C96" s="69" t="s">
        <v>47</v>
      </c>
      <c r="D96" s="14" t="s">
        <v>1162</v>
      </c>
      <c r="E96" s="70">
        <f>500000/2</f>
        <v>250000</v>
      </c>
      <c r="F96" s="70">
        <f>500000/2</f>
        <v>250000</v>
      </c>
      <c r="G96" s="71">
        <v>0</v>
      </c>
    </row>
    <row r="97" spans="1:7" ht="21.65" customHeight="1">
      <c r="A97" s="9">
        <v>9</v>
      </c>
      <c r="B97" s="10" t="s">
        <v>357</v>
      </c>
      <c r="C97" s="73" t="s">
        <v>275</v>
      </c>
      <c r="D97" s="14" t="s">
        <v>42</v>
      </c>
      <c r="E97" s="70">
        <v>400000</v>
      </c>
      <c r="F97" s="70">
        <v>400000</v>
      </c>
      <c r="G97" s="71">
        <v>0</v>
      </c>
    </row>
    <row r="98" spans="1:7" ht="21.65" customHeight="1">
      <c r="A98" s="9">
        <v>10</v>
      </c>
      <c r="B98" s="10" t="s">
        <v>359</v>
      </c>
      <c r="C98" s="72" t="s">
        <v>360</v>
      </c>
      <c r="D98" s="9" t="s">
        <v>38</v>
      </c>
      <c r="E98" s="70">
        <v>300000</v>
      </c>
      <c r="F98" s="70">
        <v>300000</v>
      </c>
      <c r="G98" s="71">
        <v>0</v>
      </c>
    </row>
    <row r="99" spans="1:7" ht="21.65" customHeight="1">
      <c r="A99" s="9">
        <v>11</v>
      </c>
      <c r="B99" s="10" t="s">
        <v>361</v>
      </c>
      <c r="C99" s="73" t="s">
        <v>362</v>
      </c>
      <c r="D99" s="14" t="s">
        <v>31</v>
      </c>
      <c r="E99" s="70">
        <v>300000</v>
      </c>
      <c r="F99" s="70">
        <v>300000</v>
      </c>
      <c r="G99" s="71">
        <v>0</v>
      </c>
    </row>
    <row r="100" spans="1:7" ht="20.149999999999999" customHeight="1">
      <c r="A100" s="9"/>
      <c r="B100" s="19" t="s">
        <v>34</v>
      </c>
      <c r="C100" s="74">
        <v>10</v>
      </c>
      <c r="D100" s="20"/>
      <c r="E100" s="77">
        <f>SUM(E89:E99)</f>
        <v>5350000</v>
      </c>
      <c r="F100" s="77">
        <f t="shared" ref="F100:G100" si="11">SUM(F89:F99)</f>
        <v>2250000</v>
      </c>
      <c r="G100" s="77">
        <f t="shared" si="11"/>
        <v>3100000</v>
      </c>
    </row>
    <row r="101" spans="1:7" ht="20.149999999999999" customHeight="1">
      <c r="A101" s="9"/>
      <c r="B101" s="21"/>
      <c r="C101" s="74"/>
      <c r="D101" s="20"/>
      <c r="E101" s="78"/>
      <c r="F101" s="78"/>
      <c r="G101" s="78"/>
    </row>
    <row r="102" spans="1:7" ht="20.149999999999999" customHeight="1">
      <c r="A102" s="9"/>
      <c r="B102" s="19" t="s">
        <v>1220</v>
      </c>
      <c r="C102" s="74"/>
      <c r="D102" s="20"/>
      <c r="E102" s="78"/>
      <c r="F102" s="78"/>
      <c r="G102" s="78"/>
    </row>
    <row r="103" spans="1:7" ht="20.149999999999999" customHeight="1">
      <c r="A103" s="9">
        <v>1</v>
      </c>
      <c r="B103" s="17" t="s">
        <v>232</v>
      </c>
      <c r="C103" s="81" t="s">
        <v>233</v>
      </c>
      <c r="D103" s="14" t="s">
        <v>308</v>
      </c>
      <c r="E103" s="70">
        <v>700000</v>
      </c>
      <c r="F103" s="71">
        <v>0</v>
      </c>
      <c r="G103" s="70">
        <v>700000</v>
      </c>
    </row>
    <row r="104" spans="1:7" ht="20.149999999999999" customHeight="1">
      <c r="A104" s="9">
        <v>2</v>
      </c>
      <c r="B104" s="10" t="s">
        <v>250</v>
      </c>
      <c r="C104" s="72" t="s">
        <v>367</v>
      </c>
      <c r="D104" s="9" t="s">
        <v>342</v>
      </c>
      <c r="E104" s="70">
        <v>500000</v>
      </c>
      <c r="F104" s="71">
        <v>0</v>
      </c>
      <c r="G104" s="70">
        <v>500000</v>
      </c>
    </row>
    <row r="105" spans="1:7" ht="20.149999999999999" customHeight="1">
      <c r="A105" s="9">
        <v>3</v>
      </c>
      <c r="B105" s="17" t="s">
        <v>1135</v>
      </c>
      <c r="C105" s="72" t="s">
        <v>1136</v>
      </c>
      <c r="D105" s="14" t="s">
        <v>1162</v>
      </c>
      <c r="E105" s="70">
        <v>500000</v>
      </c>
      <c r="F105" s="70">
        <v>500000</v>
      </c>
      <c r="G105" s="71">
        <v>0</v>
      </c>
    </row>
    <row r="106" spans="1:7" ht="20.149999999999999" customHeight="1">
      <c r="A106" s="9">
        <v>4</v>
      </c>
      <c r="B106" s="10" t="s">
        <v>368</v>
      </c>
      <c r="C106" s="72" t="s">
        <v>369</v>
      </c>
      <c r="D106" s="14" t="s">
        <v>42</v>
      </c>
      <c r="E106" s="70">
        <v>400000</v>
      </c>
      <c r="F106" s="70">
        <v>400000</v>
      </c>
      <c r="G106" s="71">
        <v>0</v>
      </c>
    </row>
    <row r="107" spans="1:7" ht="20.149999999999999" customHeight="1">
      <c r="A107" s="3"/>
      <c r="B107" s="19" t="s">
        <v>34</v>
      </c>
      <c r="C107" s="74">
        <v>4</v>
      </c>
      <c r="D107" s="25"/>
      <c r="E107" s="77">
        <f>SUM(E103:E106)</f>
        <v>2100000</v>
      </c>
      <c r="F107" s="77">
        <f t="shared" ref="F107:G107" si="12">SUM(F103:F106)</f>
        <v>900000</v>
      </c>
      <c r="G107" s="77">
        <f t="shared" si="12"/>
        <v>1200000</v>
      </c>
    </row>
    <row r="108" spans="1:7" ht="20.149999999999999" customHeight="1">
      <c r="A108" s="3"/>
      <c r="B108" s="21"/>
      <c r="C108" s="74"/>
      <c r="D108" s="25"/>
      <c r="E108" s="78"/>
      <c r="F108" s="78"/>
      <c r="G108" s="78"/>
    </row>
    <row r="109" spans="1:7" ht="20.149999999999999" customHeight="1">
      <c r="A109" s="3"/>
      <c r="B109" s="19" t="s">
        <v>372</v>
      </c>
      <c r="C109" s="72"/>
      <c r="D109" s="3"/>
      <c r="E109" s="82"/>
      <c r="F109" s="82"/>
      <c r="G109" s="82"/>
    </row>
    <row r="110" spans="1:7" ht="20.149999999999999" customHeight="1">
      <c r="A110" s="3">
        <v>1</v>
      </c>
      <c r="B110" s="10" t="s">
        <v>373</v>
      </c>
      <c r="C110" s="69" t="s">
        <v>374</v>
      </c>
      <c r="D110" s="14" t="s">
        <v>297</v>
      </c>
      <c r="E110" s="70">
        <v>1000000</v>
      </c>
      <c r="F110" s="71">
        <v>0</v>
      </c>
      <c r="G110" s="70">
        <v>1000000</v>
      </c>
    </row>
    <row r="111" spans="1:7" ht="20.149999999999999" customHeight="1">
      <c r="A111" s="3">
        <v>2</v>
      </c>
      <c r="B111" s="10" t="s">
        <v>375</v>
      </c>
      <c r="C111" s="72" t="s">
        <v>376</v>
      </c>
      <c r="D111" s="15" t="s">
        <v>946</v>
      </c>
      <c r="E111" s="70">
        <v>700000</v>
      </c>
      <c r="F111" s="71">
        <v>0</v>
      </c>
      <c r="G111" s="70">
        <v>700000</v>
      </c>
    </row>
    <row r="112" spans="1:7" ht="20.149999999999999" customHeight="1">
      <c r="A112" s="3">
        <v>3</v>
      </c>
      <c r="B112" s="10" t="s">
        <v>377</v>
      </c>
      <c r="C112" s="72" t="s">
        <v>378</v>
      </c>
      <c r="D112" s="9" t="s">
        <v>263</v>
      </c>
      <c r="E112" s="70">
        <v>500000</v>
      </c>
      <c r="F112" s="70">
        <v>500000</v>
      </c>
      <c r="G112" s="71">
        <v>0</v>
      </c>
    </row>
    <row r="113" spans="1:7" ht="20.149999999999999" customHeight="1">
      <c r="A113" s="3">
        <v>4</v>
      </c>
      <c r="B113" s="10" t="s">
        <v>379</v>
      </c>
      <c r="C113" s="72" t="s">
        <v>378</v>
      </c>
      <c r="D113" s="9" t="s">
        <v>266</v>
      </c>
      <c r="E113" s="70">
        <v>500000</v>
      </c>
      <c r="F113" s="70">
        <v>500000</v>
      </c>
      <c r="G113" s="71">
        <v>0</v>
      </c>
    </row>
    <row r="114" spans="1:7" ht="20.149999999999999" customHeight="1">
      <c r="A114" s="3">
        <v>5</v>
      </c>
      <c r="B114" s="10" t="s">
        <v>380</v>
      </c>
      <c r="C114" s="72" t="s">
        <v>381</v>
      </c>
      <c r="D114" s="14" t="s">
        <v>945</v>
      </c>
      <c r="E114" s="70">
        <v>300000</v>
      </c>
      <c r="F114" s="70">
        <v>300000</v>
      </c>
      <c r="G114" s="71">
        <v>0</v>
      </c>
    </row>
    <row r="115" spans="1:7" ht="20.149999999999999" customHeight="1">
      <c r="A115" s="3">
        <v>6</v>
      </c>
      <c r="B115" s="17" t="s">
        <v>383</v>
      </c>
      <c r="C115" s="72" t="s">
        <v>381</v>
      </c>
      <c r="D115" s="9" t="s">
        <v>291</v>
      </c>
      <c r="E115" s="70">
        <v>300000</v>
      </c>
      <c r="F115" s="70">
        <v>300000</v>
      </c>
      <c r="G115" s="71">
        <v>0</v>
      </c>
    </row>
    <row r="116" spans="1:7" ht="20.149999999999999" customHeight="1">
      <c r="A116" s="3">
        <v>7</v>
      </c>
      <c r="B116" s="17" t="s">
        <v>385</v>
      </c>
      <c r="C116" s="72" t="s">
        <v>381</v>
      </c>
      <c r="D116" s="14" t="s">
        <v>31</v>
      </c>
      <c r="E116" s="70">
        <v>300000</v>
      </c>
      <c r="F116" s="70">
        <v>300000</v>
      </c>
      <c r="G116" s="71">
        <v>0</v>
      </c>
    </row>
    <row r="117" spans="1:7" ht="20.149999999999999" customHeight="1">
      <c r="A117" s="3"/>
      <c r="B117" s="19" t="s">
        <v>34</v>
      </c>
      <c r="C117" s="74">
        <v>7</v>
      </c>
      <c r="D117" s="3"/>
      <c r="E117" s="83">
        <f>SUM(E110:E116)</f>
        <v>3600000</v>
      </c>
      <c r="F117" s="83">
        <f t="shared" ref="F117:G117" si="13">SUM(F110:F116)</f>
        <v>1900000</v>
      </c>
      <c r="G117" s="83">
        <f t="shared" si="13"/>
        <v>1700000</v>
      </c>
    </row>
    <row r="118" spans="1:7" ht="20.149999999999999" customHeight="1">
      <c r="A118" s="3"/>
      <c r="B118" s="21"/>
      <c r="C118" s="81"/>
      <c r="D118" s="3"/>
      <c r="E118" s="84"/>
      <c r="F118" s="84"/>
      <c r="G118" s="84"/>
    </row>
    <row r="119" spans="1:7" ht="20.149999999999999" customHeight="1">
      <c r="A119" s="3"/>
      <c r="B119" s="19" t="s">
        <v>67</v>
      </c>
      <c r="C119" s="74"/>
      <c r="D119" s="20"/>
      <c r="E119" s="70"/>
      <c r="F119" s="70"/>
      <c r="G119" s="70"/>
    </row>
    <row r="120" spans="1:7" ht="20.149999999999999" customHeight="1">
      <c r="A120" s="3">
        <v>1</v>
      </c>
      <c r="B120" s="10" t="s">
        <v>392</v>
      </c>
      <c r="C120" s="69" t="s">
        <v>393</v>
      </c>
      <c r="D120" s="14" t="s">
        <v>297</v>
      </c>
      <c r="E120" s="70">
        <v>1000000</v>
      </c>
      <c r="F120" s="71">
        <v>0</v>
      </c>
      <c r="G120" s="70">
        <v>1000000</v>
      </c>
    </row>
    <row r="121" spans="1:7" ht="20.149999999999999" customHeight="1">
      <c r="A121" s="3">
        <v>2</v>
      </c>
      <c r="B121" s="10" t="s">
        <v>1138</v>
      </c>
      <c r="C121" s="69" t="s">
        <v>1139</v>
      </c>
      <c r="D121" s="14" t="s">
        <v>231</v>
      </c>
      <c r="E121" s="70">
        <v>700000</v>
      </c>
      <c r="F121" s="71">
        <v>0</v>
      </c>
      <c r="G121" s="70">
        <v>700000</v>
      </c>
    </row>
    <row r="122" spans="1:7" ht="20.149999999999999" customHeight="1">
      <c r="A122" s="3">
        <v>3</v>
      </c>
      <c r="B122" s="10" t="s">
        <v>130</v>
      </c>
      <c r="C122" s="69" t="s">
        <v>227</v>
      </c>
      <c r="D122" s="14" t="s">
        <v>249</v>
      </c>
      <c r="E122" s="70">
        <v>700000</v>
      </c>
      <c r="F122" s="71">
        <v>0</v>
      </c>
      <c r="G122" s="70">
        <v>700000</v>
      </c>
    </row>
    <row r="123" spans="1:7" ht="20.149999999999999" customHeight="1">
      <c r="A123" s="3">
        <v>4</v>
      </c>
      <c r="B123" s="13" t="s">
        <v>395</v>
      </c>
      <c r="C123" s="69" t="s">
        <v>227</v>
      </c>
      <c r="D123" s="14" t="s">
        <v>249</v>
      </c>
      <c r="E123" s="70">
        <v>700000</v>
      </c>
      <c r="F123" s="71">
        <v>0</v>
      </c>
      <c r="G123" s="70">
        <v>700000</v>
      </c>
    </row>
    <row r="124" spans="1:7" ht="20.149999999999999" customHeight="1">
      <c r="A124" s="3">
        <v>5</v>
      </c>
      <c r="B124" s="13" t="s">
        <v>226</v>
      </c>
      <c r="C124" s="69" t="s">
        <v>227</v>
      </c>
      <c r="D124" s="14" t="s">
        <v>228</v>
      </c>
      <c r="E124" s="70">
        <v>700000</v>
      </c>
      <c r="F124" s="71">
        <v>0</v>
      </c>
      <c r="G124" s="70">
        <v>700000</v>
      </c>
    </row>
    <row r="125" spans="1:7" ht="20.149999999999999" customHeight="1">
      <c r="A125" s="3">
        <v>6</v>
      </c>
      <c r="B125" s="10" t="s">
        <v>396</v>
      </c>
      <c r="C125" s="69" t="s">
        <v>397</v>
      </c>
      <c r="D125" s="14" t="s">
        <v>260</v>
      </c>
      <c r="E125" s="70">
        <v>500000</v>
      </c>
      <c r="F125" s="71">
        <v>0</v>
      </c>
      <c r="G125" s="70">
        <v>500000</v>
      </c>
    </row>
    <row r="126" spans="1:7" ht="20.149999999999999" customHeight="1">
      <c r="A126" s="3">
        <v>7</v>
      </c>
      <c r="B126" s="10" t="s">
        <v>398</v>
      </c>
      <c r="C126" s="69" t="s">
        <v>399</v>
      </c>
      <c r="D126" s="14" t="s">
        <v>950</v>
      </c>
      <c r="E126" s="70">
        <v>500000</v>
      </c>
      <c r="F126" s="70">
        <v>500000</v>
      </c>
      <c r="G126" s="71">
        <v>0</v>
      </c>
    </row>
    <row r="127" spans="1:7" ht="20.149999999999999" customHeight="1">
      <c r="A127" s="3">
        <v>8</v>
      </c>
      <c r="B127" s="10" t="s">
        <v>400</v>
      </c>
      <c r="C127" s="69" t="s">
        <v>970</v>
      </c>
      <c r="D127" s="14" t="s">
        <v>950</v>
      </c>
      <c r="E127" s="70">
        <v>500000</v>
      </c>
      <c r="F127" s="70">
        <v>500000</v>
      </c>
      <c r="G127" s="71">
        <v>0</v>
      </c>
    </row>
    <row r="128" spans="1:7" ht="20.149999999999999" customHeight="1">
      <c r="A128" s="3">
        <v>9</v>
      </c>
      <c r="B128" s="17" t="s">
        <v>1140</v>
      </c>
      <c r="C128" s="69" t="s">
        <v>1141</v>
      </c>
      <c r="D128" s="14" t="s">
        <v>951</v>
      </c>
      <c r="E128" s="70">
        <v>500000</v>
      </c>
      <c r="F128" s="70">
        <v>500000</v>
      </c>
      <c r="G128" s="71">
        <v>0</v>
      </c>
    </row>
    <row r="129" spans="1:7" ht="20.149999999999999" customHeight="1">
      <c r="A129" s="3">
        <v>10</v>
      </c>
      <c r="B129" s="10" t="s">
        <v>401</v>
      </c>
      <c r="C129" s="69" t="s">
        <v>402</v>
      </c>
      <c r="D129" s="9" t="s">
        <v>25</v>
      </c>
      <c r="E129" s="70">
        <v>300000</v>
      </c>
      <c r="F129" s="70">
        <v>300000</v>
      </c>
      <c r="G129" s="71">
        <v>0</v>
      </c>
    </row>
    <row r="130" spans="1:7" ht="20.149999999999999" customHeight="1">
      <c r="A130" s="3">
        <v>11</v>
      </c>
      <c r="B130" s="17" t="s">
        <v>403</v>
      </c>
      <c r="C130" s="69" t="s">
        <v>404</v>
      </c>
      <c r="D130" s="14" t="s">
        <v>31</v>
      </c>
      <c r="E130" s="70">
        <v>300000</v>
      </c>
      <c r="F130" s="70">
        <v>300000</v>
      </c>
      <c r="G130" s="71">
        <v>0</v>
      </c>
    </row>
    <row r="131" spans="1:7" ht="20.149999999999999" customHeight="1">
      <c r="A131" s="3"/>
      <c r="B131" s="19" t="s">
        <v>34</v>
      </c>
      <c r="C131" s="85" t="s">
        <v>1142</v>
      </c>
      <c r="D131" s="14"/>
      <c r="E131" s="77">
        <f>SUM(E120:E130)</f>
        <v>6400000</v>
      </c>
      <c r="F131" s="77">
        <f t="shared" ref="F131:G131" si="14">SUM(F120:F130)</f>
        <v>2100000</v>
      </c>
      <c r="G131" s="77">
        <f t="shared" si="14"/>
        <v>4300000</v>
      </c>
    </row>
    <row r="132" spans="1:7" ht="20.149999999999999" customHeight="1">
      <c r="A132" s="3"/>
      <c r="B132" s="21"/>
      <c r="C132" s="85"/>
      <c r="D132" s="14"/>
      <c r="E132" s="78"/>
      <c r="F132" s="78"/>
      <c r="G132" s="78"/>
    </row>
    <row r="133" spans="1:7" ht="20.149999999999999" customHeight="1">
      <c r="A133" s="3"/>
      <c r="B133" s="19" t="s">
        <v>71</v>
      </c>
      <c r="C133" s="69"/>
      <c r="D133" s="14"/>
      <c r="E133" s="70"/>
      <c r="F133" s="70"/>
      <c r="G133" s="70"/>
    </row>
    <row r="134" spans="1:7" ht="20.149999999999999" customHeight="1">
      <c r="A134" s="26">
        <v>1</v>
      </c>
      <c r="B134" s="10" t="s">
        <v>407</v>
      </c>
      <c r="C134" s="69" t="s">
        <v>1221</v>
      </c>
      <c r="D134" s="14" t="s">
        <v>297</v>
      </c>
      <c r="E134" s="70">
        <f>1000000/2</f>
        <v>500000</v>
      </c>
      <c r="F134" s="71">
        <v>0</v>
      </c>
      <c r="G134" s="70">
        <f t="shared" ref="G134" si="15">1000000/2</f>
        <v>500000</v>
      </c>
    </row>
    <row r="135" spans="1:7" ht="20.149999999999999" customHeight="1">
      <c r="A135" s="26">
        <v>2</v>
      </c>
      <c r="B135" s="10" t="s">
        <v>229</v>
      </c>
      <c r="C135" s="69" t="s">
        <v>230</v>
      </c>
      <c r="D135" s="14" t="s">
        <v>231</v>
      </c>
      <c r="E135" s="70">
        <f>700000/2</f>
        <v>350000</v>
      </c>
      <c r="F135" s="71">
        <v>0</v>
      </c>
      <c r="G135" s="70">
        <f t="shared" ref="G135" si="16">700000/2</f>
        <v>350000</v>
      </c>
    </row>
    <row r="136" spans="1:7" ht="20.149999999999999" customHeight="1">
      <c r="A136" s="26">
        <v>3</v>
      </c>
      <c r="B136" s="13" t="s">
        <v>409</v>
      </c>
      <c r="C136" s="72" t="s">
        <v>410</v>
      </c>
      <c r="D136" s="15" t="s">
        <v>946</v>
      </c>
      <c r="E136" s="70">
        <v>700000</v>
      </c>
      <c r="F136" s="71">
        <v>0</v>
      </c>
      <c r="G136" s="70">
        <v>700000</v>
      </c>
    </row>
    <row r="137" spans="1:7" ht="20.149999999999999" customHeight="1">
      <c r="A137" s="26">
        <v>4</v>
      </c>
      <c r="B137" s="10" t="s">
        <v>411</v>
      </c>
      <c r="C137" s="69" t="s">
        <v>412</v>
      </c>
      <c r="D137" s="14" t="s">
        <v>342</v>
      </c>
      <c r="E137" s="70">
        <v>500000</v>
      </c>
      <c r="F137" s="71">
        <v>0</v>
      </c>
      <c r="G137" s="70">
        <v>500000</v>
      </c>
    </row>
    <row r="138" spans="1:7" ht="20.149999999999999" customHeight="1">
      <c r="A138" s="26">
        <v>5</v>
      </c>
      <c r="B138" s="10" t="s">
        <v>413</v>
      </c>
      <c r="C138" s="72" t="s">
        <v>414</v>
      </c>
      <c r="D138" s="14" t="s">
        <v>342</v>
      </c>
      <c r="E138" s="70">
        <v>500000</v>
      </c>
      <c r="F138" s="71">
        <v>0</v>
      </c>
      <c r="G138" s="70">
        <v>500000</v>
      </c>
    </row>
    <row r="139" spans="1:7" ht="20.149999999999999" customHeight="1">
      <c r="A139" s="26">
        <v>6</v>
      </c>
      <c r="B139" s="10" t="s">
        <v>366</v>
      </c>
      <c r="C139" s="72" t="s">
        <v>420</v>
      </c>
      <c r="D139" s="14" t="s">
        <v>950</v>
      </c>
      <c r="E139" s="70">
        <v>500000</v>
      </c>
      <c r="F139" s="70">
        <v>500000</v>
      </c>
      <c r="G139" s="71">
        <v>0</v>
      </c>
    </row>
    <row r="140" spans="1:7" ht="20.149999999999999" customHeight="1">
      <c r="A140" s="26">
        <v>7</v>
      </c>
      <c r="B140" s="10" t="s">
        <v>416</v>
      </c>
      <c r="C140" s="69" t="s">
        <v>417</v>
      </c>
      <c r="D140" s="14" t="s">
        <v>332</v>
      </c>
      <c r="E140" s="70">
        <v>400000</v>
      </c>
      <c r="F140" s="70">
        <v>400000</v>
      </c>
      <c r="G140" s="71">
        <v>0</v>
      </c>
    </row>
    <row r="141" spans="1:7" ht="20.149999999999999" customHeight="1">
      <c r="A141" s="26">
        <v>8</v>
      </c>
      <c r="B141" s="10" t="s">
        <v>418</v>
      </c>
      <c r="C141" s="69" t="s">
        <v>417</v>
      </c>
      <c r="D141" s="14" t="s">
        <v>332</v>
      </c>
      <c r="E141" s="70">
        <v>400000</v>
      </c>
      <c r="F141" s="70">
        <v>400000</v>
      </c>
      <c r="G141" s="71">
        <v>0</v>
      </c>
    </row>
    <row r="142" spans="1:7" ht="20.149999999999999" customHeight="1">
      <c r="A142" s="26">
        <v>9</v>
      </c>
      <c r="B142" s="10" t="s">
        <v>419</v>
      </c>
      <c r="C142" s="72" t="s">
        <v>420</v>
      </c>
      <c r="D142" s="14" t="s">
        <v>332</v>
      </c>
      <c r="E142" s="70">
        <v>400000</v>
      </c>
      <c r="F142" s="70">
        <v>400000</v>
      </c>
      <c r="G142" s="71">
        <v>0</v>
      </c>
    </row>
    <row r="143" spans="1:7" ht="20.149999999999999" customHeight="1">
      <c r="A143" s="26">
        <v>10</v>
      </c>
      <c r="B143" s="10" t="s">
        <v>421</v>
      </c>
      <c r="C143" s="69" t="s">
        <v>426</v>
      </c>
      <c r="D143" s="14" t="s">
        <v>42</v>
      </c>
      <c r="E143" s="70">
        <v>400000</v>
      </c>
      <c r="F143" s="70">
        <v>400000</v>
      </c>
      <c r="G143" s="71">
        <v>0</v>
      </c>
    </row>
    <row r="144" spans="1:7" ht="20.149999999999999" customHeight="1">
      <c r="A144" s="26">
        <v>11</v>
      </c>
      <c r="B144" s="10" t="s">
        <v>423</v>
      </c>
      <c r="C144" s="69" t="s">
        <v>971</v>
      </c>
      <c r="D144" s="14" t="s">
        <v>345</v>
      </c>
      <c r="E144" s="70">
        <v>300000</v>
      </c>
      <c r="F144" s="70">
        <v>300000</v>
      </c>
      <c r="G144" s="71">
        <v>0</v>
      </c>
    </row>
    <row r="145" spans="1:7" ht="20.149999999999999" customHeight="1">
      <c r="A145" s="26">
        <v>12</v>
      </c>
      <c r="B145" s="10" t="s">
        <v>425</v>
      </c>
      <c r="C145" s="69" t="s">
        <v>426</v>
      </c>
      <c r="D145" s="14" t="s">
        <v>42</v>
      </c>
      <c r="E145" s="70">
        <v>400000</v>
      </c>
      <c r="F145" s="70">
        <v>400000</v>
      </c>
      <c r="G145" s="71">
        <v>0</v>
      </c>
    </row>
    <row r="146" spans="1:7" ht="20.149999999999999" customHeight="1">
      <c r="A146" s="26">
        <v>13</v>
      </c>
      <c r="B146" s="10" t="s">
        <v>429</v>
      </c>
      <c r="C146" s="72" t="s">
        <v>430</v>
      </c>
      <c r="D146" s="14" t="s">
        <v>301</v>
      </c>
      <c r="E146" s="70">
        <v>300000</v>
      </c>
      <c r="F146" s="70">
        <v>300000</v>
      </c>
      <c r="G146" s="71">
        <v>0</v>
      </c>
    </row>
    <row r="147" spans="1:7" ht="20.149999999999999" customHeight="1">
      <c r="A147" s="26">
        <v>14</v>
      </c>
      <c r="B147" s="10" t="s">
        <v>431</v>
      </c>
      <c r="C147" s="72" t="s">
        <v>430</v>
      </c>
      <c r="D147" s="14" t="s">
        <v>301</v>
      </c>
      <c r="E147" s="70">
        <v>300000</v>
      </c>
      <c r="F147" s="70">
        <v>300000</v>
      </c>
      <c r="G147" s="71">
        <v>0</v>
      </c>
    </row>
    <row r="148" spans="1:7" ht="20.149999999999999" customHeight="1">
      <c r="A148" s="26">
        <v>15</v>
      </c>
      <c r="B148" s="10" t="s">
        <v>433</v>
      </c>
      <c r="C148" s="72" t="s">
        <v>430</v>
      </c>
      <c r="D148" s="14" t="s">
        <v>301</v>
      </c>
      <c r="E148" s="70">
        <v>300000</v>
      </c>
      <c r="F148" s="70">
        <v>300000</v>
      </c>
      <c r="G148" s="71">
        <v>0</v>
      </c>
    </row>
    <row r="149" spans="1:7" ht="20.149999999999999" customHeight="1">
      <c r="A149" s="26">
        <v>16</v>
      </c>
      <c r="B149" s="10" t="s">
        <v>434</v>
      </c>
      <c r="C149" s="69" t="s">
        <v>435</v>
      </c>
      <c r="D149" s="14" t="s">
        <v>38</v>
      </c>
      <c r="E149" s="70">
        <v>300000</v>
      </c>
      <c r="F149" s="70">
        <v>300000</v>
      </c>
      <c r="G149" s="71">
        <v>0</v>
      </c>
    </row>
    <row r="150" spans="1:7" ht="20.149999999999999" customHeight="1">
      <c r="A150" s="26">
        <v>17</v>
      </c>
      <c r="B150" s="10" t="s">
        <v>953</v>
      </c>
      <c r="C150" s="69" t="s">
        <v>437</v>
      </c>
      <c r="D150" s="9" t="s">
        <v>25</v>
      </c>
      <c r="E150" s="70">
        <v>300000</v>
      </c>
      <c r="F150" s="70">
        <v>300000</v>
      </c>
      <c r="G150" s="71">
        <v>0</v>
      </c>
    </row>
    <row r="151" spans="1:7" ht="20.149999999999999" customHeight="1">
      <c r="A151" s="26">
        <v>18</v>
      </c>
      <c r="B151" s="10" t="s">
        <v>438</v>
      </c>
      <c r="C151" s="69" t="s">
        <v>439</v>
      </c>
      <c r="D151" s="14" t="s">
        <v>38</v>
      </c>
      <c r="E151" s="70">
        <v>300000</v>
      </c>
      <c r="F151" s="70">
        <v>300000</v>
      </c>
      <c r="G151" s="71">
        <v>0</v>
      </c>
    </row>
    <row r="152" spans="1:7" ht="20.149999999999999" customHeight="1">
      <c r="A152" s="26">
        <v>19</v>
      </c>
      <c r="B152" s="10" t="s">
        <v>440</v>
      </c>
      <c r="C152" s="69" t="s">
        <v>441</v>
      </c>
      <c r="D152" s="14" t="s">
        <v>25</v>
      </c>
      <c r="E152" s="70">
        <v>300000</v>
      </c>
      <c r="F152" s="70">
        <v>300000</v>
      </c>
      <c r="G152" s="71">
        <v>0</v>
      </c>
    </row>
    <row r="153" spans="1:7" ht="20.149999999999999" customHeight="1">
      <c r="A153" s="26">
        <v>20</v>
      </c>
      <c r="B153" s="10" t="s">
        <v>442</v>
      </c>
      <c r="C153" s="69" t="s">
        <v>443</v>
      </c>
      <c r="D153" s="14" t="s">
        <v>38</v>
      </c>
      <c r="E153" s="70">
        <v>300000</v>
      </c>
      <c r="F153" s="70">
        <v>300000</v>
      </c>
      <c r="G153" s="71">
        <v>0</v>
      </c>
    </row>
    <row r="154" spans="1:7" ht="20.149999999999999" customHeight="1">
      <c r="A154" s="26">
        <v>21</v>
      </c>
      <c r="B154" s="10" t="s">
        <v>444</v>
      </c>
      <c r="C154" s="69" t="s">
        <v>445</v>
      </c>
      <c r="D154" s="14" t="s">
        <v>25</v>
      </c>
      <c r="E154" s="70">
        <v>300000</v>
      </c>
      <c r="F154" s="70">
        <v>300000</v>
      </c>
      <c r="G154" s="71">
        <v>0</v>
      </c>
    </row>
    <row r="155" spans="1:7" ht="20.149999999999999" customHeight="1">
      <c r="A155" s="26">
        <v>22</v>
      </c>
      <c r="B155" s="17" t="s">
        <v>446</v>
      </c>
      <c r="C155" s="69" t="s">
        <v>451</v>
      </c>
      <c r="D155" s="14" t="s">
        <v>1166</v>
      </c>
      <c r="E155" s="70">
        <v>300000</v>
      </c>
      <c r="F155" s="70">
        <v>300000</v>
      </c>
      <c r="G155" s="71">
        <v>0</v>
      </c>
    </row>
    <row r="156" spans="1:7" ht="20.149999999999999" customHeight="1">
      <c r="A156" s="26">
        <v>23</v>
      </c>
      <c r="B156" s="17" t="s">
        <v>1143</v>
      </c>
      <c r="C156" s="69" t="s">
        <v>449</v>
      </c>
      <c r="D156" s="14" t="s">
        <v>31</v>
      </c>
      <c r="E156" s="70">
        <v>300000</v>
      </c>
      <c r="F156" s="70">
        <v>300000</v>
      </c>
      <c r="G156" s="71">
        <v>0</v>
      </c>
    </row>
    <row r="157" spans="1:7" ht="20.149999999999999" customHeight="1">
      <c r="A157" s="26">
        <v>24</v>
      </c>
      <c r="B157" s="17" t="s">
        <v>448</v>
      </c>
      <c r="C157" s="69" t="s">
        <v>449</v>
      </c>
      <c r="D157" s="14" t="s">
        <v>31</v>
      </c>
      <c r="E157" s="70">
        <v>300000</v>
      </c>
      <c r="F157" s="70">
        <v>300000</v>
      </c>
      <c r="G157" s="71">
        <v>0</v>
      </c>
    </row>
    <row r="158" spans="1:7" ht="20.149999999999999" customHeight="1">
      <c r="A158" s="26">
        <v>25</v>
      </c>
      <c r="B158" s="17" t="s">
        <v>450</v>
      </c>
      <c r="C158" s="69" t="s">
        <v>451</v>
      </c>
      <c r="D158" s="14" t="s">
        <v>31</v>
      </c>
      <c r="E158" s="70">
        <v>300000</v>
      </c>
      <c r="F158" s="70">
        <v>300000</v>
      </c>
      <c r="G158" s="71">
        <v>0</v>
      </c>
    </row>
    <row r="159" spans="1:7" ht="20.149999999999999" customHeight="1">
      <c r="A159" s="26">
        <v>26</v>
      </c>
      <c r="B159" s="17" t="s">
        <v>452</v>
      </c>
      <c r="C159" s="69" t="s">
        <v>453</v>
      </c>
      <c r="D159" s="14" t="s">
        <v>31</v>
      </c>
      <c r="E159" s="70">
        <v>300000</v>
      </c>
      <c r="F159" s="70">
        <v>300000</v>
      </c>
      <c r="G159" s="71">
        <v>0</v>
      </c>
    </row>
    <row r="160" spans="1:7" ht="20.149999999999999" customHeight="1">
      <c r="A160" s="26">
        <v>27</v>
      </c>
      <c r="B160" s="17" t="s">
        <v>454</v>
      </c>
      <c r="C160" s="69" t="s">
        <v>455</v>
      </c>
      <c r="D160" s="14" t="s">
        <v>31</v>
      </c>
      <c r="E160" s="70">
        <v>300000</v>
      </c>
      <c r="F160" s="70">
        <v>300000</v>
      </c>
      <c r="G160" s="71">
        <v>0</v>
      </c>
    </row>
    <row r="161" spans="1:7" ht="20.149999999999999" customHeight="1">
      <c r="A161" s="26">
        <v>28</v>
      </c>
      <c r="B161" s="10" t="s">
        <v>457</v>
      </c>
      <c r="C161" s="69" t="s">
        <v>458</v>
      </c>
      <c r="D161" s="14" t="s">
        <v>476</v>
      </c>
      <c r="E161" s="70">
        <v>100000</v>
      </c>
      <c r="F161" s="70">
        <v>100000</v>
      </c>
      <c r="G161" s="71">
        <v>0</v>
      </c>
    </row>
    <row r="162" spans="1:7" ht="20.149999999999999" customHeight="1">
      <c r="A162" s="26">
        <v>29</v>
      </c>
      <c r="B162" s="10" t="s">
        <v>460</v>
      </c>
      <c r="C162" s="69" t="s">
        <v>458</v>
      </c>
      <c r="D162" s="14" t="s">
        <v>476</v>
      </c>
      <c r="E162" s="70">
        <v>100000</v>
      </c>
      <c r="F162" s="70">
        <v>100000</v>
      </c>
      <c r="G162" s="71">
        <v>0</v>
      </c>
    </row>
    <row r="163" spans="1:7" ht="20.149999999999999" customHeight="1">
      <c r="A163" s="26">
        <v>30</v>
      </c>
      <c r="B163" s="10" t="s">
        <v>461</v>
      </c>
      <c r="C163" s="69" t="s">
        <v>458</v>
      </c>
      <c r="D163" s="14" t="s">
        <v>476</v>
      </c>
      <c r="E163" s="70">
        <v>100000</v>
      </c>
      <c r="F163" s="70">
        <v>100000</v>
      </c>
      <c r="G163" s="71">
        <v>0</v>
      </c>
    </row>
    <row r="164" spans="1:7" ht="20.149999999999999" customHeight="1">
      <c r="A164" s="26">
        <v>31</v>
      </c>
      <c r="B164" s="10" t="s">
        <v>664</v>
      </c>
      <c r="C164" s="69" t="s">
        <v>458</v>
      </c>
      <c r="D164" s="14" t="s">
        <v>476</v>
      </c>
      <c r="E164" s="70">
        <v>100000</v>
      </c>
      <c r="F164" s="70">
        <v>100000</v>
      </c>
      <c r="G164" s="71">
        <v>0</v>
      </c>
    </row>
    <row r="165" spans="1:7" ht="20.149999999999999" customHeight="1">
      <c r="A165" s="26">
        <v>32</v>
      </c>
      <c r="B165" s="10" t="s">
        <v>662</v>
      </c>
      <c r="C165" s="69" t="s">
        <v>458</v>
      </c>
      <c r="D165" s="14" t="s">
        <v>476</v>
      </c>
      <c r="E165" s="70">
        <v>100000</v>
      </c>
      <c r="F165" s="70">
        <v>100000</v>
      </c>
      <c r="G165" s="71">
        <v>0</v>
      </c>
    </row>
    <row r="166" spans="1:7" ht="20.149999999999999" customHeight="1">
      <c r="A166" s="26">
        <v>33</v>
      </c>
      <c r="B166" s="10" t="s">
        <v>462</v>
      </c>
      <c r="C166" s="69" t="s">
        <v>458</v>
      </c>
      <c r="D166" s="14" t="s">
        <v>476</v>
      </c>
      <c r="E166" s="70">
        <v>100000</v>
      </c>
      <c r="F166" s="70">
        <v>100000</v>
      </c>
      <c r="G166" s="71">
        <v>0</v>
      </c>
    </row>
    <row r="167" spans="1:7" ht="20.149999999999999" customHeight="1">
      <c r="A167" s="26">
        <v>34</v>
      </c>
      <c r="B167" s="10" t="s">
        <v>463</v>
      </c>
      <c r="C167" s="69" t="s">
        <v>458</v>
      </c>
      <c r="D167" s="14" t="s">
        <v>476</v>
      </c>
      <c r="E167" s="70">
        <v>100000</v>
      </c>
      <c r="F167" s="70">
        <v>100000</v>
      </c>
      <c r="G167" s="71">
        <v>0</v>
      </c>
    </row>
    <row r="168" spans="1:7" ht="20.149999999999999" customHeight="1">
      <c r="A168" s="26">
        <v>35</v>
      </c>
      <c r="B168" s="10" t="s">
        <v>464</v>
      </c>
      <c r="C168" s="69" t="s">
        <v>458</v>
      </c>
      <c r="D168" s="14" t="s">
        <v>473</v>
      </c>
      <c r="E168" s="70">
        <v>100000</v>
      </c>
      <c r="F168" s="70">
        <v>100000</v>
      </c>
      <c r="G168" s="71">
        <v>0</v>
      </c>
    </row>
    <row r="169" spans="1:7" ht="20.149999999999999" customHeight="1">
      <c r="A169" s="26">
        <v>36</v>
      </c>
      <c r="B169" s="10" t="s">
        <v>466</v>
      </c>
      <c r="C169" s="69" t="s">
        <v>458</v>
      </c>
      <c r="D169" s="14" t="s">
        <v>473</v>
      </c>
      <c r="E169" s="70">
        <v>100000</v>
      </c>
      <c r="F169" s="70">
        <v>100000</v>
      </c>
      <c r="G169" s="71">
        <v>0</v>
      </c>
    </row>
    <row r="170" spans="1:7" ht="20.149999999999999" customHeight="1">
      <c r="A170" s="26">
        <v>37</v>
      </c>
      <c r="B170" s="10" t="s">
        <v>1121</v>
      </c>
      <c r="C170" s="69" t="s">
        <v>458</v>
      </c>
      <c r="D170" s="14" t="s">
        <v>473</v>
      </c>
      <c r="E170" s="70">
        <v>100000</v>
      </c>
      <c r="F170" s="70">
        <v>100000</v>
      </c>
      <c r="G170" s="71">
        <v>0</v>
      </c>
    </row>
    <row r="171" spans="1:7" ht="20.149999999999999" customHeight="1">
      <c r="A171" s="26">
        <v>38</v>
      </c>
      <c r="B171" s="13" t="s">
        <v>467</v>
      </c>
      <c r="C171" s="69" t="s">
        <v>458</v>
      </c>
      <c r="D171" s="14" t="s">
        <v>473</v>
      </c>
      <c r="E171" s="70">
        <v>100000</v>
      </c>
      <c r="F171" s="70">
        <v>100000</v>
      </c>
      <c r="G171" s="71">
        <v>0</v>
      </c>
    </row>
    <row r="172" spans="1:7" ht="20.149999999999999" customHeight="1">
      <c r="A172" s="26">
        <v>39</v>
      </c>
      <c r="B172" s="10" t="s">
        <v>468</v>
      </c>
      <c r="C172" s="69" t="s">
        <v>458</v>
      </c>
      <c r="D172" s="14" t="s">
        <v>473</v>
      </c>
      <c r="E172" s="70">
        <v>100000</v>
      </c>
      <c r="F172" s="70">
        <v>100000</v>
      </c>
      <c r="G172" s="71">
        <v>0</v>
      </c>
    </row>
    <row r="173" spans="1:7" ht="20.149999999999999" customHeight="1">
      <c r="A173" s="26">
        <v>40</v>
      </c>
      <c r="B173" s="17" t="s">
        <v>469</v>
      </c>
      <c r="C173" s="69" t="s">
        <v>458</v>
      </c>
      <c r="D173" s="14" t="s">
        <v>473</v>
      </c>
      <c r="E173" s="70">
        <v>100000</v>
      </c>
      <c r="F173" s="70">
        <v>100000</v>
      </c>
      <c r="G173" s="71">
        <v>0</v>
      </c>
    </row>
    <row r="174" spans="1:7" ht="20.149999999999999" customHeight="1">
      <c r="A174" s="26">
        <v>41</v>
      </c>
      <c r="B174" s="17" t="s">
        <v>470</v>
      </c>
      <c r="C174" s="69" t="s">
        <v>458</v>
      </c>
      <c r="D174" s="14" t="s">
        <v>473</v>
      </c>
      <c r="E174" s="70">
        <v>100000</v>
      </c>
      <c r="F174" s="70">
        <v>100000</v>
      </c>
      <c r="G174" s="71">
        <v>0</v>
      </c>
    </row>
    <row r="175" spans="1:7" ht="20.149999999999999" customHeight="1">
      <c r="A175" s="26">
        <v>42</v>
      </c>
      <c r="B175" s="10" t="s">
        <v>471</v>
      </c>
      <c r="C175" s="69" t="s">
        <v>478</v>
      </c>
      <c r="D175" s="14" t="s">
        <v>954</v>
      </c>
      <c r="E175" s="70">
        <v>100000</v>
      </c>
      <c r="F175" s="70">
        <v>100000</v>
      </c>
      <c r="G175" s="71">
        <v>0</v>
      </c>
    </row>
    <row r="176" spans="1:7" ht="20.149999999999999" customHeight="1">
      <c r="A176" s="26">
        <v>43</v>
      </c>
      <c r="B176" s="10" t="s">
        <v>474</v>
      </c>
      <c r="C176" s="69" t="s">
        <v>478</v>
      </c>
      <c r="D176" s="14" t="s">
        <v>954</v>
      </c>
      <c r="E176" s="70">
        <v>100000</v>
      </c>
      <c r="F176" s="70">
        <v>100000</v>
      </c>
      <c r="G176" s="71">
        <v>0</v>
      </c>
    </row>
    <row r="177" spans="1:7" ht="20.149999999999999" customHeight="1">
      <c r="A177" s="26">
        <v>44</v>
      </c>
      <c r="B177" s="17" t="s">
        <v>475</v>
      </c>
      <c r="C177" s="69" t="s">
        <v>478</v>
      </c>
      <c r="D177" s="14" t="s">
        <v>479</v>
      </c>
      <c r="E177" s="70">
        <v>100000</v>
      </c>
      <c r="F177" s="70">
        <v>100000</v>
      </c>
      <c r="G177" s="71">
        <v>0</v>
      </c>
    </row>
    <row r="178" spans="1:7" ht="20.149999999999999" customHeight="1">
      <c r="A178" s="26">
        <v>45</v>
      </c>
      <c r="B178" s="10" t="s">
        <v>477</v>
      </c>
      <c r="C178" s="69" t="s">
        <v>478</v>
      </c>
      <c r="D178" s="14" t="s">
        <v>492</v>
      </c>
      <c r="E178" s="70">
        <v>100000</v>
      </c>
      <c r="F178" s="70">
        <v>100000</v>
      </c>
      <c r="G178" s="71">
        <v>0</v>
      </c>
    </row>
    <row r="179" spans="1:7" ht="20.149999999999999" customHeight="1">
      <c r="A179" s="26">
        <v>46</v>
      </c>
      <c r="B179" s="10" t="s">
        <v>480</v>
      </c>
      <c r="C179" s="69" t="s">
        <v>481</v>
      </c>
      <c r="D179" s="14" t="s">
        <v>1190</v>
      </c>
      <c r="E179" s="70">
        <v>100000</v>
      </c>
      <c r="F179" s="70">
        <v>100000</v>
      </c>
      <c r="G179" s="71">
        <v>0</v>
      </c>
    </row>
    <row r="180" spans="1:7" ht="20.149999999999999" customHeight="1">
      <c r="A180" s="26">
        <v>47</v>
      </c>
      <c r="B180" s="10" t="s">
        <v>483</v>
      </c>
      <c r="C180" s="69" t="s">
        <v>481</v>
      </c>
      <c r="D180" s="14" t="s">
        <v>1190</v>
      </c>
      <c r="E180" s="70">
        <v>100000</v>
      </c>
      <c r="F180" s="70">
        <v>100000</v>
      </c>
      <c r="G180" s="71">
        <v>0</v>
      </c>
    </row>
    <row r="181" spans="1:7" ht="20.149999999999999" customHeight="1">
      <c r="A181" s="26">
        <v>48</v>
      </c>
      <c r="B181" s="10" t="s">
        <v>484</v>
      </c>
      <c r="C181" s="69" t="s">
        <v>481</v>
      </c>
      <c r="D181" s="14" t="s">
        <v>1190</v>
      </c>
      <c r="E181" s="70">
        <v>100000</v>
      </c>
      <c r="F181" s="70">
        <v>100000</v>
      </c>
      <c r="G181" s="71">
        <v>0</v>
      </c>
    </row>
    <row r="182" spans="1:7" ht="20.149999999999999" customHeight="1">
      <c r="A182" s="26">
        <v>49</v>
      </c>
      <c r="B182" s="10" t="s">
        <v>485</v>
      </c>
      <c r="C182" s="69" t="s">
        <v>481</v>
      </c>
      <c r="D182" s="14" t="s">
        <v>1190</v>
      </c>
      <c r="E182" s="70">
        <v>100000</v>
      </c>
      <c r="F182" s="70">
        <v>100000</v>
      </c>
      <c r="G182" s="71">
        <v>0</v>
      </c>
    </row>
    <row r="183" spans="1:7" ht="20.149999999999999" customHeight="1">
      <c r="A183" s="26">
        <v>50</v>
      </c>
      <c r="B183" s="10" t="s">
        <v>486</v>
      </c>
      <c r="C183" s="69" t="s">
        <v>481</v>
      </c>
      <c r="D183" s="14" t="s">
        <v>1190</v>
      </c>
      <c r="E183" s="70">
        <v>100000</v>
      </c>
      <c r="F183" s="70">
        <v>100000</v>
      </c>
      <c r="G183" s="71">
        <v>0</v>
      </c>
    </row>
    <row r="184" spans="1:7" ht="20.149999999999999" customHeight="1">
      <c r="A184" s="26">
        <v>51</v>
      </c>
      <c r="B184" s="17" t="s">
        <v>487</v>
      </c>
      <c r="C184" s="69" t="s">
        <v>481</v>
      </c>
      <c r="D184" s="14" t="s">
        <v>502</v>
      </c>
      <c r="E184" s="70">
        <v>100000</v>
      </c>
      <c r="F184" s="70">
        <v>100000</v>
      </c>
      <c r="G184" s="71">
        <v>0</v>
      </c>
    </row>
    <row r="185" spans="1:7" ht="20.149999999999999" customHeight="1">
      <c r="A185" s="26">
        <v>52</v>
      </c>
      <c r="B185" s="17" t="s">
        <v>488</v>
      </c>
      <c r="C185" s="69" t="s">
        <v>481</v>
      </c>
      <c r="D185" s="14" t="s">
        <v>502</v>
      </c>
      <c r="E185" s="70">
        <v>100000</v>
      </c>
      <c r="F185" s="70">
        <v>100000</v>
      </c>
      <c r="G185" s="71">
        <v>0</v>
      </c>
    </row>
    <row r="186" spans="1:7" ht="20.149999999999999" customHeight="1">
      <c r="A186" s="26">
        <v>53</v>
      </c>
      <c r="B186" s="10" t="s">
        <v>489</v>
      </c>
      <c r="C186" s="69" t="s">
        <v>478</v>
      </c>
      <c r="D186" s="14" t="s">
        <v>502</v>
      </c>
      <c r="E186" s="70">
        <v>100000</v>
      </c>
      <c r="F186" s="70">
        <v>100000</v>
      </c>
      <c r="G186" s="71">
        <v>0</v>
      </c>
    </row>
    <row r="187" spans="1:7" ht="20.149999999999999" customHeight="1">
      <c r="A187" s="26">
        <v>54</v>
      </c>
      <c r="B187" s="10" t="s">
        <v>490</v>
      </c>
      <c r="C187" s="69" t="s">
        <v>478</v>
      </c>
      <c r="D187" s="14" t="s">
        <v>502</v>
      </c>
      <c r="E187" s="70">
        <v>100000</v>
      </c>
      <c r="F187" s="70">
        <v>100000</v>
      </c>
      <c r="G187" s="71">
        <v>0</v>
      </c>
    </row>
    <row r="188" spans="1:7" ht="20.149999999999999" customHeight="1">
      <c r="A188" s="26">
        <v>55</v>
      </c>
      <c r="B188" s="17" t="s">
        <v>491</v>
      </c>
      <c r="C188" s="69" t="s">
        <v>481</v>
      </c>
      <c r="D188" s="14" t="s">
        <v>494</v>
      </c>
      <c r="E188" s="70">
        <v>100000</v>
      </c>
      <c r="F188" s="70">
        <v>100000</v>
      </c>
      <c r="G188" s="71">
        <v>0</v>
      </c>
    </row>
    <row r="189" spans="1:7" ht="20.149999999999999" customHeight="1">
      <c r="A189" s="26">
        <v>56</v>
      </c>
      <c r="B189" s="17" t="s">
        <v>493</v>
      </c>
      <c r="C189" s="69" t="s">
        <v>481</v>
      </c>
      <c r="D189" s="14" t="s">
        <v>497</v>
      </c>
      <c r="E189" s="70">
        <v>100000</v>
      </c>
      <c r="F189" s="70">
        <v>100000</v>
      </c>
      <c r="G189" s="71">
        <v>0</v>
      </c>
    </row>
    <row r="190" spans="1:7" ht="20.149999999999999" customHeight="1">
      <c r="A190" s="26"/>
      <c r="B190" s="7" t="s">
        <v>34</v>
      </c>
      <c r="C190" s="86" t="s">
        <v>1222</v>
      </c>
      <c r="D190" s="28"/>
      <c r="E190" s="77">
        <f>SUM(E134:E189)</f>
        <v>12750000</v>
      </c>
      <c r="F190" s="77">
        <f t="shared" ref="F190:G190" si="17">SUM(F134:F189)</f>
        <v>10200000</v>
      </c>
      <c r="G190" s="77">
        <f t="shared" si="17"/>
        <v>2550000</v>
      </c>
    </row>
    <row r="191" spans="1:7" ht="20.149999999999999" customHeight="1">
      <c r="A191" s="3"/>
      <c r="B191" s="29" t="s">
        <v>80</v>
      </c>
      <c r="C191" s="87">
        <f>C38+C43+C58+C62+C78+C86+C100+C107+C117+C131+C190+2</f>
        <v>152</v>
      </c>
      <c r="D191" s="31"/>
      <c r="E191" s="88">
        <f>E190+E131+E117+E107+E100+E86+E78+E62+E58+E43+E38</f>
        <v>62400000</v>
      </c>
      <c r="F191" s="88">
        <f>F190+F131+F117+F107+F100+F86+F78+F62+F58+F43+F38</f>
        <v>29750000</v>
      </c>
      <c r="G191" s="88">
        <f t="shared" ref="G191" si="18">G190+G131+G117+G107+G100+G86+G78+G62+G58+G43+G38</f>
        <v>32650000</v>
      </c>
    </row>
    <row r="192" spans="1:7" ht="20.149999999999999" customHeight="1">
      <c r="A192" s="2"/>
      <c r="B192" s="32"/>
      <c r="C192" s="32"/>
      <c r="D192" s="33"/>
      <c r="E192" s="89"/>
      <c r="F192" s="90"/>
      <c r="G192" s="90"/>
    </row>
    <row r="193" spans="1:5" ht="28.5" customHeight="1">
      <c r="A193" s="2"/>
      <c r="B193" s="32"/>
      <c r="C193" s="32"/>
      <c r="D193" s="33"/>
      <c r="E193" s="91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5"/>
  <cols>
    <col min="3" max="3" width="11.81640625" customWidth="1"/>
    <col min="4" max="5" width="28.1796875" customWidth="1"/>
  </cols>
  <sheetData>
    <row r="1" spans="1:6" ht="17.5">
      <c r="A1" s="839" t="s">
        <v>1223</v>
      </c>
      <c r="B1" s="839"/>
      <c r="C1" s="839"/>
      <c r="D1" s="839"/>
      <c r="E1" s="839"/>
      <c r="F1" s="839"/>
    </row>
    <row r="2" spans="1:6" ht="17.5">
      <c r="A2" s="840" t="s">
        <v>1224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948475.68</v>
      </c>
      <c r="E4" s="48">
        <f>SUMMARY!F3</f>
        <v>79039.64</v>
      </c>
      <c r="F4" s="45"/>
    </row>
    <row r="5" spans="1:6" ht="18">
      <c r="A5" s="841" t="s">
        <v>1228</v>
      </c>
      <c r="B5" s="841"/>
      <c r="C5" s="841"/>
      <c r="D5" s="48">
        <f t="shared" ref="D5:D14" si="0">E5*12</f>
        <v>2845427.04</v>
      </c>
      <c r="E5" s="48">
        <f>SUMMARY!H3</f>
        <v>237118.92</v>
      </c>
      <c r="F5" s="45"/>
    </row>
    <row r="6" spans="1:6" ht="18">
      <c r="A6" s="841" t="s">
        <v>1229</v>
      </c>
      <c r="B6" s="841"/>
      <c r="C6" s="841"/>
      <c r="D6" s="48">
        <f t="shared" si="0"/>
        <v>71135.676000000007</v>
      </c>
      <c r="E6" s="48">
        <f>SUMMARY!I3</f>
        <v>5927.973</v>
      </c>
      <c r="F6" s="45"/>
    </row>
    <row r="7" spans="1:6" ht="18">
      <c r="A7" s="841" t="s">
        <v>1230</v>
      </c>
      <c r="B7" s="841"/>
      <c r="C7" s="841"/>
      <c r="D7" s="48">
        <f t="shared" si="0"/>
        <v>962932.56</v>
      </c>
      <c r="E7" s="48">
        <f>SUMMARY!J3</f>
        <v>80244.38</v>
      </c>
      <c r="F7" s="45"/>
    </row>
    <row r="8" spans="1:6" ht="18">
      <c r="A8" s="841" t="s">
        <v>1231</v>
      </c>
      <c r="B8" s="841"/>
      <c r="C8" s="841"/>
      <c r="D8" s="48">
        <f t="shared" si="0"/>
        <v>474237.84</v>
      </c>
      <c r="E8" s="48">
        <f>SUMMARY!K3</f>
        <v>39519.82</v>
      </c>
      <c r="F8" s="45"/>
    </row>
    <row r="9" spans="1:6" ht="18">
      <c r="A9" s="841" t="s">
        <v>1232</v>
      </c>
      <c r="B9" s="841"/>
      <c r="C9" s="841"/>
      <c r="D9" s="48">
        <f t="shared" si="0"/>
        <v>3319664.88</v>
      </c>
      <c r="E9" s="48">
        <f>SUMMARY!L3</f>
        <v>276638.74</v>
      </c>
      <c r="F9" s="45"/>
    </row>
    <row r="10" spans="1:6" ht="18">
      <c r="A10" s="842" t="s">
        <v>1233</v>
      </c>
      <c r="B10" s="843"/>
      <c r="C10" s="844"/>
      <c r="D10" s="48">
        <f t="shared" si="0"/>
        <v>0</v>
      </c>
      <c r="E10" s="48"/>
      <c r="F10" s="45"/>
    </row>
    <row r="11" spans="1:6" ht="18">
      <c r="A11" s="841" t="s">
        <v>1234</v>
      </c>
      <c r="B11" s="841"/>
      <c r="C11" s="841"/>
      <c r="D11" s="48">
        <f t="shared" si="0"/>
        <v>948475.68</v>
      </c>
      <c r="E11" s="48">
        <f>SUMMARY!N3</f>
        <v>79039.64</v>
      </c>
      <c r="F11" s="45"/>
    </row>
    <row r="12" spans="1:6" ht="18">
      <c r="A12" s="841" t="s">
        <v>1235</v>
      </c>
      <c r="B12" s="841"/>
      <c r="C12" s="841"/>
      <c r="D12" s="48">
        <f t="shared" si="0"/>
        <v>94847.567999999999</v>
      </c>
      <c r="E12" s="48">
        <f>SUMMARY!O3</f>
        <v>7903.9639999999999</v>
      </c>
      <c r="F12" s="45"/>
    </row>
    <row r="13" spans="1:6" ht="18">
      <c r="A13" s="841" t="s">
        <v>1236</v>
      </c>
      <c r="B13" s="841"/>
      <c r="C13" s="841"/>
      <c r="D13" s="48">
        <f t="shared" si="0"/>
        <v>240000</v>
      </c>
      <c r="E13" s="48">
        <f>SUMMARY!P3</f>
        <v>20000</v>
      </c>
      <c r="F13" s="45"/>
    </row>
    <row r="14" spans="1:6" ht="18">
      <c r="A14" s="845" t="s">
        <v>9</v>
      </c>
      <c r="B14" s="845"/>
      <c r="C14" s="845"/>
      <c r="D14" s="50">
        <f t="shared" si="0"/>
        <v>9905196.9240000006</v>
      </c>
      <c r="E14" s="50">
        <f>SUM(E4:E13)</f>
        <v>825433.07700000005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46" t="s">
        <v>1237</v>
      </c>
      <c r="B1" s="846"/>
      <c r="C1" s="846"/>
      <c r="D1" s="846"/>
      <c r="E1" s="846"/>
      <c r="F1" s="846"/>
    </row>
    <row r="2" spans="1:6" ht="17.5">
      <c r="A2" s="840" t="s">
        <v>1238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 t="e">
        <f>E4*12</f>
        <v>#REF!</v>
      </c>
      <c r="E4" s="48" t="e">
        <f>'NOV 2024 NEW'!#REF!</f>
        <v>#REF!</v>
      </c>
      <c r="F4" s="45"/>
    </row>
    <row r="5" spans="1:6" ht="18">
      <c r="A5" s="841" t="s">
        <v>1228</v>
      </c>
      <c r="B5" s="841"/>
      <c r="C5" s="841"/>
      <c r="D5" s="48" t="e">
        <f t="shared" ref="D5:D13" si="0">E5*12</f>
        <v>#REF!</v>
      </c>
      <c r="E5" s="48" t="e">
        <f>'NOV 2024 NEW'!#REF!</f>
        <v>#REF!</v>
      </c>
      <c r="F5" s="45"/>
    </row>
    <row r="6" spans="1:6" ht="18">
      <c r="A6" s="841" t="s">
        <v>1229</v>
      </c>
      <c r="B6" s="841"/>
      <c r="C6" s="841"/>
      <c r="D6" s="48" t="e">
        <f t="shared" si="0"/>
        <v>#REF!</v>
      </c>
      <c r="E6" s="48" t="e">
        <f>'NOV 2024 NEW'!#REF!</f>
        <v>#REF!</v>
      </c>
      <c r="F6" s="45"/>
    </row>
    <row r="7" spans="1:6" ht="18">
      <c r="A7" s="841" t="s">
        <v>1230</v>
      </c>
      <c r="B7" s="841"/>
      <c r="C7" s="841"/>
      <c r="D7" s="48" t="e">
        <f t="shared" si="0"/>
        <v>#REF!</v>
      </c>
      <c r="E7" s="48" t="e">
        <f>'NOV 2024 NEW'!#REF!</f>
        <v>#REF!</v>
      </c>
      <c r="F7" s="45"/>
    </row>
    <row r="8" spans="1:6" ht="18">
      <c r="A8" s="841" t="s">
        <v>1231</v>
      </c>
      <c r="B8" s="841"/>
      <c r="C8" s="841"/>
      <c r="D8" s="48" t="e">
        <f t="shared" si="0"/>
        <v>#REF!</v>
      </c>
      <c r="E8" s="48" t="e">
        <f>'NOV 2024 NEW'!#REF!</f>
        <v>#REF!</v>
      </c>
      <c r="F8" s="45"/>
    </row>
    <row r="9" spans="1:6" ht="18">
      <c r="A9" s="841" t="s">
        <v>1232</v>
      </c>
      <c r="B9" s="841"/>
      <c r="C9" s="841"/>
      <c r="D9" s="48" t="e">
        <f t="shared" si="0"/>
        <v>#REF!</v>
      </c>
      <c r="E9" s="48" t="e">
        <f>'NOV 2024 NEW'!#REF!</f>
        <v>#REF!</v>
      </c>
      <c r="F9" s="45"/>
    </row>
    <row r="10" spans="1:6" ht="18">
      <c r="A10" s="841" t="s">
        <v>1234</v>
      </c>
      <c r="B10" s="841"/>
      <c r="C10" s="841"/>
      <c r="D10" s="48" t="e">
        <f t="shared" si="0"/>
        <v>#REF!</v>
      </c>
      <c r="E10" s="48" t="e">
        <f>'NOV 2024 NEW'!#REF!</f>
        <v>#REF!</v>
      </c>
      <c r="F10" s="45"/>
    </row>
    <row r="11" spans="1:6" ht="18">
      <c r="A11" s="842" t="s">
        <v>1239</v>
      </c>
      <c r="B11" s="843"/>
      <c r="C11" s="844"/>
      <c r="D11" s="48">
        <f t="shared" si="0"/>
        <v>1200000</v>
      </c>
      <c r="E11" s="48">
        <v>100000</v>
      </c>
      <c r="F11" s="45"/>
    </row>
    <row r="12" spans="1:6" ht="18">
      <c r="A12" s="841" t="s">
        <v>1235</v>
      </c>
      <c r="B12" s="841"/>
      <c r="C12" s="841"/>
      <c r="D12" s="48" t="e">
        <f t="shared" si="0"/>
        <v>#REF!</v>
      </c>
      <c r="E12" s="48" t="e">
        <f>'NOV 2024 NEW'!#REF!</f>
        <v>#REF!</v>
      </c>
      <c r="F12" s="45"/>
    </row>
    <row r="13" spans="1:6" ht="18">
      <c r="A13" s="841" t="s">
        <v>1236</v>
      </c>
      <c r="B13" s="841"/>
      <c r="C13" s="841"/>
      <c r="D13" s="48" t="e">
        <f t="shared" si="0"/>
        <v>#REF!</v>
      </c>
      <c r="E13" s="48" t="e">
        <f>'NOV 2024 NEW'!#REF!</f>
        <v>#REF!</v>
      </c>
      <c r="F13" s="45"/>
    </row>
    <row r="14" spans="1:6" ht="18">
      <c r="A14" s="845" t="s">
        <v>9</v>
      </c>
      <c r="B14" s="845"/>
      <c r="C14" s="845"/>
      <c r="D14" s="50" t="e">
        <f>SUM(D4:D13)</f>
        <v>#REF!</v>
      </c>
      <c r="E14" s="50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46" t="s">
        <v>1240</v>
      </c>
      <c r="B1" s="846"/>
      <c r="C1" s="846"/>
      <c r="D1" s="846"/>
      <c r="E1" s="846"/>
      <c r="F1" s="846"/>
    </row>
    <row r="2" spans="1:6" ht="17.5">
      <c r="A2" s="840" t="s">
        <v>1241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 t="e">
        <f>E4*12</f>
        <v>#REF!</v>
      </c>
      <c r="E4" s="48" t="e">
        <f>'NOV 2024 NEW'!#REF!</f>
        <v>#REF!</v>
      </c>
      <c r="F4" s="45"/>
    </row>
    <row r="5" spans="1:6" ht="18">
      <c r="A5" s="841" t="s">
        <v>1228</v>
      </c>
      <c r="B5" s="841"/>
      <c r="C5" s="841"/>
      <c r="D5" s="48" t="e">
        <f t="shared" ref="D5:D14" si="0">E5*12</f>
        <v>#REF!</v>
      </c>
      <c r="E5" s="48" t="e">
        <f>'NOV 2024 NEW'!#REF!</f>
        <v>#REF!</v>
      </c>
      <c r="F5" s="45"/>
    </row>
    <row r="6" spans="1:6" ht="18">
      <c r="A6" s="841" t="s">
        <v>1229</v>
      </c>
      <c r="B6" s="841"/>
      <c r="C6" s="841"/>
      <c r="D6" s="48" t="e">
        <f t="shared" si="0"/>
        <v>#REF!</v>
      </c>
      <c r="E6" s="48" t="e">
        <f>'NOV 2024 NEW'!#REF!</f>
        <v>#REF!</v>
      </c>
      <c r="F6" s="45"/>
    </row>
    <row r="7" spans="1:6" ht="18">
      <c r="A7" s="841" t="s">
        <v>1230</v>
      </c>
      <c r="B7" s="841"/>
      <c r="C7" s="841"/>
      <c r="D7" s="48" t="e">
        <f t="shared" si="0"/>
        <v>#REF!</v>
      </c>
      <c r="E7" s="48" t="e">
        <f>'NOV 2024 NEW'!#REF!</f>
        <v>#REF!</v>
      </c>
      <c r="F7" s="45"/>
    </row>
    <row r="8" spans="1:6" ht="18">
      <c r="A8" s="841" t="s">
        <v>1231</v>
      </c>
      <c r="B8" s="841"/>
      <c r="C8" s="841"/>
      <c r="D8" s="48" t="e">
        <f t="shared" si="0"/>
        <v>#REF!</v>
      </c>
      <c r="E8" s="48" t="e">
        <f>'NOV 2024 NEW'!#REF!</f>
        <v>#REF!</v>
      </c>
      <c r="F8" s="45"/>
    </row>
    <row r="9" spans="1:6" ht="18">
      <c r="A9" s="841" t="s">
        <v>1232</v>
      </c>
      <c r="B9" s="841"/>
      <c r="C9" s="841"/>
      <c r="D9" s="48" t="e">
        <f t="shared" si="0"/>
        <v>#REF!</v>
      </c>
      <c r="E9" s="48" t="e">
        <f>'NOV 2024 NEW'!#REF!</f>
        <v>#REF!</v>
      </c>
      <c r="F9" s="45"/>
    </row>
    <row r="10" spans="1:6" ht="18">
      <c r="A10" s="841" t="s">
        <v>1234</v>
      </c>
      <c r="B10" s="841"/>
      <c r="C10" s="841"/>
      <c r="D10" s="48" t="e">
        <f t="shared" si="0"/>
        <v>#REF!</v>
      </c>
      <c r="E10" s="48" t="e">
        <f>'NOV 2024 NEW'!#REF!</f>
        <v>#REF!</v>
      </c>
      <c r="F10" s="45"/>
    </row>
    <row r="11" spans="1:6" ht="18">
      <c r="A11" s="842" t="s">
        <v>1233</v>
      </c>
      <c r="B11" s="843"/>
      <c r="C11" s="844"/>
      <c r="D11" s="48">
        <f t="shared" si="0"/>
        <v>0</v>
      </c>
      <c r="E11" s="48">
        <v>0</v>
      </c>
      <c r="F11" s="45"/>
    </row>
    <row r="12" spans="1:6" ht="18">
      <c r="A12" s="841" t="s">
        <v>1235</v>
      </c>
      <c r="B12" s="841"/>
      <c r="C12" s="841"/>
      <c r="D12" s="48" t="e">
        <f t="shared" si="0"/>
        <v>#REF!</v>
      </c>
      <c r="E12" s="48" t="e">
        <f>'NOV 2024 NEW'!#REF!</f>
        <v>#REF!</v>
      </c>
      <c r="F12" s="45"/>
    </row>
    <row r="13" spans="1:6" ht="18">
      <c r="A13" s="841" t="s">
        <v>1236</v>
      </c>
      <c r="B13" s="841"/>
      <c r="C13" s="841"/>
      <c r="D13" s="48">
        <f t="shared" si="0"/>
        <v>240000</v>
      </c>
      <c r="E13" s="48">
        <v>20000</v>
      </c>
      <c r="F13" s="45"/>
    </row>
    <row r="14" spans="1:6" ht="18">
      <c r="A14" s="845" t="s">
        <v>9</v>
      </c>
      <c r="B14" s="845"/>
      <c r="C14" s="845"/>
      <c r="D14" s="50" t="e">
        <f t="shared" si="0"/>
        <v>#REF!</v>
      </c>
      <c r="E14" s="50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46" t="s">
        <v>1242</v>
      </c>
      <c r="B1" s="846"/>
      <c r="C1" s="846"/>
      <c r="D1" s="846"/>
      <c r="E1" s="846"/>
      <c r="F1" s="846"/>
    </row>
    <row r="2" spans="1:6" ht="17.5">
      <c r="A2" s="840" t="s">
        <v>1243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 t="e">
        <f>E4*12</f>
        <v>#REF!</v>
      </c>
      <c r="E4" s="48" t="e">
        <f>'NOV 2024 NEW'!#REF!</f>
        <v>#REF!</v>
      </c>
      <c r="F4" s="45"/>
    </row>
    <row r="5" spans="1:6" ht="18">
      <c r="A5" s="841" t="s">
        <v>1228</v>
      </c>
      <c r="B5" s="841"/>
      <c r="C5" s="841"/>
      <c r="D5" s="48" t="e">
        <f t="shared" ref="D5:D14" si="0">E5*12</f>
        <v>#REF!</v>
      </c>
      <c r="E5" s="48" t="e">
        <f>'NOV 2024 NEW'!#REF!</f>
        <v>#REF!</v>
      </c>
      <c r="F5" s="45"/>
    </row>
    <row r="6" spans="1:6" ht="18">
      <c r="A6" s="841" t="s">
        <v>1229</v>
      </c>
      <c r="B6" s="841"/>
      <c r="C6" s="841"/>
      <c r="D6" s="48" t="e">
        <f t="shared" si="0"/>
        <v>#REF!</v>
      </c>
      <c r="E6" s="48" t="e">
        <f>'NOV 2024 NEW'!#REF!</f>
        <v>#REF!</v>
      </c>
      <c r="F6" s="45"/>
    </row>
    <row r="7" spans="1:6" ht="18">
      <c r="A7" s="841" t="s">
        <v>1230</v>
      </c>
      <c r="B7" s="841"/>
      <c r="C7" s="841"/>
      <c r="D7" s="48">
        <f t="shared" si="0"/>
        <v>0</v>
      </c>
      <c r="E7" s="48">
        <f>SUMMARY!J6</f>
        <v>0</v>
      </c>
      <c r="F7" s="45"/>
    </row>
    <row r="8" spans="1:6" ht="18">
      <c r="A8" s="841" t="s">
        <v>1231</v>
      </c>
      <c r="B8" s="841"/>
      <c r="C8" s="841"/>
      <c r="D8" s="48" t="e">
        <f t="shared" si="0"/>
        <v>#REF!</v>
      </c>
      <c r="E8" s="48" t="e">
        <f>'NOV 2024 NEW'!#REF!</f>
        <v>#REF!</v>
      </c>
      <c r="F8" s="45"/>
    </row>
    <row r="9" spans="1:6" ht="18">
      <c r="A9" s="841" t="s">
        <v>1232</v>
      </c>
      <c r="B9" s="841"/>
      <c r="C9" s="841"/>
      <c r="D9" s="48" t="e">
        <f t="shared" si="0"/>
        <v>#REF!</v>
      </c>
      <c r="E9" s="48" t="e">
        <f>'NOV 2024 NEW'!#REF!</f>
        <v>#REF!</v>
      </c>
      <c r="F9" s="45"/>
    </row>
    <row r="10" spans="1:6" ht="18">
      <c r="A10" s="841" t="s">
        <v>1234</v>
      </c>
      <c r="B10" s="841"/>
      <c r="C10" s="841"/>
      <c r="D10" s="48" t="e">
        <f t="shared" si="0"/>
        <v>#REF!</v>
      </c>
      <c r="E10" s="48" t="e">
        <f>'NOV 2024 NEW'!#REF!</f>
        <v>#REF!</v>
      </c>
      <c r="F10" s="45"/>
    </row>
    <row r="11" spans="1:6" ht="18">
      <c r="A11" s="842" t="s">
        <v>1233</v>
      </c>
      <c r="B11" s="843"/>
      <c r="C11" s="844"/>
      <c r="D11" s="48">
        <f t="shared" si="0"/>
        <v>0</v>
      </c>
      <c r="E11" s="48">
        <v>0</v>
      </c>
      <c r="F11" s="45"/>
    </row>
    <row r="12" spans="1:6" ht="18">
      <c r="A12" s="841" t="s">
        <v>1235</v>
      </c>
      <c r="B12" s="841"/>
      <c r="C12" s="841"/>
      <c r="D12" s="48" t="e">
        <f t="shared" si="0"/>
        <v>#REF!</v>
      </c>
      <c r="E12" s="48" t="e">
        <f>'NOV 2024 NEW'!#REF!</f>
        <v>#REF!</v>
      </c>
      <c r="F12" s="45"/>
    </row>
    <row r="13" spans="1:6" ht="18">
      <c r="A13" s="841" t="s">
        <v>1236</v>
      </c>
      <c r="B13" s="841"/>
      <c r="C13" s="841"/>
      <c r="D13" s="48" t="e">
        <f t="shared" si="0"/>
        <v>#REF!</v>
      </c>
      <c r="E13" s="48" t="e">
        <f>'NOV 2024 NEW'!#REF!</f>
        <v>#REF!</v>
      </c>
      <c r="F13" s="45"/>
    </row>
    <row r="14" spans="1:6" ht="18">
      <c r="A14" s="845" t="s">
        <v>9</v>
      </c>
      <c r="B14" s="845"/>
      <c r="C14" s="845"/>
      <c r="D14" s="50" t="e">
        <f t="shared" si="0"/>
        <v>#REF!</v>
      </c>
      <c r="E14" s="50" t="e">
        <f>SUM(E4:E13)</f>
        <v>#REF!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46"/>
      <c r="B1" s="846"/>
      <c r="C1" s="846"/>
      <c r="D1" s="846"/>
      <c r="E1" s="846"/>
      <c r="F1" s="846"/>
    </row>
    <row r="2" spans="1:6" ht="17.5">
      <c r="A2" s="840"/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255527.52</v>
      </c>
      <c r="E4" s="48">
        <f>SUMMARY!F7</f>
        <v>21293.96</v>
      </c>
      <c r="F4" s="45"/>
    </row>
    <row r="5" spans="1:6" ht="18">
      <c r="A5" s="841" t="s">
        <v>1228</v>
      </c>
      <c r="B5" s="841"/>
      <c r="C5" s="841"/>
      <c r="D5" s="48">
        <f t="shared" ref="D5:D13" si="0">E5*12</f>
        <v>766582.56</v>
      </c>
      <c r="E5" s="48">
        <f>SUMMARY!H7</f>
        <v>63881.88</v>
      </c>
      <c r="F5" s="45"/>
    </row>
    <row r="6" spans="1:6" ht="18">
      <c r="A6" s="841" t="s">
        <v>1229</v>
      </c>
      <c r="B6" s="841"/>
      <c r="C6" s="841"/>
      <c r="D6" s="48">
        <f t="shared" si="0"/>
        <v>19164.563999999998</v>
      </c>
      <c r="E6" s="48">
        <f>SUMMARY!I7</f>
        <v>1597.047</v>
      </c>
      <c r="F6" s="45"/>
    </row>
    <row r="7" spans="1:6" ht="18">
      <c r="A7" s="841" t="s">
        <v>1230</v>
      </c>
      <c r="B7" s="841"/>
      <c r="C7" s="841"/>
      <c r="D7" s="48">
        <f t="shared" si="0"/>
        <v>0</v>
      </c>
      <c r="E7" s="48">
        <f>SUMMARY!J6</f>
        <v>0</v>
      </c>
      <c r="F7" s="45"/>
    </row>
    <row r="8" spans="1:6" ht="18">
      <c r="A8" s="841" t="s">
        <v>1231</v>
      </c>
      <c r="B8" s="841"/>
      <c r="C8" s="841"/>
      <c r="D8" s="48">
        <f t="shared" si="0"/>
        <v>127763.76</v>
      </c>
      <c r="E8" s="48">
        <f>SUMMARY!K7</f>
        <v>10646.98</v>
      </c>
      <c r="F8" s="45"/>
    </row>
    <row r="9" spans="1:6" ht="18">
      <c r="A9" s="841" t="s">
        <v>1232</v>
      </c>
      <c r="B9" s="841"/>
      <c r="C9" s="841"/>
      <c r="D9" s="48">
        <f t="shared" si="0"/>
        <v>894346.32</v>
      </c>
      <c r="E9" s="48">
        <f>SUMMARY!L7</f>
        <v>74528.86</v>
      </c>
      <c r="F9" s="45"/>
    </row>
    <row r="10" spans="1:6" ht="18">
      <c r="A10" s="841" t="s">
        <v>1234</v>
      </c>
      <c r="B10" s="841"/>
      <c r="C10" s="841"/>
      <c r="D10" s="48">
        <f t="shared" si="0"/>
        <v>255527.52</v>
      </c>
      <c r="E10" s="48">
        <f>SUMMARY!N7</f>
        <v>21293.96</v>
      </c>
      <c r="F10" s="45"/>
    </row>
    <row r="11" spans="1:6" ht="18">
      <c r="A11" s="841" t="s">
        <v>1235</v>
      </c>
      <c r="B11" s="841"/>
      <c r="C11" s="841"/>
      <c r="D11" s="48">
        <f t="shared" si="0"/>
        <v>25552.752</v>
      </c>
      <c r="E11" s="48">
        <f>SUMMARY!O7</f>
        <v>2129.3960000000002</v>
      </c>
      <c r="F11" s="45"/>
    </row>
    <row r="12" spans="1:6" ht="18">
      <c r="A12" s="841" t="s">
        <v>1236</v>
      </c>
      <c r="B12" s="841"/>
      <c r="C12" s="841"/>
      <c r="D12" s="48">
        <f t="shared" si="0"/>
        <v>120000</v>
      </c>
      <c r="E12" s="48">
        <f>SUMMARY!P7</f>
        <v>10000</v>
      </c>
      <c r="F12" s="45"/>
    </row>
    <row r="13" spans="1:6" ht="18">
      <c r="A13" s="845" t="s">
        <v>9</v>
      </c>
      <c r="B13" s="845"/>
      <c r="C13" s="845"/>
      <c r="D13" s="50">
        <f t="shared" si="0"/>
        <v>2464464.9959999998</v>
      </c>
      <c r="E13" s="50">
        <f>SUM(E4:E12)</f>
        <v>205372.08300000001</v>
      </c>
      <c r="F13" s="45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46" t="s">
        <v>1244</v>
      </c>
      <c r="B1" s="846"/>
      <c r="C1" s="846"/>
      <c r="D1" s="846"/>
      <c r="E1" s="846"/>
      <c r="F1" s="846"/>
    </row>
    <row r="2" spans="1:6" ht="17.5">
      <c r="A2" s="840" t="s">
        <v>1245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207435.96</v>
      </c>
      <c r="E4" s="48">
        <f>SUMMARY!F8</f>
        <v>17286.330000000002</v>
      </c>
      <c r="F4" s="45"/>
    </row>
    <row r="5" spans="1:6" ht="18">
      <c r="A5" s="841" t="s">
        <v>1228</v>
      </c>
      <c r="B5" s="841"/>
      <c r="C5" s="841"/>
      <c r="D5" s="48">
        <f t="shared" ref="D5:D14" si="0">E5*12</f>
        <v>622307.88</v>
      </c>
      <c r="E5" s="48">
        <f>SUMMARY!H8</f>
        <v>51858.99</v>
      </c>
      <c r="F5" s="45"/>
    </row>
    <row r="6" spans="1:6" ht="18">
      <c r="A6" s="841" t="s">
        <v>1229</v>
      </c>
      <c r="B6" s="841"/>
      <c r="C6" s="841"/>
      <c r="D6" s="48">
        <f t="shared" si="0"/>
        <v>15557.697</v>
      </c>
      <c r="E6" s="48">
        <f>SUMMARY!I8</f>
        <v>1296.4747500000001</v>
      </c>
      <c r="F6" s="45"/>
    </row>
    <row r="7" spans="1:6" ht="18">
      <c r="A7" s="841" t="s">
        <v>1230</v>
      </c>
      <c r="B7" s="841"/>
      <c r="C7" s="841"/>
      <c r="D7" s="48">
        <f t="shared" si="0"/>
        <v>0</v>
      </c>
      <c r="E7" s="48">
        <f>SUMMARY!J6</f>
        <v>0</v>
      </c>
      <c r="F7" s="45"/>
    </row>
    <row r="8" spans="1:6" ht="18">
      <c r="A8" s="841" t="s">
        <v>1231</v>
      </c>
      <c r="B8" s="841"/>
      <c r="C8" s="841"/>
      <c r="D8" s="48">
        <f t="shared" si="0"/>
        <v>103717.98</v>
      </c>
      <c r="E8" s="48">
        <f>SUMMARY!K8</f>
        <v>8643.1650000000009</v>
      </c>
      <c r="F8" s="45"/>
    </row>
    <row r="9" spans="1:6" ht="18">
      <c r="A9" s="841" t="s">
        <v>1232</v>
      </c>
      <c r="B9" s="841"/>
      <c r="C9" s="841"/>
      <c r="D9" s="48">
        <f t="shared" si="0"/>
        <v>726025.86</v>
      </c>
      <c r="E9" s="48">
        <f>SUMMARY!L8</f>
        <v>60502.154999999999</v>
      </c>
      <c r="F9" s="45"/>
    </row>
    <row r="10" spans="1:6" ht="18">
      <c r="A10" s="841" t="s">
        <v>1234</v>
      </c>
      <c r="B10" s="841"/>
      <c r="C10" s="841"/>
      <c r="D10" s="48">
        <f t="shared" si="0"/>
        <v>207435.96</v>
      </c>
      <c r="E10" s="48">
        <f>SUMMARY!N8</f>
        <v>17286.330000000002</v>
      </c>
      <c r="F10" s="45"/>
    </row>
    <row r="11" spans="1:6" ht="18">
      <c r="A11" s="842" t="s">
        <v>1233</v>
      </c>
      <c r="B11" s="843"/>
      <c r="C11" s="844"/>
      <c r="D11" s="48">
        <f t="shared" si="0"/>
        <v>480000</v>
      </c>
      <c r="E11" s="48">
        <v>40000</v>
      </c>
      <c r="F11" s="45"/>
    </row>
    <row r="12" spans="1:6" ht="18">
      <c r="A12" s="841" t="s">
        <v>1235</v>
      </c>
      <c r="B12" s="841"/>
      <c r="C12" s="841"/>
      <c r="D12" s="48">
        <f t="shared" si="0"/>
        <v>20743.596000000001</v>
      </c>
      <c r="E12" s="48">
        <f>SUMMARY!O8</f>
        <v>1728.633</v>
      </c>
      <c r="F12" s="45"/>
    </row>
    <row r="13" spans="1:6" ht="18">
      <c r="A13" s="841" t="s">
        <v>1236</v>
      </c>
      <c r="B13" s="841"/>
      <c r="C13" s="841"/>
      <c r="D13" s="48">
        <f t="shared" si="0"/>
        <v>120000</v>
      </c>
      <c r="E13" s="48">
        <f>SUMMARY!P7</f>
        <v>10000</v>
      </c>
      <c r="F13" s="45"/>
    </row>
    <row r="14" spans="1:6" ht="18">
      <c r="A14" s="845" t="s">
        <v>9</v>
      </c>
      <c r="B14" s="845"/>
      <c r="C14" s="845"/>
      <c r="D14" s="50">
        <f t="shared" si="0"/>
        <v>2503224.9330000002</v>
      </c>
      <c r="E14" s="50">
        <f>SUM(E4:E13)</f>
        <v>208602.07775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46" t="s">
        <v>1246</v>
      </c>
      <c r="B1" s="846"/>
      <c r="C1" s="846"/>
      <c r="D1" s="846"/>
      <c r="E1" s="846"/>
      <c r="F1" s="846"/>
    </row>
    <row r="2" spans="1:6" ht="17.5">
      <c r="A2" s="840" t="s">
        <v>1247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176833.68</v>
      </c>
      <c r="E4" s="48">
        <f>SUMMARY!F9</f>
        <v>14736.14</v>
      </c>
      <c r="F4" s="45"/>
    </row>
    <row r="5" spans="1:6" ht="18">
      <c r="A5" s="841" t="s">
        <v>1228</v>
      </c>
      <c r="B5" s="841"/>
      <c r="C5" s="841"/>
      <c r="D5" s="48">
        <f t="shared" ref="D5:D14" si="0">E5*12</f>
        <v>530501.04</v>
      </c>
      <c r="E5" s="48">
        <f>SUMMARY!H9</f>
        <v>44208.42</v>
      </c>
      <c r="F5" s="45"/>
    </row>
    <row r="6" spans="1:6" ht="18">
      <c r="A6" s="841" t="s">
        <v>1229</v>
      </c>
      <c r="B6" s="841"/>
      <c r="C6" s="841"/>
      <c r="D6" s="48">
        <f t="shared" si="0"/>
        <v>13262.526</v>
      </c>
      <c r="E6" s="48">
        <f>SUMMARY!I9</f>
        <v>1105.2104999999999</v>
      </c>
      <c r="F6" s="45"/>
    </row>
    <row r="7" spans="1:6" ht="18">
      <c r="A7" s="841" t="s">
        <v>1230</v>
      </c>
      <c r="B7" s="841"/>
      <c r="C7" s="841"/>
      <c r="D7" s="48">
        <f t="shared" si="0"/>
        <v>0</v>
      </c>
      <c r="E7" s="48">
        <f>SUMMARY!J6</f>
        <v>0</v>
      </c>
      <c r="F7" s="45"/>
    </row>
    <row r="8" spans="1:6" ht="18">
      <c r="A8" s="841" t="s">
        <v>1231</v>
      </c>
      <c r="B8" s="841"/>
      <c r="C8" s="841"/>
      <c r="D8" s="48">
        <f t="shared" si="0"/>
        <v>88416.84</v>
      </c>
      <c r="E8" s="48">
        <f>SUMMARY!K9</f>
        <v>7368.07</v>
      </c>
      <c r="F8" s="45"/>
    </row>
    <row r="9" spans="1:6" ht="18">
      <c r="A9" s="841" t="s">
        <v>1232</v>
      </c>
      <c r="B9" s="841"/>
      <c r="C9" s="841"/>
      <c r="D9" s="48">
        <f t="shared" si="0"/>
        <v>618917.88</v>
      </c>
      <c r="E9" s="48">
        <f>SUMMARY!L9</f>
        <v>51576.49</v>
      </c>
      <c r="F9" s="45"/>
    </row>
    <row r="10" spans="1:6" ht="18">
      <c r="A10" s="841" t="s">
        <v>1234</v>
      </c>
      <c r="B10" s="841"/>
      <c r="C10" s="841"/>
      <c r="D10" s="48">
        <f t="shared" si="0"/>
        <v>176833.68</v>
      </c>
      <c r="E10" s="48">
        <f>SUMMARY!N9</f>
        <v>14736.14</v>
      </c>
      <c r="F10" s="45"/>
    </row>
    <row r="11" spans="1:6" ht="18">
      <c r="A11" s="842" t="s">
        <v>1248</v>
      </c>
      <c r="B11" s="843"/>
      <c r="C11" s="844"/>
      <c r="D11" s="48">
        <f t="shared" si="0"/>
        <v>480000</v>
      </c>
      <c r="E11" s="48">
        <v>40000</v>
      </c>
      <c r="F11" s="45"/>
    </row>
    <row r="12" spans="1:6" ht="18">
      <c r="A12" s="841" t="s">
        <v>1235</v>
      </c>
      <c r="B12" s="841"/>
      <c r="C12" s="841"/>
      <c r="D12" s="48">
        <f t="shared" si="0"/>
        <v>17683.367999999999</v>
      </c>
      <c r="E12" s="48">
        <f>SUMMARY!O9</f>
        <v>1473.614</v>
      </c>
      <c r="F12" s="45"/>
    </row>
    <row r="13" spans="1:6" ht="18">
      <c r="A13" s="841" t="s">
        <v>1236</v>
      </c>
      <c r="B13" s="841"/>
      <c r="C13" s="841"/>
      <c r="D13" s="48">
        <f t="shared" si="0"/>
        <v>120000</v>
      </c>
      <c r="E13" s="48">
        <f>SUMMARY!P7</f>
        <v>10000</v>
      </c>
      <c r="F13" s="45"/>
    </row>
    <row r="14" spans="1:6" ht="18">
      <c r="A14" s="845" t="s">
        <v>9</v>
      </c>
      <c r="B14" s="845"/>
      <c r="C14" s="845"/>
      <c r="D14" s="50">
        <f t="shared" si="0"/>
        <v>2222449.014</v>
      </c>
      <c r="E14" s="50">
        <f>SUM(E4:E13)</f>
        <v>185204.0845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46" t="s">
        <v>1249</v>
      </c>
      <c r="B1" s="846"/>
      <c r="C1" s="846"/>
      <c r="D1" s="846"/>
      <c r="E1" s="846"/>
      <c r="F1" s="846"/>
    </row>
    <row r="2" spans="1:6" ht="17.5">
      <c r="A2" s="840"/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4682987</v>
      </c>
      <c r="E4" s="48">
        <f>'NOV 2024 NEW'!E29</f>
        <v>390248.91666666698</v>
      </c>
      <c r="F4" s="45"/>
    </row>
    <row r="5" spans="1:6" ht="18">
      <c r="A5" s="841" t="s">
        <v>1228</v>
      </c>
      <c r="B5" s="841"/>
      <c r="C5" s="841"/>
      <c r="D5" s="48" t="e">
        <f t="shared" ref="D5:D12" si="0">E5*12</f>
        <v>#REF!</v>
      </c>
      <c r="E5" s="48" t="e">
        <f>'NOV 2024 NEW'!#REF!</f>
        <v>#REF!</v>
      </c>
      <c r="F5" s="45"/>
    </row>
    <row r="6" spans="1:6" ht="18">
      <c r="A6" s="841" t="s">
        <v>1229</v>
      </c>
      <c r="B6" s="841"/>
      <c r="C6" s="841"/>
      <c r="D6" s="48" t="e">
        <f t="shared" si="0"/>
        <v>#REF!</v>
      </c>
      <c r="E6" s="48" t="e">
        <f>'NOV 2024 NEW'!#REF!</f>
        <v>#REF!</v>
      </c>
      <c r="F6" s="45"/>
    </row>
    <row r="7" spans="1:6" ht="18">
      <c r="A7" s="841" t="s">
        <v>1231</v>
      </c>
      <c r="B7" s="841"/>
      <c r="C7" s="841"/>
      <c r="D7" s="48" t="e">
        <f t="shared" si="0"/>
        <v>#REF!</v>
      </c>
      <c r="E7" s="48" t="e">
        <f>'NOV 2024 NEW'!#REF!</f>
        <v>#REF!</v>
      </c>
      <c r="F7" s="45"/>
    </row>
    <row r="8" spans="1:6" ht="18">
      <c r="A8" s="841" t="s">
        <v>1232</v>
      </c>
      <c r="B8" s="841"/>
      <c r="C8" s="841"/>
      <c r="D8" s="48" t="e">
        <f t="shared" si="0"/>
        <v>#REF!</v>
      </c>
      <c r="E8" s="48" t="e">
        <f>'NOV 2024 NEW'!#REF!</f>
        <v>#REF!</v>
      </c>
      <c r="F8" s="45"/>
    </row>
    <row r="9" spans="1:6" ht="18">
      <c r="A9" s="841" t="s">
        <v>1234</v>
      </c>
      <c r="B9" s="841"/>
      <c r="C9" s="841"/>
      <c r="D9" s="48" t="e">
        <f t="shared" si="0"/>
        <v>#REF!</v>
      </c>
      <c r="E9" s="48" t="e">
        <f>'NOV 2024 NEW'!#REF!</f>
        <v>#REF!</v>
      </c>
      <c r="F9" s="45"/>
    </row>
    <row r="10" spans="1:6" ht="18">
      <c r="A10" s="841" t="s">
        <v>1235</v>
      </c>
      <c r="B10" s="841"/>
      <c r="C10" s="841"/>
      <c r="D10" s="48" t="e">
        <f t="shared" si="0"/>
        <v>#REF!</v>
      </c>
      <c r="E10" s="48" t="e">
        <f>'NOV 2024 NEW'!#REF!</f>
        <v>#REF!</v>
      </c>
      <c r="F10" s="45"/>
    </row>
    <row r="11" spans="1:6" ht="18">
      <c r="A11" s="841" t="s">
        <v>1236</v>
      </c>
      <c r="B11" s="841"/>
      <c r="C11" s="841"/>
      <c r="D11" s="48" t="e">
        <f t="shared" si="0"/>
        <v>#REF!</v>
      </c>
      <c r="E11" s="48" t="e">
        <f>'NOV 2024 NEW'!#REF!</f>
        <v>#REF!</v>
      </c>
      <c r="F11" s="45"/>
    </row>
    <row r="12" spans="1:6" ht="18">
      <c r="A12" s="845" t="s">
        <v>9</v>
      </c>
      <c r="B12" s="845"/>
      <c r="C12" s="845"/>
      <c r="D12" s="50" t="e">
        <f t="shared" si="0"/>
        <v>#REF!</v>
      </c>
      <c r="E12" s="50" t="e">
        <f>SUM(E4:E11)</f>
        <v>#REF!</v>
      </c>
      <c r="F12" s="45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51" t="s">
        <v>1194</v>
      </c>
      <c r="G1" s="51" t="s">
        <v>1250</v>
      </c>
      <c r="H1" s="51"/>
      <c r="I1" s="51"/>
      <c r="J1" s="51"/>
      <c r="K1" s="51"/>
      <c r="L1" s="51"/>
      <c r="M1" s="51" t="s">
        <v>1251</v>
      </c>
      <c r="N1" s="51" t="s">
        <v>1195</v>
      </c>
      <c r="O1" s="51" t="s">
        <v>1196</v>
      </c>
      <c r="P1" s="51" t="s">
        <v>1198</v>
      </c>
      <c r="Q1" s="51" t="s">
        <v>1199</v>
      </c>
      <c r="R1" s="51" t="s">
        <v>1200</v>
      </c>
      <c r="S1" s="51" t="s">
        <v>1252</v>
      </c>
      <c r="T1" s="56"/>
      <c r="U1" s="57" t="s">
        <v>1253</v>
      </c>
      <c r="V1" s="58" t="s">
        <v>1254</v>
      </c>
    </row>
    <row r="2" spans="1:22" ht="17.5">
      <c r="F2" s="51" t="s">
        <v>195</v>
      </c>
      <c r="G2" s="51" t="s">
        <v>1255</v>
      </c>
      <c r="H2" s="51" t="s">
        <v>566</v>
      </c>
      <c r="I2" s="51" t="s">
        <v>567</v>
      </c>
      <c r="J2" s="51" t="s">
        <v>568</v>
      </c>
      <c r="K2" s="51" t="s">
        <v>569</v>
      </c>
      <c r="L2" s="51" t="s">
        <v>570</v>
      </c>
      <c r="M2" s="51" t="s">
        <v>1256</v>
      </c>
      <c r="N2" s="51" t="s">
        <v>571</v>
      </c>
      <c r="O2" s="51" t="s">
        <v>7</v>
      </c>
      <c r="P2" s="51" t="s">
        <v>572</v>
      </c>
      <c r="Q2" s="51" t="s">
        <v>572</v>
      </c>
      <c r="R2" s="51" t="s">
        <v>8</v>
      </c>
      <c r="S2" s="51" t="s">
        <v>195</v>
      </c>
      <c r="T2" s="51" t="s">
        <v>14</v>
      </c>
      <c r="U2" s="57"/>
      <c r="V2" s="58"/>
    </row>
    <row r="3" spans="1:22" ht="18">
      <c r="A3" s="847" t="s">
        <v>1257</v>
      </c>
      <c r="B3" s="848"/>
      <c r="C3" s="849"/>
      <c r="D3" s="52"/>
      <c r="E3" s="52" t="s">
        <v>1258</v>
      </c>
      <c r="F3" s="53">
        <v>79039.64</v>
      </c>
      <c r="G3" s="53"/>
      <c r="H3" s="53">
        <f t="shared" ref="H3:H10" si="0">F3*300%</f>
        <v>237118.92</v>
      </c>
      <c r="I3" s="53">
        <f t="shared" ref="I3:I10" si="1">F3*7.5%</f>
        <v>5927.973</v>
      </c>
      <c r="J3" s="53">
        <v>80244.38</v>
      </c>
      <c r="K3" s="53">
        <f t="shared" ref="K3:K10" si="2">F3*50%</f>
        <v>39519.82</v>
      </c>
      <c r="L3" s="53">
        <f t="shared" ref="L3:L10" si="3">F3*350%</f>
        <v>276638.74</v>
      </c>
      <c r="M3" s="53">
        <v>0</v>
      </c>
      <c r="N3" s="53">
        <f t="shared" ref="N3:N10" si="4">F3*100%</f>
        <v>79039.64</v>
      </c>
      <c r="O3" s="53">
        <f t="shared" ref="O3:O10" si="5">F3*10%</f>
        <v>7903.9639999999999</v>
      </c>
      <c r="P3" s="53">
        <v>20000</v>
      </c>
      <c r="Q3" s="53">
        <v>0</v>
      </c>
      <c r="R3" s="53">
        <f t="shared" ref="R3:R10" si="6">SUM(F3:Q3)</f>
        <v>825433.07700000005</v>
      </c>
      <c r="S3" s="53"/>
      <c r="T3" s="59"/>
      <c r="U3" s="60"/>
    </row>
    <row r="4" spans="1:22" ht="18">
      <c r="A4" s="847" t="s">
        <v>1259</v>
      </c>
      <c r="B4" s="848"/>
      <c r="C4" s="849"/>
      <c r="D4" s="52"/>
      <c r="E4" s="52" t="s">
        <v>1260</v>
      </c>
      <c r="F4" s="53">
        <v>36784.71</v>
      </c>
      <c r="G4" s="53"/>
      <c r="H4" s="53">
        <f t="shared" si="0"/>
        <v>110354.13</v>
      </c>
      <c r="I4" s="53">
        <f t="shared" si="1"/>
        <v>2758.8532500000001</v>
      </c>
      <c r="J4" s="53">
        <v>80244.38</v>
      </c>
      <c r="K4" s="53">
        <f t="shared" si="2"/>
        <v>18392.355</v>
      </c>
      <c r="L4" s="53">
        <f t="shared" si="3"/>
        <v>128746.485</v>
      </c>
      <c r="M4" s="53"/>
      <c r="N4" s="53">
        <f t="shared" si="4"/>
        <v>36784.71</v>
      </c>
      <c r="O4" s="53">
        <f t="shared" si="5"/>
        <v>3678.471</v>
      </c>
      <c r="P4" s="53">
        <v>20000</v>
      </c>
      <c r="Q4" s="53">
        <v>0</v>
      </c>
      <c r="R4" s="53">
        <f t="shared" si="6"/>
        <v>437744.09425000002</v>
      </c>
      <c r="S4" s="53"/>
      <c r="T4" s="59"/>
      <c r="U4" s="60"/>
    </row>
    <row r="5" spans="1:22" ht="18">
      <c r="A5" s="850" t="s">
        <v>259</v>
      </c>
      <c r="B5" s="851"/>
      <c r="C5" s="852"/>
      <c r="D5" s="54"/>
      <c r="E5" s="55" t="s">
        <v>356</v>
      </c>
      <c r="F5" s="53">
        <v>24975.81</v>
      </c>
      <c r="G5" s="53">
        <v>0</v>
      </c>
      <c r="H5" s="53">
        <f t="shared" si="0"/>
        <v>74927.429999999993</v>
      </c>
      <c r="I5" s="53">
        <f t="shared" si="1"/>
        <v>1873.1857500000001</v>
      </c>
      <c r="J5" s="53">
        <v>0</v>
      </c>
      <c r="K5" s="53">
        <f t="shared" si="2"/>
        <v>12487.905000000001</v>
      </c>
      <c r="L5" s="53">
        <f t="shared" si="3"/>
        <v>87415.335000000006</v>
      </c>
      <c r="M5" s="53">
        <v>0</v>
      </c>
      <c r="N5" s="53">
        <f t="shared" si="4"/>
        <v>24975.81</v>
      </c>
      <c r="O5" s="53">
        <v>100000</v>
      </c>
      <c r="P5" s="53">
        <f>F5*10%</f>
        <v>2497.5810000000001</v>
      </c>
      <c r="Q5" s="53">
        <v>20000</v>
      </c>
      <c r="R5" s="53">
        <v>0</v>
      </c>
      <c r="S5" s="53">
        <f>SUM(F5:R5)</f>
        <v>349153.05674999999</v>
      </c>
      <c r="T5" s="53">
        <v>0</v>
      </c>
      <c r="U5" s="61">
        <f>S5-T5</f>
        <v>349153.05674999999</v>
      </c>
      <c r="V5" s="53">
        <v>344720.6</v>
      </c>
    </row>
    <row r="6" spans="1:22" ht="18">
      <c r="A6" s="847" t="s">
        <v>353</v>
      </c>
      <c r="B6" s="848"/>
      <c r="C6" s="849"/>
      <c r="D6" s="52"/>
      <c r="E6" s="52" t="s">
        <v>1261</v>
      </c>
      <c r="F6" s="53">
        <v>23891.119999999999</v>
      </c>
      <c r="G6" s="53"/>
      <c r="H6" s="53">
        <f t="shared" si="0"/>
        <v>71673.36</v>
      </c>
      <c r="I6" s="53">
        <f t="shared" si="1"/>
        <v>1791.8340000000001</v>
      </c>
      <c r="J6" s="53">
        <v>0</v>
      </c>
      <c r="K6" s="53">
        <f t="shared" si="2"/>
        <v>11945.56</v>
      </c>
      <c r="L6" s="53">
        <f t="shared" si="3"/>
        <v>83618.92</v>
      </c>
      <c r="M6" s="53">
        <v>0</v>
      </c>
      <c r="N6" s="53">
        <f t="shared" si="4"/>
        <v>23891.119999999999</v>
      </c>
      <c r="O6" s="53">
        <f t="shared" si="5"/>
        <v>2389.1120000000001</v>
      </c>
      <c r="P6" s="53">
        <v>15000</v>
      </c>
      <c r="Q6" s="53">
        <v>0</v>
      </c>
      <c r="R6" s="53">
        <f t="shared" si="6"/>
        <v>234201.02600000001</v>
      </c>
      <c r="S6" s="53"/>
      <c r="T6" s="59"/>
      <c r="U6" s="60"/>
    </row>
    <row r="7" spans="1:22" ht="18">
      <c r="A7" s="847" t="s">
        <v>1262</v>
      </c>
      <c r="B7" s="848"/>
      <c r="C7" s="849"/>
      <c r="D7" s="52"/>
      <c r="E7" s="52" t="s">
        <v>1263</v>
      </c>
      <c r="F7" s="53">
        <v>21293.96</v>
      </c>
      <c r="G7" s="53"/>
      <c r="H7" s="53">
        <f t="shared" si="0"/>
        <v>63881.88</v>
      </c>
      <c r="I7" s="53">
        <f t="shared" si="1"/>
        <v>1597.047</v>
      </c>
      <c r="J7" s="53">
        <v>0</v>
      </c>
      <c r="K7" s="53">
        <f t="shared" si="2"/>
        <v>10646.98</v>
      </c>
      <c r="L7" s="53">
        <f t="shared" si="3"/>
        <v>74528.86</v>
      </c>
      <c r="M7" s="53">
        <v>0</v>
      </c>
      <c r="N7" s="53">
        <f t="shared" si="4"/>
        <v>21293.96</v>
      </c>
      <c r="O7" s="53">
        <f t="shared" si="5"/>
        <v>2129.3960000000002</v>
      </c>
      <c r="P7" s="53">
        <v>10000</v>
      </c>
      <c r="Q7" s="53">
        <v>0</v>
      </c>
      <c r="R7" s="53">
        <f t="shared" si="6"/>
        <v>205372.08300000001</v>
      </c>
      <c r="S7" s="53"/>
      <c r="T7" s="59"/>
      <c r="U7" s="60"/>
    </row>
    <row r="8" spans="1:22" ht="18">
      <c r="A8" s="847" t="s">
        <v>63</v>
      </c>
      <c r="B8" s="848"/>
      <c r="C8" s="849"/>
      <c r="D8" s="52"/>
      <c r="E8" s="52" t="s">
        <v>1264</v>
      </c>
      <c r="F8" s="53">
        <v>17286.330000000002</v>
      </c>
      <c r="G8" s="53"/>
      <c r="H8" s="53">
        <f t="shared" si="0"/>
        <v>51858.99</v>
      </c>
      <c r="I8" s="53">
        <f t="shared" si="1"/>
        <v>1296.4747500000001</v>
      </c>
      <c r="J8" s="53">
        <v>0</v>
      </c>
      <c r="K8" s="53">
        <f t="shared" si="2"/>
        <v>8643.1650000000009</v>
      </c>
      <c r="L8" s="53">
        <f t="shared" si="3"/>
        <v>60502.154999999999</v>
      </c>
      <c r="M8" s="53">
        <v>0</v>
      </c>
      <c r="N8" s="53">
        <f t="shared" si="4"/>
        <v>17286.330000000002</v>
      </c>
      <c r="O8" s="53">
        <f t="shared" si="5"/>
        <v>1728.633</v>
      </c>
      <c r="P8" s="53">
        <v>10000</v>
      </c>
      <c r="Q8" s="53">
        <v>0</v>
      </c>
      <c r="R8" s="53">
        <f t="shared" si="6"/>
        <v>168602.07775</v>
      </c>
      <c r="S8" s="53"/>
      <c r="T8" s="59"/>
      <c r="U8" s="60"/>
    </row>
    <row r="9" spans="1:22" ht="18">
      <c r="A9" s="847" t="s">
        <v>1265</v>
      </c>
      <c r="B9" s="848"/>
      <c r="C9" s="849"/>
      <c r="D9" s="52"/>
      <c r="E9" s="52" t="s">
        <v>1266</v>
      </c>
      <c r="F9" s="53">
        <v>14736.14</v>
      </c>
      <c r="G9" s="53"/>
      <c r="H9" s="53">
        <f t="shared" si="0"/>
        <v>44208.42</v>
      </c>
      <c r="I9" s="53">
        <f t="shared" si="1"/>
        <v>1105.2104999999999</v>
      </c>
      <c r="J9" s="53">
        <v>0</v>
      </c>
      <c r="K9" s="53">
        <f t="shared" si="2"/>
        <v>7368.07</v>
      </c>
      <c r="L9" s="53">
        <f t="shared" si="3"/>
        <v>51576.49</v>
      </c>
      <c r="M9" s="53">
        <v>0</v>
      </c>
      <c r="N9" s="53">
        <f t="shared" si="4"/>
        <v>14736.14</v>
      </c>
      <c r="O9" s="53">
        <f t="shared" si="5"/>
        <v>1473.614</v>
      </c>
      <c r="P9" s="53">
        <v>10000</v>
      </c>
      <c r="Q9" s="53">
        <v>0</v>
      </c>
      <c r="R9" s="53">
        <f t="shared" si="6"/>
        <v>145204.0845</v>
      </c>
      <c r="S9" s="53"/>
      <c r="T9" s="59"/>
      <c r="U9" s="60"/>
    </row>
    <row r="10" spans="1:22" ht="18">
      <c r="A10" s="847"/>
      <c r="B10" s="848"/>
      <c r="C10" s="849"/>
      <c r="D10" s="52"/>
      <c r="E10" s="52" t="s">
        <v>1267</v>
      </c>
      <c r="F10" s="53">
        <v>12351.94</v>
      </c>
      <c r="G10" s="53"/>
      <c r="H10" s="53">
        <f t="shared" si="0"/>
        <v>37055.82</v>
      </c>
      <c r="I10" s="53">
        <f t="shared" si="1"/>
        <v>926.39549999999997</v>
      </c>
      <c r="J10" s="53">
        <v>0</v>
      </c>
      <c r="K10" s="53">
        <f t="shared" si="2"/>
        <v>6175.97</v>
      </c>
      <c r="L10" s="53">
        <f t="shared" si="3"/>
        <v>43231.79</v>
      </c>
      <c r="M10" s="53">
        <v>0</v>
      </c>
      <c r="N10" s="53">
        <f t="shared" si="4"/>
        <v>12351.94</v>
      </c>
      <c r="O10" s="53">
        <f t="shared" si="5"/>
        <v>1235.194</v>
      </c>
      <c r="P10" s="53">
        <v>10000</v>
      </c>
      <c r="Q10" s="53">
        <v>0</v>
      </c>
      <c r="R10" s="53">
        <f t="shared" si="6"/>
        <v>123329.04949999999</v>
      </c>
      <c r="S10" s="53"/>
      <c r="T10" s="59"/>
      <c r="U10" s="60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46" t="s">
        <v>1268</v>
      </c>
      <c r="B1" s="846"/>
      <c r="C1" s="846"/>
      <c r="D1" s="846"/>
      <c r="E1" s="846"/>
      <c r="F1" s="846"/>
    </row>
    <row r="2" spans="1:6" ht="17.5">
      <c r="A2" s="840" t="s">
        <v>1269</v>
      </c>
      <c r="B2" s="840"/>
      <c r="C2" s="840"/>
      <c r="D2" s="840"/>
      <c r="E2" s="840"/>
      <c r="F2" s="840"/>
    </row>
    <row r="3" spans="1:6" ht="18">
      <c r="A3" s="841"/>
      <c r="B3" s="841"/>
      <c r="C3" s="841"/>
      <c r="D3" s="46" t="s">
        <v>1225</v>
      </c>
      <c r="E3" s="46" t="s">
        <v>1226</v>
      </c>
      <c r="F3" s="47"/>
    </row>
    <row r="4" spans="1:6" ht="18">
      <c r="A4" s="841" t="s">
        <v>1227</v>
      </c>
      <c r="B4" s="841"/>
      <c r="C4" s="841"/>
      <c r="D4" s="48">
        <f>E4*12</f>
        <v>299709.71999999997</v>
      </c>
      <c r="E4" s="48">
        <f>SUMMARY!F5</f>
        <v>24975.81</v>
      </c>
      <c r="F4" s="45"/>
    </row>
    <row r="5" spans="1:6" ht="18">
      <c r="A5" s="841" t="s">
        <v>1228</v>
      </c>
      <c r="B5" s="841"/>
      <c r="C5" s="841"/>
      <c r="D5" s="48">
        <f t="shared" ref="D5:D14" si="0">E5*12</f>
        <v>899129.16</v>
      </c>
      <c r="E5" s="48">
        <f>SUMMARY!H5</f>
        <v>74927.429999999993</v>
      </c>
      <c r="F5" s="45"/>
    </row>
    <row r="6" spans="1:6" ht="18">
      <c r="A6" s="841" t="s">
        <v>1229</v>
      </c>
      <c r="B6" s="841"/>
      <c r="C6" s="841"/>
      <c r="D6" s="48">
        <f t="shared" si="0"/>
        <v>22478.228999999999</v>
      </c>
      <c r="E6" s="48">
        <f>SUMMARY!I5</f>
        <v>1873.1857500000001</v>
      </c>
      <c r="F6" s="45"/>
    </row>
    <row r="7" spans="1:6" ht="18">
      <c r="A7" s="841" t="s">
        <v>1230</v>
      </c>
      <c r="B7" s="841"/>
      <c r="C7" s="841"/>
      <c r="D7" s="48">
        <f t="shared" si="0"/>
        <v>0</v>
      </c>
      <c r="E7" s="48">
        <f>SUMMARY!J6</f>
        <v>0</v>
      </c>
      <c r="F7" s="45"/>
    </row>
    <row r="8" spans="1:6" ht="18">
      <c r="A8" s="841" t="s">
        <v>1231</v>
      </c>
      <c r="B8" s="841"/>
      <c r="C8" s="841"/>
      <c r="D8" s="48">
        <f t="shared" si="0"/>
        <v>149854.85999999999</v>
      </c>
      <c r="E8" s="48">
        <f>SUMMARY!K5</f>
        <v>12487.905000000001</v>
      </c>
      <c r="F8" s="45"/>
    </row>
    <row r="9" spans="1:6" ht="18">
      <c r="A9" s="841" t="s">
        <v>1232</v>
      </c>
      <c r="B9" s="841"/>
      <c r="C9" s="841"/>
      <c r="D9" s="48">
        <f t="shared" si="0"/>
        <v>1048984.02</v>
      </c>
      <c r="E9" s="48">
        <f>SUMMARY!L5</f>
        <v>87415.335000000006</v>
      </c>
      <c r="F9" s="45"/>
    </row>
    <row r="10" spans="1:6" ht="18">
      <c r="A10" s="841" t="s">
        <v>1234</v>
      </c>
      <c r="B10" s="841"/>
      <c r="C10" s="841"/>
      <c r="D10" s="48">
        <f t="shared" si="0"/>
        <v>299709.71999999997</v>
      </c>
      <c r="E10" s="48">
        <f>SUMMARY!N5</f>
        <v>24975.81</v>
      </c>
      <c r="F10" s="45"/>
    </row>
    <row r="11" spans="1:6" ht="18">
      <c r="A11" s="842" t="s">
        <v>1233</v>
      </c>
      <c r="B11" s="843"/>
      <c r="C11" s="844"/>
      <c r="D11" s="48">
        <f t="shared" si="0"/>
        <v>0</v>
      </c>
      <c r="E11" s="48">
        <v>0</v>
      </c>
      <c r="F11" s="45"/>
    </row>
    <row r="12" spans="1:6" ht="18">
      <c r="A12" s="841" t="s">
        <v>1235</v>
      </c>
      <c r="B12" s="841"/>
      <c r="C12" s="841"/>
      <c r="D12" s="48">
        <f t="shared" si="0"/>
        <v>29970.972000000002</v>
      </c>
      <c r="E12" s="48">
        <f>SUMMARY!P5</f>
        <v>2497.5810000000001</v>
      </c>
      <c r="F12" s="45"/>
    </row>
    <row r="13" spans="1:6" ht="18">
      <c r="A13" s="841" t="s">
        <v>1236</v>
      </c>
      <c r="B13" s="841"/>
      <c r="C13" s="841"/>
      <c r="D13" s="48">
        <f t="shared" si="0"/>
        <v>240000</v>
      </c>
      <c r="E13" s="48">
        <f>SUMMARY!Q5</f>
        <v>20000</v>
      </c>
      <c r="F13" s="45"/>
    </row>
    <row r="14" spans="1:6" ht="18">
      <c r="A14" s="845" t="s">
        <v>9</v>
      </c>
      <c r="B14" s="845"/>
      <c r="C14" s="845"/>
      <c r="D14" s="50">
        <f t="shared" si="0"/>
        <v>2989836.6809999999</v>
      </c>
      <c r="E14" s="50">
        <f>SUM(E4:E13)</f>
        <v>249153.05674999999</v>
      </c>
      <c r="F14" s="45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53" t="s">
        <v>1270</v>
      </c>
      <c r="B1" s="853"/>
      <c r="C1" s="853"/>
    </row>
    <row r="2" spans="1:3" ht="17.5">
      <c r="A2" s="853" t="s">
        <v>1241</v>
      </c>
      <c r="B2" s="853"/>
      <c r="C2" s="853"/>
    </row>
    <row r="3" spans="1:3" ht="17.5">
      <c r="A3" s="41"/>
      <c r="B3" s="41" t="s">
        <v>1225</v>
      </c>
      <c r="C3" s="41" t="s">
        <v>1226</v>
      </c>
    </row>
    <row r="4" spans="1:3" ht="18">
      <c r="A4" s="42" t="s">
        <v>1227</v>
      </c>
      <c r="B4" s="43">
        <f>C4*12</f>
        <v>475947</v>
      </c>
      <c r="C4" s="43">
        <v>39662.25</v>
      </c>
    </row>
    <row r="5" spans="1:3" ht="18">
      <c r="A5" s="42" t="s">
        <v>1228</v>
      </c>
      <c r="B5" s="43">
        <f t="shared" ref="B5:B13" si="0">C5*12</f>
        <v>1427841</v>
      </c>
      <c r="C5" s="43">
        <v>118986.75</v>
      </c>
    </row>
    <row r="6" spans="1:3" ht="18">
      <c r="A6" s="42" t="s">
        <v>1229</v>
      </c>
      <c r="B6" s="43">
        <f t="shared" si="0"/>
        <v>35696.04</v>
      </c>
      <c r="C6" s="43">
        <v>2974.67</v>
      </c>
    </row>
    <row r="7" spans="1:3" ht="18">
      <c r="A7" s="42" t="s">
        <v>1230</v>
      </c>
      <c r="B7" s="43" t="e">
        <f t="shared" si="0"/>
        <v>#REF!</v>
      </c>
      <c r="C7" s="43" t="e">
        <f>'NOV 2024 NEW'!#REF!</f>
        <v>#REF!</v>
      </c>
    </row>
    <row r="8" spans="1:3" ht="18">
      <c r="A8" s="42" t="s">
        <v>1231</v>
      </c>
      <c r="B8" s="43">
        <f t="shared" si="0"/>
        <v>237973.56</v>
      </c>
      <c r="C8" s="43">
        <v>19831.13</v>
      </c>
    </row>
    <row r="9" spans="1:3" ht="18">
      <c r="A9" s="42" t="s">
        <v>1232</v>
      </c>
      <c r="B9" s="43">
        <f t="shared" si="0"/>
        <v>1665814.56</v>
      </c>
      <c r="C9" s="43">
        <v>138817.88</v>
      </c>
    </row>
    <row r="10" spans="1:3" ht="18">
      <c r="A10" s="42" t="s">
        <v>1234</v>
      </c>
      <c r="B10" s="43">
        <f t="shared" si="0"/>
        <v>475947</v>
      </c>
      <c r="C10" s="43">
        <v>39662.25</v>
      </c>
    </row>
    <row r="11" spans="1:3" ht="18">
      <c r="A11" s="42" t="s">
        <v>1233</v>
      </c>
      <c r="B11" s="43">
        <f t="shared" si="0"/>
        <v>0</v>
      </c>
      <c r="C11" s="43">
        <v>0</v>
      </c>
    </row>
    <row r="12" spans="1:3" ht="18">
      <c r="A12" s="42" t="s">
        <v>1235</v>
      </c>
      <c r="B12" s="43">
        <f t="shared" si="0"/>
        <v>47594.76</v>
      </c>
      <c r="C12" s="43">
        <v>3966.23</v>
      </c>
    </row>
    <row r="13" spans="1:3" ht="18">
      <c r="A13" s="42" t="s">
        <v>1236</v>
      </c>
      <c r="B13" s="43" t="e">
        <f t="shared" si="0"/>
        <v>#REF!</v>
      </c>
      <c r="C13" s="43" t="e">
        <f>'NOV 2024 NEW'!#REF!</f>
        <v>#REF!</v>
      </c>
    </row>
    <row r="14" spans="1:3" ht="17.5">
      <c r="A14" s="41" t="s">
        <v>9</v>
      </c>
      <c r="B14" s="44" t="e">
        <f>SUM(B4:B13)</f>
        <v>#REF!</v>
      </c>
      <c r="C14" s="44" t="e">
        <f>SUM(C4:C13)</f>
        <v>#REF!</v>
      </c>
    </row>
    <row r="15" spans="1:3" ht="18">
      <c r="A15" s="45"/>
      <c r="B15" s="45"/>
      <c r="C15" s="45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35"/>
      <c r="B2" s="35" t="s">
        <v>5</v>
      </c>
      <c r="C2" s="35"/>
      <c r="D2" s="35"/>
    </row>
    <row r="3" spans="1:4" ht="15">
      <c r="A3" s="35" t="s">
        <v>21</v>
      </c>
      <c r="B3" s="35" t="s">
        <v>4</v>
      </c>
      <c r="C3" s="35" t="s">
        <v>1271</v>
      </c>
      <c r="D3" s="36" t="s">
        <v>20</v>
      </c>
    </row>
    <row r="4" spans="1:4" ht="15">
      <c r="A4" s="37">
        <v>1</v>
      </c>
      <c r="B4" s="37">
        <v>17</v>
      </c>
      <c r="C4" s="37">
        <v>9</v>
      </c>
      <c r="D4" s="38">
        <v>81740.02</v>
      </c>
    </row>
    <row r="5" spans="1:4" ht="15">
      <c r="A5" s="37">
        <v>2</v>
      </c>
      <c r="B5" s="37">
        <v>17</v>
      </c>
      <c r="C5" s="37">
        <v>8</v>
      </c>
      <c r="D5" s="38">
        <f>79039.64</f>
        <v>79039.64</v>
      </c>
    </row>
    <row r="6" spans="1:4" ht="15">
      <c r="A6" s="37">
        <v>3</v>
      </c>
      <c r="B6" s="37">
        <v>17</v>
      </c>
      <c r="C6" s="37">
        <v>7</v>
      </c>
      <c r="D6" s="38">
        <f>76339.3</f>
        <v>76339.3</v>
      </c>
    </row>
    <row r="7" spans="1:4" ht="15">
      <c r="A7" s="37">
        <v>4</v>
      </c>
      <c r="B7" s="37">
        <v>16</v>
      </c>
      <c r="C7" s="37">
        <v>9</v>
      </c>
      <c r="D7" s="38">
        <f>42653.17</f>
        <v>42653.17</v>
      </c>
    </row>
    <row r="8" spans="1:4" ht="15">
      <c r="A8" s="37">
        <v>5</v>
      </c>
      <c r="B8" s="37">
        <f>16</f>
        <v>16</v>
      </c>
      <c r="C8" s="37">
        <v>8</v>
      </c>
      <c r="D8" s="38">
        <v>41157.69</v>
      </c>
    </row>
    <row r="9" spans="1:4" ht="15">
      <c r="A9" s="37">
        <v>6</v>
      </c>
      <c r="B9" s="37">
        <v>16</v>
      </c>
      <c r="C9" s="37">
        <v>7</v>
      </c>
      <c r="D9" s="38">
        <v>39662.25</v>
      </c>
    </row>
    <row r="10" spans="1:4" ht="15">
      <c r="A10" s="37">
        <v>7</v>
      </c>
      <c r="B10" s="37">
        <v>15</v>
      </c>
      <c r="C10" s="37">
        <v>9</v>
      </c>
      <c r="D10" s="38">
        <v>33507.5</v>
      </c>
    </row>
    <row r="11" spans="1:4" ht="15">
      <c r="A11" s="37">
        <v>8</v>
      </c>
      <c r="B11" s="37">
        <v>15</v>
      </c>
      <c r="C11" s="37">
        <v>8</v>
      </c>
      <c r="D11" s="38">
        <v>32263.200000000001</v>
      </c>
    </row>
    <row r="12" spans="1:4" ht="15">
      <c r="A12" s="37">
        <v>9</v>
      </c>
      <c r="B12" s="37">
        <v>15</v>
      </c>
      <c r="C12" s="37">
        <v>7</v>
      </c>
      <c r="D12" s="38">
        <v>31018.84</v>
      </c>
    </row>
    <row r="13" spans="1:4" ht="15">
      <c r="A13" s="37">
        <v>10</v>
      </c>
      <c r="B13" s="37">
        <v>14</v>
      </c>
      <c r="C13" s="37">
        <v>11</v>
      </c>
      <c r="D13" s="38">
        <v>28489.81</v>
      </c>
    </row>
    <row r="14" spans="1:4" ht="15">
      <c r="A14" s="37">
        <v>11</v>
      </c>
      <c r="B14" s="37">
        <v>14</v>
      </c>
      <c r="C14" s="37">
        <v>10</v>
      </c>
      <c r="D14" s="38">
        <v>27611.23</v>
      </c>
    </row>
    <row r="15" spans="1:4" ht="15">
      <c r="A15" s="37">
        <v>12</v>
      </c>
      <c r="B15" s="37">
        <v>14</v>
      </c>
      <c r="C15" s="37">
        <v>9</v>
      </c>
      <c r="D15" s="38">
        <v>26732.65</v>
      </c>
    </row>
    <row r="16" spans="1:4" ht="15">
      <c r="A16" s="37">
        <v>13</v>
      </c>
      <c r="B16" s="37">
        <v>14</v>
      </c>
      <c r="C16" s="37">
        <v>8</v>
      </c>
      <c r="D16" s="38">
        <v>25854.1</v>
      </c>
    </row>
    <row r="17" spans="1:4" ht="15">
      <c r="A17" s="37">
        <v>14</v>
      </c>
      <c r="B17" s="37">
        <v>14</v>
      </c>
      <c r="C17" s="37">
        <v>7</v>
      </c>
      <c r="D17" s="38">
        <v>24975.81</v>
      </c>
    </row>
    <row r="18" spans="1:4" ht="15">
      <c r="A18" s="37">
        <v>15</v>
      </c>
      <c r="B18" s="37">
        <v>13</v>
      </c>
      <c r="C18" s="37">
        <v>11</v>
      </c>
      <c r="D18" s="38">
        <v>26339.3</v>
      </c>
    </row>
    <row r="19" spans="1:4" ht="15">
      <c r="A19" s="37">
        <v>16</v>
      </c>
      <c r="B19" s="37">
        <v>13</v>
      </c>
      <c r="C19" s="37">
        <v>10</v>
      </c>
      <c r="D19" s="38">
        <v>25523.45</v>
      </c>
    </row>
    <row r="20" spans="1:4" ht="15">
      <c r="A20" s="37">
        <v>17</v>
      </c>
      <c r="B20" s="37">
        <v>13</v>
      </c>
      <c r="C20" s="37">
        <v>9</v>
      </c>
      <c r="D20" s="38">
        <v>24741.26</v>
      </c>
    </row>
    <row r="21" spans="1:4" ht="15">
      <c r="A21" s="37">
        <v>18</v>
      </c>
      <c r="B21" s="37">
        <v>13</v>
      </c>
      <c r="C21" s="37">
        <v>8</v>
      </c>
      <c r="D21" s="38">
        <v>23891.119999999999</v>
      </c>
    </row>
    <row r="22" spans="1:4" ht="15">
      <c r="A22" s="37">
        <v>19</v>
      </c>
      <c r="B22" s="37">
        <v>13</v>
      </c>
      <c r="C22" s="37">
        <v>7</v>
      </c>
      <c r="D22" s="38">
        <v>23074.99</v>
      </c>
    </row>
    <row r="23" spans="1:4" ht="15">
      <c r="A23" s="37">
        <v>20</v>
      </c>
      <c r="B23" s="37">
        <v>12</v>
      </c>
      <c r="C23" s="37">
        <v>12</v>
      </c>
      <c r="D23" s="38"/>
    </row>
    <row r="24" spans="1:4" ht="15">
      <c r="A24" s="37">
        <v>21</v>
      </c>
      <c r="B24" s="37">
        <v>12</v>
      </c>
      <c r="C24" s="37">
        <v>11</v>
      </c>
      <c r="D24" s="38"/>
    </row>
    <row r="25" spans="1:4" ht="15">
      <c r="A25" s="37">
        <v>22</v>
      </c>
      <c r="B25" s="37">
        <v>12</v>
      </c>
      <c r="C25" s="37">
        <v>10</v>
      </c>
      <c r="D25" s="38"/>
    </row>
    <row r="26" spans="1:4" ht="15">
      <c r="A26" s="37">
        <v>23</v>
      </c>
      <c r="B26" s="37">
        <v>12</v>
      </c>
      <c r="C26" s="37">
        <v>9</v>
      </c>
      <c r="D26" s="38"/>
    </row>
    <row r="27" spans="1:4" ht="15">
      <c r="A27" s="37">
        <v>24</v>
      </c>
      <c r="B27" s="37">
        <v>12</v>
      </c>
      <c r="C27" s="37">
        <v>8</v>
      </c>
      <c r="D27" s="38">
        <f>21520.88</f>
        <v>21520.880000000001</v>
      </c>
    </row>
    <row r="28" spans="1:4" ht="15">
      <c r="A28" s="37">
        <v>25</v>
      </c>
      <c r="B28" s="37">
        <v>12</v>
      </c>
      <c r="C28" s="37">
        <v>7</v>
      </c>
      <c r="D28" s="38">
        <f>20749</f>
        <v>20749</v>
      </c>
    </row>
    <row r="29" spans="1:4" ht="15">
      <c r="A29" s="37">
        <v>26</v>
      </c>
      <c r="B29" s="37">
        <v>10</v>
      </c>
      <c r="C29" s="37">
        <v>13</v>
      </c>
      <c r="D29" s="38"/>
    </row>
    <row r="30" spans="1:4" ht="15">
      <c r="A30" s="37">
        <v>27</v>
      </c>
      <c r="B30" s="37">
        <v>10</v>
      </c>
      <c r="C30" s="37">
        <v>12</v>
      </c>
      <c r="D30" s="38">
        <v>19774.62</v>
      </c>
    </row>
    <row r="31" spans="1:4" ht="15">
      <c r="A31" s="37">
        <v>28</v>
      </c>
      <c r="B31" s="37">
        <v>10</v>
      </c>
      <c r="C31" s="37">
        <v>11</v>
      </c>
      <c r="D31" s="38">
        <v>19276.95</v>
      </c>
    </row>
    <row r="32" spans="1:4" ht="15">
      <c r="A32" s="37">
        <v>29</v>
      </c>
      <c r="B32" s="37">
        <v>10</v>
      </c>
      <c r="C32" s="37">
        <v>10</v>
      </c>
      <c r="D32" s="38">
        <v>18779.3</v>
      </c>
    </row>
    <row r="33" spans="1:4" ht="15">
      <c r="A33" s="37">
        <v>30</v>
      </c>
      <c r="B33" s="37">
        <v>10</v>
      </c>
      <c r="C33" s="37">
        <v>9</v>
      </c>
      <c r="D33" s="38">
        <v>18281.64</v>
      </c>
    </row>
    <row r="34" spans="1:4" ht="15">
      <c r="A34" s="37">
        <v>31</v>
      </c>
      <c r="B34" s="37">
        <v>10</v>
      </c>
      <c r="C34" s="37">
        <v>8</v>
      </c>
      <c r="D34" s="38">
        <v>17784.099999999999</v>
      </c>
    </row>
    <row r="35" spans="1:4" ht="15">
      <c r="A35" s="37">
        <v>32</v>
      </c>
      <c r="B35" s="37">
        <v>10</v>
      </c>
      <c r="C35" s="37">
        <v>7</v>
      </c>
      <c r="D35" s="38">
        <v>17286.330000000002</v>
      </c>
    </row>
    <row r="36" spans="1:4" ht="15">
      <c r="A36" s="37">
        <v>33</v>
      </c>
      <c r="B36" s="37">
        <v>9</v>
      </c>
      <c r="C36" s="37">
        <v>10</v>
      </c>
      <c r="D36" s="38">
        <v>16093.74</v>
      </c>
    </row>
    <row r="37" spans="1:4" ht="15.5">
      <c r="A37" s="37">
        <v>34</v>
      </c>
      <c r="B37" s="37">
        <v>9</v>
      </c>
      <c r="C37" s="37">
        <v>9</v>
      </c>
      <c r="D37" s="39">
        <f>15641.2</f>
        <v>15641.2</v>
      </c>
    </row>
    <row r="38" spans="1:4" ht="15.5">
      <c r="A38" s="37">
        <v>35</v>
      </c>
      <c r="B38" s="37">
        <v>9</v>
      </c>
      <c r="C38" s="37">
        <v>8</v>
      </c>
      <c r="D38" s="39">
        <f>15188.68</f>
        <v>15188.68</v>
      </c>
    </row>
    <row r="39" spans="1:4" ht="15.5">
      <c r="A39" s="37">
        <v>36</v>
      </c>
      <c r="B39" s="37">
        <v>9</v>
      </c>
      <c r="C39">
        <v>7</v>
      </c>
      <c r="D39" s="39">
        <f>14736.14</f>
        <v>14736.14</v>
      </c>
    </row>
    <row r="40" spans="1:4" ht="15">
      <c r="A40" s="37">
        <v>37</v>
      </c>
      <c r="B40" s="37">
        <v>8</v>
      </c>
      <c r="C40" s="37">
        <v>10</v>
      </c>
      <c r="D40" s="38">
        <v>13492.21</v>
      </c>
    </row>
    <row r="41" spans="1:4" ht="15">
      <c r="A41" s="37">
        <v>38</v>
      </c>
      <c r="B41" s="37">
        <v>8</v>
      </c>
      <c r="C41" s="37">
        <v>9</v>
      </c>
      <c r="D41" s="38">
        <v>13112.16</v>
      </c>
    </row>
    <row r="42" spans="1:4" ht="15">
      <c r="A42" s="37">
        <v>39</v>
      </c>
      <c r="B42" s="37">
        <v>8</v>
      </c>
      <c r="C42" s="37">
        <v>8</v>
      </c>
      <c r="D42" s="38">
        <v>12732</v>
      </c>
    </row>
    <row r="43" spans="1:4" ht="15">
      <c r="A43" s="37">
        <v>40</v>
      </c>
      <c r="B43" s="37">
        <v>8</v>
      </c>
      <c r="C43" s="37">
        <v>7</v>
      </c>
      <c r="D43" s="38">
        <v>12351.94</v>
      </c>
    </row>
    <row r="44" spans="1:4" ht="15">
      <c r="A44" s="37">
        <v>41</v>
      </c>
      <c r="B44" s="37">
        <v>7</v>
      </c>
      <c r="C44" s="37">
        <v>10</v>
      </c>
    </row>
    <row r="45" spans="1:4" ht="15">
      <c r="A45" s="37">
        <v>42</v>
      </c>
      <c r="B45" s="37">
        <v>7</v>
      </c>
      <c r="C45" s="37">
        <v>9</v>
      </c>
    </row>
    <row r="46" spans="1:4" ht="15">
      <c r="A46" s="37">
        <v>43</v>
      </c>
      <c r="B46" s="37">
        <v>7</v>
      </c>
      <c r="C46" s="37">
        <v>8</v>
      </c>
      <c r="D46" s="38"/>
    </row>
    <row r="47" spans="1:4" ht="15">
      <c r="A47" s="37">
        <v>44</v>
      </c>
      <c r="B47" s="37">
        <v>7</v>
      </c>
      <c r="C47" s="37">
        <v>6</v>
      </c>
      <c r="D47" s="38"/>
    </row>
    <row r="48" spans="1:4" ht="15">
      <c r="A48" s="37">
        <v>45</v>
      </c>
      <c r="B48" s="37">
        <v>7</v>
      </c>
      <c r="C48" s="37">
        <v>5</v>
      </c>
      <c r="D48" s="38"/>
    </row>
    <row r="49" spans="1:4" ht="15">
      <c r="A49" s="37">
        <v>46</v>
      </c>
      <c r="B49" s="37">
        <v>7</v>
      </c>
      <c r="C49" s="37">
        <v>4</v>
      </c>
      <c r="D49" s="38">
        <f>9050.14</f>
        <v>9050.14</v>
      </c>
    </row>
    <row r="50" spans="1:4" ht="15">
      <c r="A50" s="37">
        <v>47</v>
      </c>
      <c r="B50" s="37">
        <v>7</v>
      </c>
      <c r="C50" s="37">
        <v>3</v>
      </c>
      <c r="D50" s="38">
        <f>8730.79</f>
        <v>8730.7900000000009</v>
      </c>
    </row>
    <row r="51" spans="1:4" ht="15">
      <c r="A51" s="37">
        <v>48</v>
      </c>
      <c r="B51" s="37">
        <v>5</v>
      </c>
      <c r="C51" s="37">
        <v>13</v>
      </c>
      <c r="D51" s="38">
        <v>5769.6</v>
      </c>
    </row>
    <row r="52" spans="1:4" ht="15">
      <c r="A52" s="37">
        <v>49</v>
      </c>
      <c r="B52" s="37">
        <v>5</v>
      </c>
      <c r="C52" s="37">
        <v>12</v>
      </c>
      <c r="D52" s="38">
        <v>5598.92</v>
      </c>
    </row>
    <row r="53" spans="1:4" ht="15">
      <c r="A53" s="37">
        <v>50</v>
      </c>
      <c r="B53" s="37">
        <v>5</v>
      </c>
      <c r="C53" s="37">
        <v>11</v>
      </c>
      <c r="D53" s="38">
        <v>5428.12</v>
      </c>
    </row>
    <row r="54" spans="1:4" ht="15">
      <c r="A54" s="37">
        <v>51</v>
      </c>
      <c r="B54" s="37">
        <v>5</v>
      </c>
      <c r="C54" s="37">
        <v>10</v>
      </c>
      <c r="D54" s="38">
        <v>5257.44</v>
      </c>
    </row>
    <row r="55" spans="1:4" ht="15">
      <c r="A55" s="37">
        <v>52</v>
      </c>
      <c r="B55" s="37">
        <v>5</v>
      </c>
      <c r="C55" s="37">
        <v>9</v>
      </c>
      <c r="D55" s="38">
        <v>5086.76</v>
      </c>
    </row>
    <row r="56" spans="1:4" ht="15">
      <c r="A56" s="37">
        <v>53</v>
      </c>
      <c r="B56" s="37">
        <v>5</v>
      </c>
      <c r="C56" s="37">
        <v>8</v>
      </c>
      <c r="D56" s="38">
        <v>4915.9399999999996</v>
      </c>
    </row>
    <row r="57" spans="1:4" ht="15">
      <c r="A57" s="37"/>
      <c r="B57" s="37">
        <v>5</v>
      </c>
      <c r="C57" s="37">
        <v>7</v>
      </c>
      <c r="D57" s="38">
        <v>4745.29</v>
      </c>
    </row>
    <row r="58" spans="1:4" ht="15">
      <c r="B58" s="37">
        <v>4</v>
      </c>
      <c r="C58" s="37">
        <v>11</v>
      </c>
      <c r="D58" s="38">
        <v>4836.3</v>
      </c>
    </row>
    <row r="59" spans="1:4" ht="15">
      <c r="B59" s="37">
        <v>4</v>
      </c>
      <c r="C59" s="37">
        <v>8</v>
      </c>
      <c r="D59" s="38">
        <v>4248.51</v>
      </c>
    </row>
    <row r="60" spans="1:4" ht="15">
      <c r="B60" s="37">
        <v>4</v>
      </c>
      <c r="C60" s="37">
        <v>7</v>
      </c>
      <c r="D60" s="38">
        <v>4101.58</v>
      </c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796875" defaultRowHeight="20.149999999999999" customHeight="1"/>
  <cols>
    <col min="1" max="1" width="4.54296875" style="1" customWidth="1"/>
    <col min="2" max="2" width="42.453125" style="1" customWidth="1"/>
    <col min="3" max="3" width="40.453125" style="1" customWidth="1"/>
    <col min="4" max="4" width="11.54296875" style="1" customWidth="1"/>
    <col min="5" max="5" width="21.7265625" style="1" customWidth="1"/>
    <col min="6" max="16384" width="9.1796875" style="1"/>
  </cols>
  <sheetData>
    <row r="1" spans="1:5" ht="27" customHeight="1">
      <c r="A1" s="854" t="s">
        <v>0</v>
      </c>
      <c r="B1" s="854"/>
      <c r="C1" s="854"/>
      <c r="D1" s="854"/>
    </row>
    <row r="2" spans="1:5" ht="33.75" customHeight="1">
      <c r="A2" s="798" t="s">
        <v>1272</v>
      </c>
      <c r="B2" s="798"/>
      <c r="C2" s="798"/>
      <c r="D2" s="798"/>
    </row>
    <row r="3" spans="1:5" ht="9.75" customHeight="1">
      <c r="A3" s="2"/>
      <c r="B3" s="2"/>
      <c r="C3" s="2"/>
      <c r="D3" s="2"/>
    </row>
    <row r="4" spans="1:5" ht="33" customHeight="1">
      <c r="A4" s="3"/>
      <c r="B4" s="4" t="s">
        <v>2</v>
      </c>
      <c r="C4" s="5" t="s">
        <v>3</v>
      </c>
      <c r="D4" s="6" t="s">
        <v>4</v>
      </c>
    </row>
    <row r="5" spans="1:5" ht="17.25" customHeight="1">
      <c r="C5" s="7"/>
      <c r="D5" s="7"/>
    </row>
    <row r="6" spans="1:5" ht="20.149999999999999" customHeight="1">
      <c r="A6" s="8" t="s">
        <v>21</v>
      </c>
      <c r="B6" s="7" t="s">
        <v>22</v>
      </c>
      <c r="C6" s="7"/>
      <c r="D6" s="7"/>
    </row>
    <row r="7" spans="1:5" ht="20.149999999999999" customHeight="1">
      <c r="A7" s="9">
        <v>1</v>
      </c>
      <c r="B7" s="10" t="s">
        <v>236</v>
      </c>
      <c r="C7" s="11" t="s">
        <v>237</v>
      </c>
      <c r="D7" s="11" t="s">
        <v>238</v>
      </c>
      <c r="E7" s="12"/>
    </row>
    <row r="8" spans="1:5" ht="20.149999999999999" customHeight="1">
      <c r="A8" s="9">
        <v>2</v>
      </c>
      <c r="B8" s="10" t="s">
        <v>1016</v>
      </c>
      <c r="C8" s="3" t="s">
        <v>1017</v>
      </c>
      <c r="D8" s="9" t="s">
        <v>231</v>
      </c>
      <c r="E8" s="12"/>
    </row>
    <row r="9" spans="1:5" ht="20.149999999999999" customHeight="1">
      <c r="A9" s="9">
        <v>3</v>
      </c>
      <c r="B9" s="10" t="s">
        <v>239</v>
      </c>
      <c r="C9" s="11" t="s">
        <v>240</v>
      </c>
      <c r="D9" s="9" t="s">
        <v>234</v>
      </c>
      <c r="E9" s="12"/>
    </row>
    <row r="10" spans="1:5" ht="20.149999999999999" customHeight="1">
      <c r="A10" s="9">
        <v>4</v>
      </c>
      <c r="B10" s="13" t="s">
        <v>241</v>
      </c>
      <c r="C10" s="3" t="s">
        <v>242</v>
      </c>
      <c r="D10" s="14" t="s">
        <v>308</v>
      </c>
      <c r="E10" s="12"/>
    </row>
    <row r="11" spans="1:5" ht="20.149999999999999" customHeight="1">
      <c r="A11" s="9">
        <v>5</v>
      </c>
      <c r="B11" s="13" t="s">
        <v>363</v>
      </c>
      <c r="C11" s="3" t="s">
        <v>1018</v>
      </c>
      <c r="D11" s="15" t="s">
        <v>308</v>
      </c>
      <c r="E11" s="12"/>
    </row>
    <row r="12" spans="1:5" ht="20.149999999999999" customHeight="1">
      <c r="A12" s="9">
        <v>6</v>
      </c>
      <c r="B12" s="10" t="s">
        <v>243</v>
      </c>
      <c r="C12" s="16" t="s">
        <v>244</v>
      </c>
      <c r="D12" s="15" t="s">
        <v>308</v>
      </c>
      <c r="E12" s="12"/>
    </row>
    <row r="13" spans="1:5" ht="20.149999999999999" customHeight="1">
      <c r="A13" s="9">
        <v>7</v>
      </c>
      <c r="B13" s="13" t="s">
        <v>245</v>
      </c>
      <c r="C13" s="3" t="s">
        <v>246</v>
      </c>
      <c r="D13" s="15" t="s">
        <v>308</v>
      </c>
      <c r="E13" s="12"/>
    </row>
    <row r="14" spans="1:5" ht="20.149999999999999" customHeight="1">
      <c r="A14" s="9">
        <v>8</v>
      </c>
      <c r="B14" s="10" t="s">
        <v>247</v>
      </c>
      <c r="C14" s="11" t="s">
        <v>248</v>
      </c>
      <c r="D14" s="14" t="s">
        <v>249</v>
      </c>
      <c r="E14" s="12"/>
    </row>
    <row r="15" spans="1:5" ht="20.149999999999999" customHeight="1">
      <c r="A15" s="9">
        <v>9</v>
      </c>
      <c r="B15" s="17" t="s">
        <v>223</v>
      </c>
      <c r="C15" s="11" t="s">
        <v>224</v>
      </c>
      <c r="D15" s="9" t="s">
        <v>222</v>
      </c>
      <c r="E15" s="12"/>
    </row>
    <row r="16" spans="1:5" ht="20.149999999999999" customHeight="1">
      <c r="A16" s="9">
        <v>10</v>
      </c>
      <c r="B16" s="18" t="s">
        <v>1109</v>
      </c>
      <c r="C16" s="3" t="s">
        <v>1110</v>
      </c>
      <c r="D16" s="15" t="s">
        <v>257</v>
      </c>
      <c r="E16" s="12"/>
    </row>
    <row r="17" spans="1:5" ht="19.5" customHeight="1">
      <c r="A17" s="9">
        <v>11</v>
      </c>
      <c r="B17" s="13" t="s">
        <v>1019</v>
      </c>
      <c r="C17" s="3" t="s">
        <v>253</v>
      </c>
      <c r="D17" s="9" t="s">
        <v>257</v>
      </c>
      <c r="E17" s="12"/>
    </row>
    <row r="18" spans="1:5" ht="19.5" customHeight="1">
      <c r="A18" s="9">
        <v>12</v>
      </c>
      <c r="B18" s="13" t="s">
        <v>1111</v>
      </c>
      <c r="C18" s="3" t="s">
        <v>1112</v>
      </c>
      <c r="D18" s="9" t="s">
        <v>257</v>
      </c>
      <c r="E18" s="12"/>
    </row>
    <row r="19" spans="1:5" ht="20.149999999999999" customHeight="1">
      <c r="A19" s="9">
        <v>13</v>
      </c>
      <c r="B19" s="10" t="s">
        <v>252</v>
      </c>
      <c r="C19" s="3" t="s">
        <v>253</v>
      </c>
      <c r="D19" s="14" t="s">
        <v>257</v>
      </c>
      <c r="E19" s="12"/>
    </row>
    <row r="20" spans="1:5" ht="20.149999999999999" customHeight="1">
      <c r="A20" s="9">
        <v>14</v>
      </c>
      <c r="B20" s="10" t="s">
        <v>264</v>
      </c>
      <c r="C20" s="11" t="s">
        <v>265</v>
      </c>
      <c r="D20" s="14" t="s">
        <v>950</v>
      </c>
      <c r="E20" s="12"/>
    </row>
    <row r="21" spans="1:5" ht="20.149999999999999" customHeight="1">
      <c r="A21" s="9">
        <v>15</v>
      </c>
      <c r="B21" s="17" t="s">
        <v>267</v>
      </c>
      <c r="C21" s="3" t="s">
        <v>268</v>
      </c>
      <c r="D21" s="14" t="s">
        <v>951</v>
      </c>
      <c r="E21" s="12"/>
    </row>
    <row r="22" spans="1:5" ht="20.149999999999999" customHeight="1">
      <c r="A22" s="9">
        <v>16</v>
      </c>
      <c r="B22" s="10" t="s">
        <v>389</v>
      </c>
      <c r="C22" s="11" t="s">
        <v>390</v>
      </c>
      <c r="D22" s="14" t="s">
        <v>271</v>
      </c>
      <c r="E22" s="12"/>
    </row>
    <row r="23" spans="1:5" ht="18.75" customHeight="1">
      <c r="A23" s="9">
        <v>17</v>
      </c>
      <c r="B23" s="10" t="s">
        <v>270</v>
      </c>
      <c r="C23" s="11" t="s">
        <v>50</v>
      </c>
      <c r="D23" s="14" t="s">
        <v>332</v>
      </c>
      <c r="E23" s="12"/>
    </row>
    <row r="24" spans="1:5" ht="18.75" customHeight="1">
      <c r="A24" s="9">
        <v>18</v>
      </c>
      <c r="B24" s="17" t="s">
        <v>1113</v>
      </c>
      <c r="C24" s="11" t="s">
        <v>293</v>
      </c>
      <c r="D24" s="14" t="s">
        <v>345</v>
      </c>
      <c r="E24" s="12"/>
    </row>
    <row r="25" spans="1:5" ht="18.75" customHeight="1">
      <c r="A25" s="9">
        <v>19</v>
      </c>
      <c r="B25" s="3" t="s">
        <v>278</v>
      </c>
      <c r="C25" s="3" t="s">
        <v>176</v>
      </c>
      <c r="D25" s="9" t="s">
        <v>283</v>
      </c>
      <c r="E25" s="12"/>
    </row>
    <row r="26" spans="1:5" ht="18.75" customHeight="1">
      <c r="A26" s="9">
        <v>20</v>
      </c>
      <c r="B26" s="17" t="s">
        <v>280</v>
      </c>
      <c r="C26" s="11" t="s">
        <v>176</v>
      </c>
      <c r="D26" s="14" t="s">
        <v>283</v>
      </c>
      <c r="E26" s="12"/>
    </row>
    <row r="27" spans="1:5" ht="18.75" customHeight="1">
      <c r="A27" s="9">
        <v>21</v>
      </c>
      <c r="B27" s="10" t="s">
        <v>1020</v>
      </c>
      <c r="C27" s="11" t="s">
        <v>1021</v>
      </c>
      <c r="D27" s="14" t="s">
        <v>283</v>
      </c>
      <c r="E27" s="12"/>
    </row>
    <row r="28" spans="1:5" ht="18.75" customHeight="1">
      <c r="A28" s="9">
        <v>22</v>
      </c>
      <c r="B28" s="17" t="s">
        <v>282</v>
      </c>
      <c r="C28" s="11" t="s">
        <v>967</v>
      </c>
      <c r="D28" s="14" t="s">
        <v>945</v>
      </c>
      <c r="E28" s="12"/>
    </row>
    <row r="29" spans="1:5" ht="18.75" customHeight="1">
      <c r="A29" s="9">
        <v>23</v>
      </c>
      <c r="B29" s="17" t="s">
        <v>284</v>
      </c>
      <c r="C29" s="3" t="s">
        <v>1022</v>
      </c>
      <c r="D29" s="9" t="s">
        <v>945</v>
      </c>
      <c r="E29" s="12"/>
    </row>
    <row r="30" spans="1:5" ht="18.75" customHeight="1">
      <c r="A30" s="9">
        <v>24</v>
      </c>
      <c r="B30" s="17" t="s">
        <v>287</v>
      </c>
      <c r="C30" s="16" t="s">
        <v>288</v>
      </c>
      <c r="D30" s="14" t="s">
        <v>283</v>
      </c>
      <c r="E30" s="12"/>
    </row>
    <row r="31" spans="1:5" ht="18.75" customHeight="1">
      <c r="A31" s="9">
        <v>25</v>
      </c>
      <c r="B31" s="17" t="s">
        <v>289</v>
      </c>
      <c r="C31" s="3" t="s">
        <v>290</v>
      </c>
      <c r="D31" s="9" t="s">
        <v>294</v>
      </c>
      <c r="E31" s="12"/>
    </row>
    <row r="32" spans="1:5" ht="18.75" customHeight="1">
      <c r="A32" s="9">
        <v>26</v>
      </c>
      <c r="B32" s="17" t="s">
        <v>933</v>
      </c>
      <c r="C32" s="11" t="s">
        <v>293</v>
      </c>
      <c r="D32" s="14" t="s">
        <v>294</v>
      </c>
      <c r="E32" s="12"/>
    </row>
    <row r="33" spans="1:5" ht="18.75" customHeight="1">
      <c r="A33" s="9">
        <v>27</v>
      </c>
      <c r="B33" s="17" t="s">
        <v>1114</v>
      </c>
      <c r="C33" s="11" t="s">
        <v>293</v>
      </c>
      <c r="D33" s="14" t="s">
        <v>294</v>
      </c>
      <c r="E33" s="12"/>
    </row>
    <row r="34" spans="1:5" ht="18.75" customHeight="1">
      <c r="A34" s="9">
        <v>28</v>
      </c>
      <c r="B34" s="17" t="s">
        <v>405</v>
      </c>
      <c r="C34" s="11" t="s">
        <v>69</v>
      </c>
      <c r="D34" s="14" t="s">
        <v>31</v>
      </c>
      <c r="E34" s="12"/>
    </row>
    <row r="35" spans="1:5" ht="20.25" customHeight="1">
      <c r="A35" s="9"/>
      <c r="B35" s="19" t="s">
        <v>34</v>
      </c>
      <c r="C35" s="20">
        <v>28</v>
      </c>
      <c r="D35" s="14"/>
      <c r="E35" s="12"/>
    </row>
    <row r="36" spans="1:5" ht="18.75" customHeight="1">
      <c r="A36" s="9"/>
      <c r="B36" s="21"/>
      <c r="C36" s="3"/>
      <c r="D36" s="14"/>
      <c r="E36" s="12"/>
    </row>
    <row r="37" spans="1:5" ht="18.75" customHeight="1">
      <c r="A37" s="9"/>
      <c r="B37" s="19" t="s">
        <v>35</v>
      </c>
      <c r="C37" s="3"/>
      <c r="D37" s="14"/>
      <c r="E37" s="12"/>
    </row>
    <row r="38" spans="1:5" ht="18.75" customHeight="1">
      <c r="A38" s="9">
        <v>1</v>
      </c>
      <c r="B38" s="17" t="s">
        <v>295</v>
      </c>
      <c r="C38" s="3" t="s">
        <v>296</v>
      </c>
      <c r="D38" s="9" t="s">
        <v>297</v>
      </c>
      <c r="E38" s="12"/>
    </row>
    <row r="39" spans="1:5" ht="18.75" customHeight="1">
      <c r="A39" s="9">
        <v>2</v>
      </c>
      <c r="B39" s="17" t="s">
        <v>298</v>
      </c>
      <c r="C39" s="3" t="s">
        <v>537</v>
      </c>
      <c r="D39" s="9" t="s">
        <v>31</v>
      </c>
      <c r="E39" s="12"/>
    </row>
    <row r="40" spans="1:5" ht="19.5" customHeight="1">
      <c r="A40" s="9"/>
      <c r="B40" s="13"/>
      <c r="C40" s="20">
        <v>2</v>
      </c>
      <c r="D40" s="9"/>
      <c r="E40" s="12"/>
    </row>
    <row r="41" spans="1:5" ht="20.149999999999999" customHeight="1">
      <c r="A41" s="9"/>
      <c r="B41" s="13"/>
      <c r="C41" s="3"/>
      <c r="D41" s="9"/>
      <c r="E41" s="12"/>
    </row>
    <row r="42" spans="1:5" ht="20.149999999999999" customHeight="1">
      <c r="A42" s="9"/>
      <c r="B42" s="22" t="s">
        <v>39</v>
      </c>
      <c r="C42" s="4"/>
      <c r="D42" s="23"/>
      <c r="E42" s="12"/>
    </row>
    <row r="43" spans="1:5" ht="20.149999999999999" customHeight="1">
      <c r="A43" s="9">
        <v>1</v>
      </c>
      <c r="B43" s="10" t="s">
        <v>302</v>
      </c>
      <c r="C43" s="3" t="s">
        <v>303</v>
      </c>
      <c r="D43" s="9" t="s">
        <v>297</v>
      </c>
      <c r="E43" s="12"/>
    </row>
    <row r="44" spans="1:5" ht="20.149999999999999" customHeight="1">
      <c r="A44" s="9">
        <v>2</v>
      </c>
      <c r="B44" s="10" t="s">
        <v>304</v>
      </c>
      <c r="C44" s="3" t="s">
        <v>305</v>
      </c>
      <c r="D44" s="9" t="s">
        <v>249</v>
      </c>
      <c r="E44" s="12"/>
    </row>
    <row r="45" spans="1:5" ht="20.149999999999999" customHeight="1">
      <c r="A45" s="9">
        <v>3</v>
      </c>
      <c r="B45" s="10" t="s">
        <v>306</v>
      </c>
      <c r="C45" s="3" t="s">
        <v>310</v>
      </c>
      <c r="D45" s="9" t="s">
        <v>249</v>
      </c>
      <c r="E45" s="12"/>
    </row>
    <row r="46" spans="1:5" ht="20.149999999999999" customHeight="1">
      <c r="A46" s="9">
        <v>4</v>
      </c>
      <c r="B46" s="10" t="s">
        <v>309</v>
      </c>
      <c r="C46" s="3" t="s">
        <v>310</v>
      </c>
      <c r="D46" s="9" t="s">
        <v>249</v>
      </c>
      <c r="E46" s="12"/>
    </row>
    <row r="47" spans="1:5" ht="20.149999999999999" customHeight="1">
      <c r="A47" s="9">
        <v>5</v>
      </c>
      <c r="B47" s="10" t="s">
        <v>311</v>
      </c>
      <c r="C47" s="3" t="s">
        <v>310</v>
      </c>
      <c r="D47" s="9" t="s">
        <v>327</v>
      </c>
      <c r="E47" s="12"/>
    </row>
    <row r="48" spans="1:5" ht="20.149999999999999" customHeight="1">
      <c r="A48" s="9">
        <v>6</v>
      </c>
      <c r="B48" s="10" t="s">
        <v>312</v>
      </c>
      <c r="C48" s="3" t="s">
        <v>259</v>
      </c>
      <c r="D48" s="9" t="s">
        <v>257</v>
      </c>
      <c r="E48" s="12"/>
    </row>
    <row r="49" spans="1:5" ht="20.149999999999999" customHeight="1">
      <c r="A49" s="9">
        <v>7</v>
      </c>
      <c r="B49" s="13" t="s">
        <v>313</v>
      </c>
      <c r="C49" s="3" t="s">
        <v>256</v>
      </c>
      <c r="D49" s="15" t="s">
        <v>257</v>
      </c>
      <c r="E49" s="12"/>
    </row>
    <row r="50" spans="1:5" ht="20.149999999999999" customHeight="1">
      <c r="A50" s="9">
        <v>8</v>
      </c>
      <c r="B50" s="10" t="s">
        <v>1025</v>
      </c>
      <c r="C50" s="3" t="s">
        <v>256</v>
      </c>
      <c r="D50" s="9" t="s">
        <v>342</v>
      </c>
      <c r="E50" s="12"/>
    </row>
    <row r="51" spans="1:5" ht="20.149999999999999" customHeight="1">
      <c r="A51" s="9">
        <v>9</v>
      </c>
      <c r="B51" s="10" t="s">
        <v>258</v>
      </c>
      <c r="C51" s="3" t="s">
        <v>353</v>
      </c>
      <c r="D51" s="9" t="s">
        <v>266</v>
      </c>
      <c r="E51" s="12"/>
    </row>
    <row r="52" spans="1:5" ht="20.149999999999999" customHeight="1">
      <c r="A52" s="9">
        <v>10</v>
      </c>
      <c r="B52" s="10" t="s">
        <v>315</v>
      </c>
      <c r="C52" s="3" t="s">
        <v>63</v>
      </c>
      <c r="D52" s="9" t="s">
        <v>25</v>
      </c>
      <c r="E52" s="12"/>
    </row>
    <row r="53" spans="1:5" ht="20.149999999999999" customHeight="1">
      <c r="A53" s="9">
        <v>11</v>
      </c>
      <c r="B53" s="10" t="s">
        <v>316</v>
      </c>
      <c r="C53" s="3" t="s">
        <v>63</v>
      </c>
      <c r="D53" s="9" t="s">
        <v>25</v>
      </c>
      <c r="E53" s="12"/>
    </row>
    <row r="54" spans="1:5" ht="20.149999999999999" customHeight="1">
      <c r="A54" s="9">
        <v>12</v>
      </c>
      <c r="B54" s="10" t="s">
        <v>317</v>
      </c>
      <c r="C54" s="3" t="s">
        <v>63</v>
      </c>
      <c r="D54" s="9" t="s">
        <v>25</v>
      </c>
      <c r="E54" s="12"/>
    </row>
    <row r="55" spans="1:5" ht="25.5" customHeight="1">
      <c r="A55" s="9"/>
      <c r="B55" s="19" t="s">
        <v>34</v>
      </c>
      <c r="C55" s="20">
        <v>12</v>
      </c>
      <c r="D55" s="20"/>
      <c r="E55" s="12"/>
    </row>
    <row r="56" spans="1:5" ht="20.149999999999999" customHeight="1">
      <c r="A56" s="9"/>
      <c r="B56" s="21"/>
      <c r="C56" s="20"/>
      <c r="D56" s="20"/>
      <c r="E56" s="12"/>
    </row>
    <row r="57" spans="1:5" ht="20.149999999999999" customHeight="1">
      <c r="A57" s="9"/>
      <c r="B57" s="19" t="s">
        <v>318</v>
      </c>
      <c r="C57" s="20"/>
      <c r="D57" s="20"/>
      <c r="E57" s="12"/>
    </row>
    <row r="58" spans="1:5" ht="20.149999999999999" customHeight="1">
      <c r="A58" s="9">
        <v>1</v>
      </c>
      <c r="B58" s="10" t="s">
        <v>319</v>
      </c>
      <c r="C58" s="11" t="s">
        <v>320</v>
      </c>
      <c r="D58" s="14" t="s">
        <v>297</v>
      </c>
      <c r="E58" s="12"/>
    </row>
    <row r="59" spans="1:5" ht="20.149999999999999" customHeight="1">
      <c r="A59" s="9">
        <v>2</v>
      </c>
      <c r="B59" s="10" t="s">
        <v>321</v>
      </c>
      <c r="C59" s="11" t="s">
        <v>322</v>
      </c>
      <c r="D59" s="14" t="s">
        <v>222</v>
      </c>
      <c r="E59" s="12"/>
    </row>
    <row r="60" spans="1:5" ht="20.149999999999999" customHeight="1">
      <c r="A60" s="9"/>
      <c r="B60" s="19" t="s">
        <v>34</v>
      </c>
      <c r="C60" s="20">
        <v>2</v>
      </c>
      <c r="D60" s="20"/>
      <c r="E60" s="12"/>
    </row>
    <row r="61" spans="1:5" ht="20.149999999999999" customHeight="1">
      <c r="A61" s="9"/>
      <c r="B61" s="19"/>
      <c r="C61" s="20"/>
      <c r="D61" s="20"/>
      <c r="E61" s="12"/>
    </row>
    <row r="62" spans="1:5" ht="20.149999999999999" customHeight="1">
      <c r="A62" s="9"/>
      <c r="B62" s="19" t="s">
        <v>45</v>
      </c>
      <c r="C62" s="20"/>
      <c r="D62" s="20"/>
      <c r="E62" s="12"/>
    </row>
    <row r="63" spans="1:5" ht="20.149999999999999" customHeight="1">
      <c r="A63" s="9">
        <v>1</v>
      </c>
      <c r="B63" s="10" t="s">
        <v>323</v>
      </c>
      <c r="C63" s="16" t="s">
        <v>324</v>
      </c>
      <c r="D63" s="9" t="s">
        <v>297</v>
      </c>
      <c r="E63" s="12"/>
    </row>
    <row r="64" spans="1:5" ht="20.149999999999999" customHeight="1">
      <c r="A64" s="9">
        <v>2</v>
      </c>
      <c r="B64" s="17" t="s">
        <v>325</v>
      </c>
      <c r="C64" s="16" t="s">
        <v>326</v>
      </c>
      <c r="D64" s="14" t="s">
        <v>952</v>
      </c>
      <c r="E64" s="12"/>
    </row>
    <row r="65" spans="1:5" ht="20.149999999999999" customHeight="1">
      <c r="A65" s="9">
        <v>3</v>
      </c>
      <c r="B65" s="10" t="s">
        <v>328</v>
      </c>
      <c r="C65" s="3" t="s">
        <v>47</v>
      </c>
      <c r="D65" s="9" t="s">
        <v>266</v>
      </c>
      <c r="E65" s="12"/>
    </row>
    <row r="66" spans="1:5" ht="20.149999999999999" customHeight="1">
      <c r="A66" s="9">
        <v>4</v>
      </c>
      <c r="B66" s="17" t="s">
        <v>329</v>
      </c>
      <c r="C66" s="16" t="s">
        <v>47</v>
      </c>
      <c r="D66" s="14" t="s">
        <v>950</v>
      </c>
      <c r="E66" s="12"/>
    </row>
    <row r="67" spans="1:5" ht="20.149999999999999" customHeight="1">
      <c r="A67" s="9">
        <v>5</v>
      </c>
      <c r="B67" s="13" t="s">
        <v>330</v>
      </c>
      <c r="C67" s="16" t="s">
        <v>256</v>
      </c>
      <c r="D67" s="14" t="s">
        <v>257</v>
      </c>
      <c r="E67" s="12"/>
    </row>
    <row r="68" spans="1:5" ht="20.149999999999999" customHeight="1">
      <c r="A68" s="9">
        <v>6</v>
      </c>
      <c r="B68" s="13" t="s">
        <v>255</v>
      </c>
      <c r="C68" s="16" t="s">
        <v>256</v>
      </c>
      <c r="D68" s="14" t="s">
        <v>342</v>
      </c>
      <c r="E68" s="12"/>
    </row>
    <row r="69" spans="1:5" ht="20.149999999999999" customHeight="1">
      <c r="A69" s="9">
        <v>7</v>
      </c>
      <c r="B69" s="10" t="s">
        <v>331</v>
      </c>
      <c r="C69" s="3" t="s">
        <v>63</v>
      </c>
      <c r="D69" s="9" t="s">
        <v>42</v>
      </c>
      <c r="E69" s="12"/>
    </row>
    <row r="70" spans="1:5" ht="20.149999999999999" customHeight="1">
      <c r="A70" s="9">
        <v>8</v>
      </c>
      <c r="B70" s="10" t="s">
        <v>333</v>
      </c>
      <c r="C70" s="16" t="s">
        <v>275</v>
      </c>
      <c r="D70" s="14" t="s">
        <v>42</v>
      </c>
      <c r="E70" s="12"/>
    </row>
    <row r="71" spans="1:5" ht="20.149999999999999" customHeight="1">
      <c r="A71" s="9">
        <v>9</v>
      </c>
      <c r="B71" s="10" t="s">
        <v>334</v>
      </c>
      <c r="C71" s="16" t="s">
        <v>275</v>
      </c>
      <c r="D71" s="14" t="s">
        <v>42</v>
      </c>
      <c r="E71" s="12"/>
    </row>
    <row r="72" spans="1:5" ht="20.149999999999999" customHeight="1">
      <c r="A72" s="9">
        <v>10</v>
      </c>
      <c r="B72" s="10" t="s">
        <v>335</v>
      </c>
      <c r="C72" s="3" t="s">
        <v>336</v>
      </c>
      <c r="D72" s="9" t="s">
        <v>332</v>
      </c>
      <c r="E72" s="12"/>
    </row>
    <row r="73" spans="1:5" ht="20.149999999999999" customHeight="1">
      <c r="A73" s="9">
        <v>11</v>
      </c>
      <c r="B73" s="10" t="s">
        <v>1115</v>
      </c>
      <c r="C73" s="16" t="s">
        <v>63</v>
      </c>
      <c r="D73" s="9" t="s">
        <v>301</v>
      </c>
      <c r="E73" s="12"/>
    </row>
    <row r="74" spans="1:5" ht="20.149999999999999" customHeight="1">
      <c r="A74" s="9">
        <v>12</v>
      </c>
      <c r="B74" s="10" t="s">
        <v>281</v>
      </c>
      <c r="C74" s="16" t="s">
        <v>273</v>
      </c>
      <c r="D74" s="9" t="s">
        <v>283</v>
      </c>
      <c r="E74" s="12"/>
    </row>
    <row r="75" spans="1:5" ht="20.149999999999999" customHeight="1">
      <c r="A75" s="9">
        <v>13</v>
      </c>
      <c r="B75" s="13" t="s">
        <v>272</v>
      </c>
      <c r="C75" s="16" t="s">
        <v>273</v>
      </c>
      <c r="D75" s="9" t="s">
        <v>294</v>
      </c>
      <c r="E75" s="12"/>
    </row>
    <row r="76" spans="1:5" ht="20.149999999999999" customHeight="1">
      <c r="A76" s="9"/>
      <c r="B76" s="19" t="s">
        <v>34</v>
      </c>
      <c r="C76" s="20">
        <v>13</v>
      </c>
      <c r="D76" s="20"/>
      <c r="E76" s="12"/>
    </row>
    <row r="77" spans="1:5" ht="20.149999999999999" customHeight="1">
      <c r="A77" s="9"/>
      <c r="B77" s="21"/>
      <c r="C77" s="20"/>
      <c r="D77" s="20"/>
      <c r="E77" s="12"/>
    </row>
    <row r="78" spans="1:5" ht="20.149999999999999" customHeight="1">
      <c r="A78" s="9"/>
      <c r="B78" s="19" t="s">
        <v>51</v>
      </c>
      <c r="C78" s="20"/>
      <c r="D78" s="20"/>
      <c r="E78" s="12"/>
    </row>
    <row r="79" spans="1:5" ht="20.149999999999999" customHeight="1">
      <c r="A79" s="9">
        <v>1</v>
      </c>
      <c r="B79" s="10" t="s">
        <v>338</v>
      </c>
      <c r="C79" s="3" t="s">
        <v>339</v>
      </c>
      <c r="D79" s="9" t="s">
        <v>297</v>
      </c>
      <c r="E79" s="12"/>
    </row>
    <row r="80" spans="1:5" ht="20.149999999999999" customHeight="1">
      <c r="A80" s="9">
        <v>2</v>
      </c>
      <c r="B80" s="13" t="s">
        <v>220</v>
      </c>
      <c r="C80" s="3" t="s">
        <v>221</v>
      </c>
      <c r="D80" s="14" t="s">
        <v>952</v>
      </c>
      <c r="E80" s="12"/>
    </row>
    <row r="81" spans="1:5" ht="20.149999999999999" customHeight="1">
      <c r="A81" s="9">
        <v>3</v>
      </c>
      <c r="B81" s="13" t="s">
        <v>1116</v>
      </c>
      <c r="C81" s="3" t="s">
        <v>1117</v>
      </c>
      <c r="D81" s="14" t="s">
        <v>952</v>
      </c>
      <c r="E81" s="12"/>
    </row>
    <row r="82" spans="1:5" ht="20.149999999999999" customHeight="1">
      <c r="A82" s="9">
        <v>4</v>
      </c>
      <c r="B82" s="10" t="s">
        <v>340</v>
      </c>
      <c r="C82" s="3" t="s">
        <v>968</v>
      </c>
      <c r="D82" s="14" t="s">
        <v>266</v>
      </c>
      <c r="E82" s="12"/>
    </row>
    <row r="83" spans="1:5" ht="20.149999999999999" customHeight="1">
      <c r="A83" s="9">
        <v>5</v>
      </c>
      <c r="B83" s="10" t="s">
        <v>343</v>
      </c>
      <c r="C83" s="3" t="s">
        <v>344</v>
      </c>
      <c r="D83" s="9" t="s">
        <v>301</v>
      </c>
      <c r="E83" s="12"/>
    </row>
    <row r="84" spans="1:5" ht="20.149999999999999" customHeight="1">
      <c r="A84" s="9"/>
      <c r="B84" s="19" t="s">
        <v>34</v>
      </c>
      <c r="C84" s="20">
        <v>5</v>
      </c>
      <c r="D84" s="20"/>
      <c r="E84" s="12"/>
    </row>
    <row r="85" spans="1:5" ht="20.149999999999999" customHeight="1">
      <c r="A85" s="9"/>
      <c r="B85" s="19"/>
      <c r="C85" s="20"/>
      <c r="D85" s="20"/>
      <c r="E85" s="12"/>
    </row>
    <row r="86" spans="1:5" ht="20.149999999999999" customHeight="1">
      <c r="A86" s="9"/>
      <c r="B86" s="19" t="s">
        <v>56</v>
      </c>
      <c r="C86" s="24"/>
      <c r="D86" s="20"/>
      <c r="E86" s="12"/>
    </row>
    <row r="87" spans="1:5" ht="20.149999999999999" customHeight="1">
      <c r="A87" s="9">
        <v>1</v>
      </c>
      <c r="B87" s="10" t="s">
        <v>349</v>
      </c>
      <c r="C87" s="3" t="s">
        <v>310</v>
      </c>
      <c r="D87" s="9" t="s">
        <v>249</v>
      </c>
      <c r="E87" s="12"/>
    </row>
    <row r="88" spans="1:5" ht="20.149999999999999" customHeight="1">
      <c r="A88" s="9">
        <v>2</v>
      </c>
      <c r="B88" s="10" t="s">
        <v>350</v>
      </c>
      <c r="C88" s="3" t="s">
        <v>310</v>
      </c>
      <c r="D88" s="9" t="s">
        <v>249</v>
      </c>
      <c r="E88" s="12"/>
    </row>
    <row r="89" spans="1:5" ht="20.149999999999999" customHeight="1">
      <c r="A89" s="9">
        <v>3</v>
      </c>
      <c r="B89" s="13" t="s">
        <v>386</v>
      </c>
      <c r="C89" s="3" t="s">
        <v>256</v>
      </c>
      <c r="D89" s="9" t="s">
        <v>254</v>
      </c>
      <c r="E89" s="12"/>
    </row>
    <row r="90" spans="1:5" ht="20.149999999999999" customHeight="1">
      <c r="A90" s="9">
        <v>4</v>
      </c>
      <c r="B90" s="10" t="s">
        <v>351</v>
      </c>
      <c r="C90" s="3" t="s">
        <v>259</v>
      </c>
      <c r="D90" s="9" t="s">
        <v>257</v>
      </c>
      <c r="E90" s="12"/>
    </row>
    <row r="91" spans="1:5" ht="21.65" customHeight="1">
      <c r="A91" s="9">
        <v>5</v>
      </c>
      <c r="B91" s="10" t="s">
        <v>352</v>
      </c>
      <c r="C91" s="3" t="s">
        <v>353</v>
      </c>
      <c r="D91" s="14" t="s">
        <v>266</v>
      </c>
      <c r="E91" s="12"/>
    </row>
    <row r="92" spans="1:5" ht="21.65" customHeight="1">
      <c r="A92" s="9">
        <v>6</v>
      </c>
      <c r="B92" s="10" t="s">
        <v>354</v>
      </c>
      <c r="C92" s="11" t="s">
        <v>47</v>
      </c>
      <c r="D92" s="14" t="s">
        <v>950</v>
      </c>
      <c r="E92" s="12"/>
    </row>
    <row r="93" spans="1:5" ht="21.65" customHeight="1">
      <c r="A93" s="9">
        <v>7</v>
      </c>
      <c r="B93" s="10" t="s">
        <v>355</v>
      </c>
      <c r="C93" s="11" t="s">
        <v>47</v>
      </c>
      <c r="D93" s="14" t="s">
        <v>950</v>
      </c>
      <c r="E93" s="12"/>
    </row>
    <row r="94" spans="1:5" ht="21.65" customHeight="1">
      <c r="A94" s="9">
        <v>8</v>
      </c>
      <c r="B94" s="10" t="s">
        <v>357</v>
      </c>
      <c r="C94" s="16" t="s">
        <v>275</v>
      </c>
      <c r="D94" s="14" t="s">
        <v>42</v>
      </c>
      <c r="E94" s="12"/>
    </row>
    <row r="95" spans="1:5" ht="21.65" customHeight="1">
      <c r="A95" s="9">
        <v>9</v>
      </c>
      <c r="B95" s="10" t="s">
        <v>359</v>
      </c>
      <c r="C95" s="3" t="s">
        <v>360</v>
      </c>
      <c r="D95" s="9" t="s">
        <v>38</v>
      </c>
      <c r="E95" s="12"/>
    </row>
    <row r="96" spans="1:5" ht="21.65" customHeight="1">
      <c r="A96" s="9">
        <v>10</v>
      </c>
      <c r="B96" s="10" t="s">
        <v>361</v>
      </c>
      <c r="C96" s="16" t="s">
        <v>362</v>
      </c>
      <c r="D96" s="14" t="s">
        <v>294</v>
      </c>
      <c r="E96" s="12"/>
    </row>
    <row r="97" spans="1:5" ht="20.149999999999999" customHeight="1">
      <c r="A97" s="9"/>
      <c r="B97" s="19" t="s">
        <v>34</v>
      </c>
      <c r="C97" s="20">
        <v>10</v>
      </c>
      <c r="D97" s="20"/>
      <c r="E97" s="12"/>
    </row>
    <row r="98" spans="1:5" ht="20.149999999999999" customHeight="1">
      <c r="A98" s="9"/>
      <c r="B98" s="21"/>
      <c r="C98" s="20"/>
      <c r="D98" s="20"/>
      <c r="E98" s="12"/>
    </row>
    <row r="99" spans="1:5" ht="20.149999999999999" customHeight="1">
      <c r="A99" s="9"/>
      <c r="B99" s="19" t="s">
        <v>58</v>
      </c>
      <c r="C99" s="20"/>
      <c r="D99" s="20"/>
      <c r="E99" s="12"/>
    </row>
    <row r="100" spans="1:5" ht="20.149999999999999" customHeight="1">
      <c r="A100" s="9">
        <v>1</v>
      </c>
      <c r="B100" s="17" t="s">
        <v>232</v>
      </c>
      <c r="C100" s="9" t="s">
        <v>233</v>
      </c>
      <c r="D100" s="14" t="s">
        <v>308</v>
      </c>
      <c r="E100" s="12"/>
    </row>
    <row r="101" spans="1:5" ht="20.149999999999999" customHeight="1">
      <c r="A101" s="9">
        <v>2</v>
      </c>
      <c r="B101" s="10" t="s">
        <v>250</v>
      </c>
      <c r="C101" s="3" t="s">
        <v>367</v>
      </c>
      <c r="D101" s="9" t="s">
        <v>257</v>
      </c>
      <c r="E101" s="12"/>
    </row>
    <row r="102" spans="1:5" ht="20.149999999999999" customHeight="1">
      <c r="A102" s="9">
        <v>3</v>
      </c>
      <c r="B102" s="10" t="s">
        <v>368</v>
      </c>
      <c r="C102" s="3" t="s">
        <v>369</v>
      </c>
      <c r="D102" s="14" t="s">
        <v>332</v>
      </c>
      <c r="E102" s="12"/>
    </row>
    <row r="103" spans="1:5" ht="20.149999999999999" customHeight="1">
      <c r="A103" s="9">
        <v>4</v>
      </c>
      <c r="B103" s="10" t="s">
        <v>370</v>
      </c>
      <c r="C103" s="3" t="s">
        <v>969</v>
      </c>
      <c r="D103" s="14" t="s">
        <v>945</v>
      </c>
      <c r="E103" s="12"/>
    </row>
    <row r="104" spans="1:5" ht="20.149999999999999" customHeight="1">
      <c r="A104" s="3"/>
      <c r="B104" s="19" t="s">
        <v>34</v>
      </c>
      <c r="C104" s="20">
        <v>4</v>
      </c>
      <c r="D104" s="25"/>
      <c r="E104" s="12"/>
    </row>
    <row r="105" spans="1:5" ht="20.149999999999999" customHeight="1">
      <c r="A105" s="3"/>
      <c r="B105" s="21"/>
      <c r="C105" s="20"/>
      <c r="D105" s="25"/>
      <c r="E105" s="12"/>
    </row>
    <row r="106" spans="1:5" ht="20.149999999999999" customHeight="1">
      <c r="A106" s="3"/>
      <c r="B106" s="19" t="s">
        <v>372</v>
      </c>
      <c r="C106" s="3"/>
      <c r="D106" s="3"/>
      <c r="E106" s="12"/>
    </row>
    <row r="107" spans="1:5" ht="20.149999999999999" customHeight="1">
      <c r="A107" s="3">
        <v>1</v>
      </c>
      <c r="B107" s="10" t="s">
        <v>373</v>
      </c>
      <c r="C107" s="11" t="s">
        <v>374</v>
      </c>
      <c r="D107" s="14" t="s">
        <v>297</v>
      </c>
      <c r="E107" s="12"/>
    </row>
    <row r="108" spans="1:5" ht="20.149999999999999" customHeight="1">
      <c r="A108" s="3">
        <v>2</v>
      </c>
      <c r="B108" s="10" t="s">
        <v>375</v>
      </c>
      <c r="C108" s="3" t="s">
        <v>376</v>
      </c>
      <c r="D108" s="15" t="s">
        <v>308</v>
      </c>
      <c r="E108" s="12"/>
    </row>
    <row r="109" spans="1:5" ht="20.149999999999999" customHeight="1">
      <c r="A109" s="3">
        <v>3</v>
      </c>
      <c r="B109" s="10" t="s">
        <v>377</v>
      </c>
      <c r="C109" s="3" t="s">
        <v>378</v>
      </c>
      <c r="D109" s="9" t="s">
        <v>263</v>
      </c>
      <c r="E109" s="12"/>
    </row>
    <row r="110" spans="1:5" ht="20.149999999999999" customHeight="1">
      <c r="A110" s="3">
        <v>4</v>
      </c>
      <c r="B110" s="10" t="s">
        <v>379</v>
      </c>
      <c r="C110" s="3" t="s">
        <v>378</v>
      </c>
      <c r="D110" s="9" t="s">
        <v>263</v>
      </c>
      <c r="E110" s="12"/>
    </row>
    <row r="111" spans="1:5" ht="20.149999999999999" customHeight="1">
      <c r="A111" s="3">
        <v>5</v>
      </c>
      <c r="B111" s="10" t="s">
        <v>380</v>
      </c>
      <c r="C111" s="3" t="s">
        <v>381</v>
      </c>
      <c r="D111" s="14" t="s">
        <v>384</v>
      </c>
      <c r="E111" s="12"/>
    </row>
    <row r="112" spans="1:5" ht="20.149999999999999" customHeight="1">
      <c r="A112" s="3">
        <v>6</v>
      </c>
      <c r="B112" s="17" t="s">
        <v>383</v>
      </c>
      <c r="C112" s="3" t="s">
        <v>381</v>
      </c>
      <c r="D112" s="9" t="s">
        <v>945</v>
      </c>
      <c r="E112" s="12"/>
    </row>
    <row r="113" spans="1:5" ht="20.149999999999999" customHeight="1">
      <c r="A113" s="3">
        <v>7</v>
      </c>
      <c r="B113" s="17" t="s">
        <v>385</v>
      </c>
      <c r="C113" s="3" t="s">
        <v>381</v>
      </c>
      <c r="D113" s="14" t="s">
        <v>294</v>
      </c>
      <c r="E113" s="12"/>
    </row>
    <row r="114" spans="1:5" ht="25.5" customHeight="1">
      <c r="A114" s="3"/>
      <c r="B114" s="19" t="s">
        <v>34</v>
      </c>
      <c r="C114" s="20">
        <v>7</v>
      </c>
      <c r="D114" s="3"/>
      <c r="E114" s="12"/>
    </row>
    <row r="115" spans="1:5" ht="20.149999999999999" customHeight="1">
      <c r="A115" s="3"/>
      <c r="B115" s="19"/>
      <c r="C115" s="20"/>
      <c r="D115" s="3"/>
      <c r="E115" s="12"/>
    </row>
    <row r="116" spans="1:5" ht="20.149999999999999" customHeight="1">
      <c r="A116" s="9"/>
      <c r="B116" s="19" t="s">
        <v>61</v>
      </c>
      <c r="C116" s="20"/>
      <c r="D116" s="20"/>
      <c r="E116" s="12"/>
    </row>
    <row r="117" spans="1:5" ht="20.149999999999999" customHeight="1">
      <c r="A117" s="9">
        <v>1</v>
      </c>
      <c r="B117" s="10" t="s">
        <v>1033</v>
      </c>
      <c r="C117" s="16" t="s">
        <v>275</v>
      </c>
      <c r="D117" s="14" t="s">
        <v>271</v>
      </c>
      <c r="E117" s="12"/>
    </row>
    <row r="118" spans="1:5" ht="18.75" customHeight="1">
      <c r="A118" s="9">
        <v>2</v>
      </c>
      <c r="B118" s="10" t="s">
        <v>387</v>
      </c>
      <c r="C118" s="3" t="s">
        <v>388</v>
      </c>
      <c r="D118" s="14" t="s">
        <v>332</v>
      </c>
      <c r="E118" s="12"/>
    </row>
    <row r="119" spans="1:5" ht="24.75" customHeight="1">
      <c r="A119" s="3"/>
      <c r="B119" s="19" t="s">
        <v>34</v>
      </c>
      <c r="C119" s="20">
        <v>2</v>
      </c>
      <c r="D119" s="25"/>
      <c r="E119" s="12"/>
    </row>
    <row r="120" spans="1:5" ht="20.149999999999999" customHeight="1">
      <c r="A120" s="3"/>
      <c r="B120" s="19"/>
      <c r="C120" s="20"/>
      <c r="D120" s="3"/>
      <c r="E120" s="12"/>
    </row>
    <row r="121" spans="1:5" ht="20.149999999999999" customHeight="1">
      <c r="A121" s="3"/>
      <c r="B121" s="19" t="s">
        <v>67</v>
      </c>
      <c r="C121" s="20"/>
      <c r="D121" s="20"/>
      <c r="E121" s="12"/>
    </row>
    <row r="122" spans="1:5" ht="20.149999999999999" customHeight="1">
      <c r="A122" s="3">
        <v>1</v>
      </c>
      <c r="B122" s="10" t="s">
        <v>392</v>
      </c>
      <c r="C122" s="11" t="s">
        <v>393</v>
      </c>
      <c r="D122" s="14" t="s">
        <v>297</v>
      </c>
      <c r="E122" s="12"/>
    </row>
    <row r="123" spans="1:5" ht="20.149999999999999" customHeight="1">
      <c r="A123" s="3">
        <v>2</v>
      </c>
      <c r="B123" s="10" t="s">
        <v>1138</v>
      </c>
      <c r="C123" s="11" t="s">
        <v>1139</v>
      </c>
      <c r="D123" s="14" t="s">
        <v>231</v>
      </c>
      <c r="E123" s="12"/>
    </row>
    <row r="124" spans="1:5" ht="20.149999999999999" customHeight="1">
      <c r="A124" s="3">
        <v>3</v>
      </c>
      <c r="B124" s="10" t="s">
        <v>130</v>
      </c>
      <c r="C124" s="11" t="s">
        <v>227</v>
      </c>
      <c r="D124" s="14" t="s">
        <v>249</v>
      </c>
      <c r="E124" s="12"/>
    </row>
    <row r="125" spans="1:5" ht="20.149999999999999" customHeight="1">
      <c r="A125" s="3">
        <v>4</v>
      </c>
      <c r="B125" s="13" t="s">
        <v>395</v>
      </c>
      <c r="C125" s="11" t="s">
        <v>227</v>
      </c>
      <c r="D125" s="14" t="s">
        <v>249</v>
      </c>
      <c r="E125" s="12"/>
    </row>
    <row r="126" spans="1:5" ht="20.149999999999999" customHeight="1">
      <c r="A126" s="3">
        <v>5</v>
      </c>
      <c r="B126" s="13" t="s">
        <v>226</v>
      </c>
      <c r="C126" s="11" t="s">
        <v>227</v>
      </c>
      <c r="D126" s="14" t="s">
        <v>228</v>
      </c>
      <c r="E126" s="12"/>
    </row>
    <row r="127" spans="1:5" ht="20.149999999999999" customHeight="1">
      <c r="A127" s="3">
        <v>6</v>
      </c>
      <c r="B127" s="10" t="s">
        <v>396</v>
      </c>
      <c r="C127" s="11" t="s">
        <v>397</v>
      </c>
      <c r="D127" s="14" t="s">
        <v>342</v>
      </c>
      <c r="E127" s="12"/>
    </row>
    <row r="128" spans="1:5" ht="20.149999999999999" customHeight="1">
      <c r="A128" s="3">
        <v>7</v>
      </c>
      <c r="B128" s="10" t="s">
        <v>398</v>
      </c>
      <c r="C128" s="11" t="s">
        <v>399</v>
      </c>
      <c r="D128" s="14" t="s">
        <v>266</v>
      </c>
      <c r="E128" s="12"/>
    </row>
    <row r="129" spans="1:5" ht="20.149999999999999" customHeight="1">
      <c r="A129" s="3">
        <v>8</v>
      </c>
      <c r="B129" s="10" t="s">
        <v>400</v>
      </c>
      <c r="C129" s="11" t="s">
        <v>970</v>
      </c>
      <c r="D129" s="14" t="s">
        <v>266</v>
      </c>
      <c r="E129" s="12"/>
    </row>
    <row r="130" spans="1:5" ht="20.149999999999999" customHeight="1">
      <c r="A130" s="3">
        <v>9</v>
      </c>
      <c r="B130" s="10" t="s">
        <v>401</v>
      </c>
      <c r="C130" s="11" t="s">
        <v>402</v>
      </c>
      <c r="D130" s="9" t="s">
        <v>283</v>
      </c>
      <c r="E130" s="12"/>
    </row>
    <row r="131" spans="1:5" ht="20.149999999999999" customHeight="1">
      <c r="A131" s="3">
        <v>10</v>
      </c>
      <c r="B131" s="17" t="s">
        <v>403</v>
      </c>
      <c r="C131" s="11" t="s">
        <v>404</v>
      </c>
      <c r="D131" s="14" t="s">
        <v>31</v>
      </c>
      <c r="E131" s="12"/>
    </row>
    <row r="132" spans="1:5" ht="20.149999999999999" customHeight="1">
      <c r="A132" s="3"/>
      <c r="B132" s="19" t="s">
        <v>34</v>
      </c>
      <c r="C132" s="25" t="s">
        <v>406</v>
      </c>
      <c r="D132" s="14"/>
      <c r="E132" s="12"/>
    </row>
    <row r="133" spans="1:5" ht="20.149999999999999" customHeight="1">
      <c r="A133" s="3"/>
      <c r="B133" s="21"/>
      <c r="C133" s="25"/>
      <c r="D133" s="14"/>
      <c r="E133" s="12"/>
    </row>
    <row r="134" spans="1:5" ht="20.149999999999999" customHeight="1">
      <c r="A134" s="3"/>
      <c r="B134" s="19" t="s">
        <v>71</v>
      </c>
      <c r="C134" s="11"/>
      <c r="D134" s="14"/>
      <c r="E134" s="12"/>
    </row>
    <row r="135" spans="1:5" ht="20.149999999999999" customHeight="1">
      <c r="A135" s="26">
        <v>1</v>
      </c>
      <c r="B135" s="10" t="s">
        <v>407</v>
      </c>
      <c r="C135" s="11" t="s">
        <v>408</v>
      </c>
      <c r="D135" s="14" t="s">
        <v>297</v>
      </c>
      <c r="E135" s="12"/>
    </row>
    <row r="136" spans="1:5" ht="20.149999999999999" customHeight="1">
      <c r="A136" s="26">
        <v>2</v>
      </c>
      <c r="B136" s="10" t="s">
        <v>229</v>
      </c>
      <c r="C136" s="11" t="s">
        <v>230</v>
      </c>
      <c r="D136" s="14" t="s">
        <v>231</v>
      </c>
      <c r="E136" s="12"/>
    </row>
    <row r="137" spans="1:5" ht="20.149999999999999" customHeight="1">
      <c r="A137" s="26">
        <v>3</v>
      </c>
      <c r="B137" s="13" t="s">
        <v>409</v>
      </c>
      <c r="C137" s="3" t="s">
        <v>410</v>
      </c>
      <c r="D137" s="15" t="s">
        <v>308</v>
      </c>
      <c r="E137" s="12"/>
    </row>
    <row r="138" spans="1:5" ht="20.149999999999999" customHeight="1">
      <c r="A138" s="26">
        <v>4</v>
      </c>
      <c r="B138" s="10" t="s">
        <v>411</v>
      </c>
      <c r="C138" s="11" t="s">
        <v>412</v>
      </c>
      <c r="D138" s="14" t="s">
        <v>257</v>
      </c>
      <c r="E138" s="12"/>
    </row>
    <row r="139" spans="1:5" ht="20.149999999999999" customHeight="1">
      <c r="A139" s="26">
        <v>5</v>
      </c>
      <c r="B139" s="10" t="s">
        <v>413</v>
      </c>
      <c r="C139" s="3" t="s">
        <v>414</v>
      </c>
      <c r="D139" s="14" t="s">
        <v>257</v>
      </c>
      <c r="E139" s="12"/>
    </row>
    <row r="140" spans="1:5" ht="20.149999999999999" customHeight="1">
      <c r="A140" s="26">
        <v>6</v>
      </c>
      <c r="B140" s="10" t="s">
        <v>366</v>
      </c>
      <c r="C140" s="3" t="s">
        <v>420</v>
      </c>
      <c r="D140" s="14" t="s">
        <v>266</v>
      </c>
      <c r="E140" s="12"/>
    </row>
    <row r="141" spans="1:5" ht="20.149999999999999" customHeight="1">
      <c r="A141" s="26">
        <v>7</v>
      </c>
      <c r="B141" s="10" t="s">
        <v>416</v>
      </c>
      <c r="C141" s="11" t="s">
        <v>417</v>
      </c>
      <c r="D141" s="14" t="s">
        <v>271</v>
      </c>
      <c r="E141" s="12"/>
    </row>
    <row r="142" spans="1:5" ht="20.149999999999999" customHeight="1">
      <c r="A142" s="26">
        <v>8</v>
      </c>
      <c r="B142" s="10" t="s">
        <v>418</v>
      </c>
      <c r="C142" s="11" t="s">
        <v>417</v>
      </c>
      <c r="D142" s="14" t="s">
        <v>271</v>
      </c>
      <c r="E142" s="12"/>
    </row>
    <row r="143" spans="1:5" ht="20.149999999999999" customHeight="1">
      <c r="A143" s="26">
        <v>9</v>
      </c>
      <c r="B143" s="10" t="s">
        <v>419</v>
      </c>
      <c r="C143" s="3" t="s">
        <v>420</v>
      </c>
      <c r="D143" s="14" t="s">
        <v>271</v>
      </c>
      <c r="E143" s="12"/>
    </row>
    <row r="144" spans="1:5" ht="20.149999999999999" customHeight="1">
      <c r="A144" s="26">
        <v>10</v>
      </c>
      <c r="B144" s="10" t="s">
        <v>421</v>
      </c>
      <c r="C144" s="11" t="s">
        <v>422</v>
      </c>
      <c r="D144" s="14" t="s">
        <v>332</v>
      </c>
      <c r="E144" s="12"/>
    </row>
    <row r="145" spans="1:5" ht="20.149999999999999" customHeight="1">
      <c r="A145" s="26">
        <v>11</v>
      </c>
      <c r="B145" s="10" t="s">
        <v>423</v>
      </c>
      <c r="C145" s="11" t="s">
        <v>971</v>
      </c>
      <c r="D145" s="14" t="s">
        <v>432</v>
      </c>
      <c r="E145" s="12"/>
    </row>
    <row r="146" spans="1:5" ht="20.149999999999999" customHeight="1">
      <c r="A146" s="26">
        <v>12</v>
      </c>
      <c r="B146" s="10" t="s">
        <v>425</v>
      </c>
      <c r="C146" s="11" t="s">
        <v>426</v>
      </c>
      <c r="D146" s="14" t="s">
        <v>271</v>
      </c>
      <c r="E146" s="12"/>
    </row>
    <row r="147" spans="1:5" ht="20.149999999999999" customHeight="1">
      <c r="A147" s="26">
        <v>13</v>
      </c>
      <c r="B147" s="17" t="s">
        <v>427</v>
      </c>
      <c r="C147" s="3" t="s">
        <v>437</v>
      </c>
      <c r="D147" s="14" t="s">
        <v>432</v>
      </c>
      <c r="E147" s="12"/>
    </row>
    <row r="148" spans="1:5" ht="20.149999999999999" customHeight="1">
      <c r="A148" s="26">
        <v>14</v>
      </c>
      <c r="B148" s="10" t="s">
        <v>429</v>
      </c>
      <c r="C148" s="3" t="s">
        <v>430</v>
      </c>
      <c r="D148" s="14" t="s">
        <v>301</v>
      </c>
      <c r="E148" s="12"/>
    </row>
    <row r="149" spans="1:5" ht="20.149999999999999" customHeight="1">
      <c r="A149" s="26">
        <v>15</v>
      </c>
      <c r="B149" s="10" t="s">
        <v>431</v>
      </c>
      <c r="C149" s="3" t="s">
        <v>430</v>
      </c>
      <c r="D149" s="14" t="s">
        <v>345</v>
      </c>
      <c r="E149" s="12"/>
    </row>
    <row r="150" spans="1:5" ht="20.149999999999999" customHeight="1">
      <c r="A150" s="26">
        <v>16</v>
      </c>
      <c r="B150" s="10" t="s">
        <v>433</v>
      </c>
      <c r="C150" s="3" t="s">
        <v>430</v>
      </c>
      <c r="D150" s="14" t="s">
        <v>345</v>
      </c>
      <c r="E150" s="12"/>
    </row>
    <row r="151" spans="1:5" ht="20.149999999999999" customHeight="1">
      <c r="A151" s="26">
        <v>17</v>
      </c>
      <c r="B151" s="10" t="s">
        <v>434</v>
      </c>
      <c r="C151" s="11" t="s">
        <v>435</v>
      </c>
      <c r="D151" s="14" t="s">
        <v>38</v>
      </c>
      <c r="E151" s="12"/>
    </row>
    <row r="152" spans="1:5" ht="20.149999999999999" customHeight="1">
      <c r="A152" s="26">
        <v>18</v>
      </c>
      <c r="B152" s="10" t="s">
        <v>953</v>
      </c>
      <c r="C152" s="11" t="s">
        <v>437</v>
      </c>
      <c r="D152" s="9" t="s">
        <v>25</v>
      </c>
      <c r="E152" s="12"/>
    </row>
    <row r="153" spans="1:5" ht="20.149999999999999" customHeight="1">
      <c r="A153" s="26">
        <v>19</v>
      </c>
      <c r="B153" s="10" t="s">
        <v>438</v>
      </c>
      <c r="C153" s="11" t="s">
        <v>439</v>
      </c>
      <c r="D153" s="14" t="s">
        <v>301</v>
      </c>
      <c r="E153" s="12"/>
    </row>
    <row r="154" spans="1:5" ht="20.149999999999999" customHeight="1">
      <c r="A154" s="26">
        <v>20</v>
      </c>
      <c r="B154" s="10" t="s">
        <v>440</v>
      </c>
      <c r="C154" s="11" t="s">
        <v>441</v>
      </c>
      <c r="D154" s="14" t="s">
        <v>283</v>
      </c>
      <c r="E154" s="12"/>
    </row>
    <row r="155" spans="1:5" ht="20.149999999999999" customHeight="1">
      <c r="A155" s="26">
        <v>21</v>
      </c>
      <c r="B155" s="10" t="s">
        <v>442</v>
      </c>
      <c r="C155" s="11" t="s">
        <v>443</v>
      </c>
      <c r="D155" s="14" t="s">
        <v>301</v>
      </c>
      <c r="E155" s="12"/>
    </row>
    <row r="156" spans="1:5" ht="20.149999999999999" customHeight="1">
      <c r="A156" s="26">
        <v>22</v>
      </c>
      <c r="B156" s="10" t="s">
        <v>444</v>
      </c>
      <c r="C156" s="11" t="s">
        <v>445</v>
      </c>
      <c r="D156" s="14" t="s">
        <v>283</v>
      </c>
      <c r="E156" s="12"/>
    </row>
    <row r="157" spans="1:5" ht="20.149999999999999" customHeight="1">
      <c r="A157" s="26">
        <v>23</v>
      </c>
      <c r="B157" s="17" t="s">
        <v>446</v>
      </c>
      <c r="C157" s="11" t="s">
        <v>451</v>
      </c>
      <c r="D157" s="14" t="s">
        <v>945</v>
      </c>
      <c r="E157" s="12"/>
    </row>
    <row r="158" spans="1:5" ht="20.149999999999999" customHeight="1">
      <c r="A158" s="26">
        <v>24</v>
      </c>
      <c r="B158" s="17" t="s">
        <v>448</v>
      </c>
      <c r="C158" s="11" t="s">
        <v>449</v>
      </c>
      <c r="D158" s="14" t="s">
        <v>31</v>
      </c>
      <c r="E158" s="12"/>
    </row>
    <row r="159" spans="1:5" ht="20.149999999999999" customHeight="1">
      <c r="A159" s="26">
        <v>25</v>
      </c>
      <c r="B159" s="17" t="s">
        <v>450</v>
      </c>
      <c r="C159" s="11" t="s">
        <v>451</v>
      </c>
      <c r="D159" s="14" t="s">
        <v>31</v>
      </c>
      <c r="E159" s="12"/>
    </row>
    <row r="160" spans="1:5" ht="20.149999999999999" customHeight="1">
      <c r="A160" s="26">
        <v>26</v>
      </c>
      <c r="B160" s="17" t="s">
        <v>452</v>
      </c>
      <c r="C160" s="11" t="s">
        <v>453</v>
      </c>
      <c r="D160" s="14" t="s">
        <v>294</v>
      </c>
      <c r="E160" s="12"/>
    </row>
    <row r="161" spans="1:5" ht="20.149999999999999" customHeight="1">
      <c r="A161" s="26">
        <v>27</v>
      </c>
      <c r="B161" s="17" t="s">
        <v>454</v>
      </c>
      <c r="C161" s="11" t="s">
        <v>455</v>
      </c>
      <c r="D161" s="14" t="s">
        <v>294</v>
      </c>
      <c r="E161" s="12"/>
    </row>
    <row r="162" spans="1:5" ht="20.149999999999999" customHeight="1">
      <c r="A162" s="26">
        <v>28</v>
      </c>
      <c r="B162" s="10" t="s">
        <v>457</v>
      </c>
      <c r="C162" s="11" t="s">
        <v>458</v>
      </c>
      <c r="D162" s="14" t="s">
        <v>465</v>
      </c>
      <c r="E162" s="12"/>
    </row>
    <row r="163" spans="1:5" ht="20.149999999999999" customHeight="1">
      <c r="A163" s="26">
        <v>29</v>
      </c>
      <c r="B163" s="10" t="s">
        <v>460</v>
      </c>
      <c r="C163" s="11" t="s">
        <v>458</v>
      </c>
      <c r="D163" s="14" t="s">
        <v>465</v>
      </c>
      <c r="E163" s="12"/>
    </row>
    <row r="164" spans="1:5" ht="20.149999999999999" customHeight="1">
      <c r="A164" s="26">
        <v>30</v>
      </c>
      <c r="B164" s="10" t="s">
        <v>461</v>
      </c>
      <c r="C164" s="11" t="s">
        <v>458</v>
      </c>
      <c r="D164" s="14" t="s">
        <v>465</v>
      </c>
      <c r="E164" s="12"/>
    </row>
    <row r="165" spans="1:5" ht="20.149999999999999" customHeight="1">
      <c r="A165" s="26">
        <v>31</v>
      </c>
      <c r="B165" s="10" t="s">
        <v>462</v>
      </c>
      <c r="C165" s="11" t="s">
        <v>458</v>
      </c>
      <c r="D165" s="14" t="s">
        <v>465</v>
      </c>
      <c r="E165" s="12"/>
    </row>
    <row r="166" spans="1:5" ht="20.149999999999999" customHeight="1">
      <c r="A166" s="26">
        <v>32</v>
      </c>
      <c r="B166" s="10" t="s">
        <v>463</v>
      </c>
      <c r="C166" s="11" t="s">
        <v>458</v>
      </c>
      <c r="D166" s="14" t="s">
        <v>465</v>
      </c>
      <c r="E166" s="12"/>
    </row>
    <row r="167" spans="1:5" ht="20.149999999999999" customHeight="1">
      <c r="A167" s="26">
        <v>33</v>
      </c>
      <c r="B167" s="10" t="s">
        <v>464</v>
      </c>
      <c r="C167" s="11" t="s">
        <v>458</v>
      </c>
      <c r="D167" s="14" t="s">
        <v>476</v>
      </c>
      <c r="E167" s="12"/>
    </row>
    <row r="168" spans="1:5" ht="20.149999999999999" customHeight="1">
      <c r="A168" s="26">
        <v>34</v>
      </c>
      <c r="B168" s="10" t="s">
        <v>466</v>
      </c>
      <c r="C168" s="11" t="s">
        <v>458</v>
      </c>
      <c r="D168" s="14" t="s">
        <v>476</v>
      </c>
      <c r="E168" s="12"/>
    </row>
    <row r="169" spans="1:5" ht="20.149999999999999" customHeight="1">
      <c r="A169" s="26">
        <v>35</v>
      </c>
      <c r="B169" s="10" t="s">
        <v>1121</v>
      </c>
      <c r="C169" s="11" t="s">
        <v>458</v>
      </c>
      <c r="D169" s="14" t="s">
        <v>476</v>
      </c>
      <c r="E169" s="12"/>
    </row>
    <row r="170" spans="1:5" ht="20.149999999999999" customHeight="1">
      <c r="A170" s="26">
        <v>36</v>
      </c>
      <c r="B170" s="13" t="s">
        <v>467</v>
      </c>
      <c r="C170" s="11" t="s">
        <v>458</v>
      </c>
      <c r="D170" s="14" t="s">
        <v>476</v>
      </c>
      <c r="E170" s="12"/>
    </row>
    <row r="171" spans="1:5" ht="20.149999999999999" customHeight="1">
      <c r="A171" s="26">
        <v>37</v>
      </c>
      <c r="B171" s="10" t="s">
        <v>468</v>
      </c>
      <c r="C171" s="11" t="s">
        <v>458</v>
      </c>
      <c r="D171" s="14" t="s">
        <v>476</v>
      </c>
      <c r="E171" s="12"/>
    </row>
    <row r="172" spans="1:5" ht="20.149999999999999" customHeight="1">
      <c r="A172" s="26">
        <v>38</v>
      </c>
      <c r="B172" s="17" t="s">
        <v>469</v>
      </c>
      <c r="C172" s="11" t="s">
        <v>458</v>
      </c>
      <c r="D172" s="14" t="s">
        <v>476</v>
      </c>
      <c r="E172" s="12"/>
    </row>
    <row r="173" spans="1:5" ht="20.149999999999999" customHeight="1">
      <c r="A173" s="26">
        <v>39</v>
      </c>
      <c r="B173" s="17" t="s">
        <v>470</v>
      </c>
      <c r="C173" s="11" t="s">
        <v>458</v>
      </c>
      <c r="D173" s="14" t="s">
        <v>476</v>
      </c>
      <c r="E173" s="12"/>
    </row>
    <row r="174" spans="1:5" ht="20.149999999999999" customHeight="1">
      <c r="A174" s="26">
        <v>40</v>
      </c>
      <c r="B174" s="10" t="s">
        <v>471</v>
      </c>
      <c r="C174" s="11" t="s">
        <v>478</v>
      </c>
      <c r="D174" s="14" t="s">
        <v>479</v>
      </c>
      <c r="E174" s="12"/>
    </row>
    <row r="175" spans="1:5" ht="20.149999999999999" customHeight="1">
      <c r="A175" s="26">
        <v>41</v>
      </c>
      <c r="B175" s="10" t="s">
        <v>474</v>
      </c>
      <c r="C175" s="11" t="s">
        <v>478</v>
      </c>
      <c r="D175" s="14" t="s">
        <v>479</v>
      </c>
      <c r="E175" s="12"/>
    </row>
    <row r="176" spans="1:5" ht="20.149999999999999" customHeight="1">
      <c r="A176" s="26">
        <v>42</v>
      </c>
      <c r="B176" s="17" t="s">
        <v>475</v>
      </c>
      <c r="C176" s="11" t="s">
        <v>478</v>
      </c>
      <c r="D176" s="14" t="s">
        <v>948</v>
      </c>
      <c r="E176" s="12"/>
    </row>
    <row r="177" spans="1:5" ht="20.149999999999999" customHeight="1">
      <c r="A177" s="26">
        <v>43</v>
      </c>
      <c r="B177" s="10" t="s">
        <v>477</v>
      </c>
      <c r="C177" s="11" t="s">
        <v>478</v>
      </c>
      <c r="D177" s="14" t="s">
        <v>954</v>
      </c>
      <c r="E177" s="12"/>
    </row>
    <row r="178" spans="1:5" ht="20.149999999999999" customHeight="1">
      <c r="A178" s="26">
        <v>44</v>
      </c>
      <c r="B178" s="10" t="s">
        <v>480</v>
      </c>
      <c r="C178" s="11" t="s">
        <v>481</v>
      </c>
      <c r="D178" s="14" t="s">
        <v>955</v>
      </c>
      <c r="E178" s="12"/>
    </row>
    <row r="179" spans="1:5" ht="20.149999999999999" customHeight="1">
      <c r="A179" s="26">
        <v>45</v>
      </c>
      <c r="B179" s="10" t="s">
        <v>483</v>
      </c>
      <c r="C179" s="11" t="s">
        <v>481</v>
      </c>
      <c r="D179" s="14" t="s">
        <v>955</v>
      </c>
      <c r="E179" s="12"/>
    </row>
    <row r="180" spans="1:5" ht="20.149999999999999" customHeight="1">
      <c r="A180" s="26">
        <v>46</v>
      </c>
      <c r="B180" s="10" t="s">
        <v>484</v>
      </c>
      <c r="C180" s="11" t="s">
        <v>481</v>
      </c>
      <c r="D180" s="14" t="s">
        <v>955</v>
      </c>
      <c r="E180" s="12"/>
    </row>
    <row r="181" spans="1:5" ht="20.149999999999999" customHeight="1">
      <c r="A181" s="26">
        <v>47</v>
      </c>
      <c r="B181" s="10" t="s">
        <v>485</v>
      </c>
      <c r="C181" s="11" t="s">
        <v>481</v>
      </c>
      <c r="D181" s="14" t="s">
        <v>955</v>
      </c>
      <c r="E181" s="12"/>
    </row>
    <row r="182" spans="1:5" ht="20.149999999999999" customHeight="1">
      <c r="A182" s="26">
        <v>48</v>
      </c>
      <c r="B182" s="10" t="s">
        <v>486</v>
      </c>
      <c r="C182" s="11" t="s">
        <v>481</v>
      </c>
      <c r="D182" s="14" t="s">
        <v>955</v>
      </c>
      <c r="E182" s="12"/>
    </row>
    <row r="183" spans="1:5" ht="20.149999999999999" customHeight="1">
      <c r="A183" s="26">
        <v>49</v>
      </c>
      <c r="B183" s="17" t="s">
        <v>487</v>
      </c>
      <c r="C183" s="11" t="s">
        <v>481</v>
      </c>
      <c r="D183" s="14" t="s">
        <v>955</v>
      </c>
      <c r="E183" s="12"/>
    </row>
    <row r="184" spans="1:5" ht="20.149999999999999" customHeight="1">
      <c r="A184" s="26">
        <v>50</v>
      </c>
      <c r="B184" s="17" t="s">
        <v>488</v>
      </c>
      <c r="C184" s="11" t="s">
        <v>481</v>
      </c>
      <c r="D184" s="14" t="s">
        <v>955</v>
      </c>
      <c r="E184" s="12"/>
    </row>
    <row r="185" spans="1:5" ht="20.149999999999999" customHeight="1">
      <c r="A185" s="26">
        <v>51</v>
      </c>
      <c r="B185" s="10" t="s">
        <v>489</v>
      </c>
      <c r="C185" s="11" t="s">
        <v>478</v>
      </c>
      <c r="D185" s="14" t="s">
        <v>955</v>
      </c>
      <c r="E185" s="12"/>
    </row>
    <row r="186" spans="1:5" ht="20.149999999999999" customHeight="1">
      <c r="A186" s="26">
        <v>52</v>
      </c>
      <c r="B186" s="10" t="s">
        <v>490</v>
      </c>
      <c r="C186" s="11" t="s">
        <v>478</v>
      </c>
      <c r="D186" s="14" t="s">
        <v>955</v>
      </c>
      <c r="E186" s="12"/>
    </row>
    <row r="187" spans="1:5" ht="20.149999999999999" customHeight="1">
      <c r="A187" s="26">
        <v>53</v>
      </c>
      <c r="B187" s="17" t="s">
        <v>491</v>
      </c>
      <c r="C187" s="11" t="s">
        <v>481</v>
      </c>
      <c r="D187" s="14" t="s">
        <v>972</v>
      </c>
      <c r="E187" s="12"/>
    </row>
    <row r="188" spans="1:5" ht="20.149999999999999" customHeight="1">
      <c r="A188" s="26">
        <v>54</v>
      </c>
      <c r="B188" s="17" t="s">
        <v>493</v>
      </c>
      <c r="C188" s="11" t="s">
        <v>481</v>
      </c>
      <c r="D188" s="14" t="s">
        <v>956</v>
      </c>
      <c r="E188" s="12"/>
    </row>
    <row r="189" spans="1:5" ht="20.149999999999999" customHeight="1">
      <c r="A189" s="26"/>
      <c r="B189" s="7" t="s">
        <v>34</v>
      </c>
      <c r="C189" s="27" t="s">
        <v>1124</v>
      </c>
      <c r="D189" s="28"/>
      <c r="E189" s="12"/>
    </row>
    <row r="190" spans="1:5" ht="32.25" customHeight="1">
      <c r="A190" s="3"/>
      <c r="B190" s="29" t="s">
        <v>80</v>
      </c>
      <c r="C190" s="30">
        <f>C35+C40+C55+C60+C76+C84+C97+C104+C114+C132+C189</f>
        <v>147</v>
      </c>
      <c r="D190" s="31"/>
      <c r="E190" s="12"/>
    </row>
    <row r="191" spans="1:5" ht="20.149999999999999" customHeight="1">
      <c r="A191" s="2"/>
      <c r="B191" s="32"/>
      <c r="C191" s="2"/>
      <c r="D191" s="33"/>
      <c r="E191" s="34"/>
    </row>
    <row r="192" spans="1:5" ht="65.25" customHeight="1">
      <c r="A192" s="2"/>
      <c r="B192" s="32"/>
      <c r="C192" s="33"/>
      <c r="D192" s="33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51</vt:i4>
      </vt:variant>
    </vt:vector>
  </HeadingPairs>
  <TitlesOfParts>
    <vt:vector size="122" baseType="lpstr">
      <vt:lpstr>NOV 2024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2024'!Print_Area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'NEW STAFF BONUS'!Print_Area</vt:lpstr>
      <vt:lpstr>'NOV 2024 NEW'!Print_Area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2024'!Print_Titles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'NEW STAFF BONUS'!Print_Titles</vt:lpstr>
      <vt:lpstr>'NOV 2024 NEW'!Print_Titles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USER</cp:lastModifiedBy>
  <cp:lastPrinted>2024-11-05T10:29:00Z</cp:lastPrinted>
  <dcterms:created xsi:type="dcterms:W3CDTF">2008-06-27T10:36:00Z</dcterms:created>
  <dcterms:modified xsi:type="dcterms:W3CDTF">2024-12-09T06:36:34Z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AD9AE2D4564A4571804FDF080C9111B3_12</vt:lpwstr>
  </property>
  <property fmtid="{D5CDD505-2E9C-101B-9397-08002B2CF9AE}" pid="3" name="KSOProductBuildVer">
    <vt:lpwstr>1033-12.2.0.19307</vt:lpwstr>
  </property>
</Properties>
</file>