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72" windowWidth="15192" windowHeight="7932" activeTab="8"/>
  </bookViews>
  <sheets>
    <sheet name="Apr, 14" sheetId="1" r:id="rId1"/>
    <sheet name="Sheet4" sheetId="22" r:id="rId2"/>
    <sheet name="MEMO" sheetId="3" r:id="rId3"/>
    <sheet name="17.9" sheetId="4" r:id="rId4"/>
    <sheet name="16.9" sheetId="5" r:id="rId5"/>
    <sheet name="15.9" sheetId="6" r:id="rId6"/>
    <sheet name="13.7" sheetId="7" r:id="rId7"/>
    <sheet name="12.7" sheetId="8" r:id="rId8"/>
    <sheet name="10.7" sheetId="9" r:id="rId9"/>
    <sheet name="9.7" sheetId="10" r:id="rId10"/>
    <sheet name="8.7" sheetId="11" r:id="rId11"/>
    <sheet name="sUMMARY" sheetId="12" r:id="rId12"/>
    <sheet name="14.7" sheetId="13" r:id="rId13"/>
    <sheet name="Sheet2" sheetId="14" r:id="rId14"/>
    <sheet name="5.7" sheetId="15" r:id="rId15"/>
    <sheet name="Noninal roll" sheetId="16" r:id="rId16"/>
    <sheet name="Welfare List Mgt Staff" sheetId="17" r:id="rId17"/>
    <sheet name="Welfare Support Staff" sheetId="18" r:id="rId18"/>
    <sheet name="Welfare Deployed Staff" sheetId="19" r:id="rId19"/>
    <sheet name="Sheet1" sheetId="20" r:id="rId20"/>
    <sheet name="Sheet3" sheetId="21" r:id="rId21"/>
  </sheets>
  <externalReferences>
    <externalReference r:id="rId22"/>
  </externalReferences>
  <definedNames>
    <definedName name="_xlnm.Print_Area" localSheetId="0">'Apr, 14'!$A$2:$X$145</definedName>
    <definedName name="_xlnm.Print_Area" localSheetId="2">MEMO!$A$1:$H$53</definedName>
  </definedNames>
  <calcPr calcId="152511"/>
  <fileRecoveryPr autoRecover="0"/>
</workbook>
</file>

<file path=xl/calcChain.xml><?xml version="1.0" encoding="utf-8"?>
<calcChain xmlns="http://schemas.openxmlformats.org/spreadsheetml/2006/main">
  <c r="X129" i="1" l="1"/>
  <c r="V129" i="1"/>
  <c r="U129" i="1"/>
  <c r="S129" i="1"/>
  <c r="G35" i="3"/>
  <c r="H47" i="3"/>
  <c r="T30" i="1"/>
  <c r="E24" i="22" l="1"/>
  <c r="N107" i="1" l="1"/>
  <c r="V108" i="1"/>
  <c r="P108" i="1"/>
  <c r="L108" i="1"/>
  <c r="K108" i="1"/>
  <c r="I108" i="1"/>
  <c r="H108" i="1"/>
  <c r="S122" i="1" l="1"/>
  <c r="X122" i="1" s="1"/>
  <c r="G66" i="1" l="1"/>
  <c r="M66" i="1"/>
  <c r="Q66" i="1"/>
  <c r="R66" i="1"/>
  <c r="U66" i="1"/>
  <c r="W66" i="1"/>
  <c r="T23" i="1"/>
  <c r="V93" i="1"/>
  <c r="H93" i="1"/>
  <c r="I93" i="1"/>
  <c r="K93" i="1"/>
  <c r="L93" i="1"/>
  <c r="N93" i="1"/>
  <c r="P93" i="1"/>
  <c r="S93" i="1" l="1"/>
  <c r="X93" i="1" s="1"/>
  <c r="P12" i="1"/>
  <c r="N12" i="1"/>
  <c r="L12" i="1"/>
  <c r="K12" i="1"/>
  <c r="I12" i="1"/>
  <c r="H12" i="1"/>
  <c r="F46" i="1"/>
  <c r="H46" i="1" s="1"/>
  <c r="O4" i="12"/>
  <c r="N4" i="12"/>
  <c r="L4" i="12"/>
  <c r="K4" i="12"/>
  <c r="I4" i="12"/>
  <c r="H4" i="12"/>
  <c r="I46" i="1" l="1"/>
  <c r="K46" i="1"/>
  <c r="F37" i="1"/>
  <c r="L46" i="1"/>
  <c r="R4" i="12"/>
  <c r="S130" i="1"/>
  <c r="X130" i="1" s="1"/>
  <c r="S133" i="1"/>
  <c r="X133" i="1" s="1"/>
  <c r="S135" i="1"/>
  <c r="X135" i="1" s="1"/>
  <c r="S136" i="1"/>
  <c r="X136" i="1" s="1"/>
  <c r="S128" i="1"/>
  <c r="S114" i="1"/>
  <c r="X114" i="1" s="1"/>
  <c r="S115" i="1"/>
  <c r="X115" i="1" s="1"/>
  <c r="S116" i="1"/>
  <c r="X116" i="1" s="1"/>
  <c r="S117" i="1"/>
  <c r="X117" i="1" s="1"/>
  <c r="S118" i="1"/>
  <c r="X118" i="1" s="1"/>
  <c r="S119" i="1"/>
  <c r="X119" i="1" s="1"/>
  <c r="S120" i="1"/>
  <c r="X120" i="1" s="1"/>
  <c r="S121" i="1"/>
  <c r="X121" i="1" s="1"/>
  <c r="S124" i="1"/>
  <c r="X124" i="1" s="1"/>
  <c r="G110" i="1"/>
  <c r="M110" i="1"/>
  <c r="O110" i="1"/>
  <c r="U110" i="1"/>
  <c r="W110" i="1"/>
  <c r="G42" i="1"/>
  <c r="M42" i="1"/>
  <c r="O42" i="1"/>
  <c r="Q42" i="1"/>
  <c r="R42" i="1"/>
  <c r="T42" i="1"/>
  <c r="U42" i="1"/>
  <c r="W42" i="1"/>
  <c r="G32" i="1"/>
  <c r="M32" i="1"/>
  <c r="O32" i="1"/>
  <c r="R32" i="1"/>
  <c r="T32" i="1"/>
  <c r="U32" i="1"/>
  <c r="W32" i="1"/>
  <c r="G29" i="20"/>
  <c r="G132" i="20"/>
  <c r="G37" i="20" l="1"/>
  <c r="G56" i="20"/>
  <c r="G102" i="20"/>
  <c r="G118" i="20"/>
  <c r="G133" i="20" l="1"/>
  <c r="T110" i="1" l="1"/>
  <c r="F138" i="1" l="1"/>
  <c r="S138" i="1" s="1"/>
  <c r="X138" i="1" s="1"/>
  <c r="V25" i="1"/>
  <c r="P25" i="1"/>
  <c r="N25" i="1"/>
  <c r="L25" i="1"/>
  <c r="K25" i="1"/>
  <c r="I25" i="1"/>
  <c r="H25" i="1"/>
  <c r="E12" i="19"/>
  <c r="G85" i="18"/>
  <c r="F23" i="17"/>
  <c r="H16" i="1"/>
  <c r="I16" i="1"/>
  <c r="K16" i="1"/>
  <c r="L16" i="1"/>
  <c r="N16" i="1"/>
  <c r="P16" i="1"/>
  <c r="V31" i="1"/>
  <c r="P31" i="1"/>
  <c r="N31" i="1"/>
  <c r="L31" i="1"/>
  <c r="K31" i="1"/>
  <c r="I31" i="1"/>
  <c r="H31" i="1"/>
  <c r="F18" i="3"/>
  <c r="V12" i="1"/>
  <c r="W125" i="1"/>
  <c r="F22" i="3" s="1"/>
  <c r="H140" i="1"/>
  <c r="I140" i="1"/>
  <c r="J140" i="1"/>
  <c r="K140" i="1"/>
  <c r="L140" i="1"/>
  <c r="M140" i="1"/>
  <c r="N140" i="1"/>
  <c r="O140" i="1"/>
  <c r="P140" i="1"/>
  <c r="Q140" i="1"/>
  <c r="R140" i="1"/>
  <c r="G125" i="1"/>
  <c r="I125" i="1"/>
  <c r="J125" i="1"/>
  <c r="M125" i="1"/>
  <c r="O125" i="1"/>
  <c r="P125" i="1"/>
  <c r="Q125" i="1"/>
  <c r="R125" i="1"/>
  <c r="F125" i="1"/>
  <c r="T140" i="1"/>
  <c r="W140" i="1"/>
  <c r="F23" i="3" s="1"/>
  <c r="V140" i="1"/>
  <c r="G140" i="1"/>
  <c r="F21" i="3"/>
  <c r="V109" i="1"/>
  <c r="P109" i="1"/>
  <c r="N109" i="1"/>
  <c r="L109" i="1"/>
  <c r="K109" i="1"/>
  <c r="I109" i="1"/>
  <c r="H109" i="1"/>
  <c r="V24" i="1"/>
  <c r="P24" i="1"/>
  <c r="N24" i="1"/>
  <c r="L24" i="1"/>
  <c r="K24" i="1"/>
  <c r="I24" i="1"/>
  <c r="H24" i="1"/>
  <c r="V23" i="1"/>
  <c r="P23" i="1"/>
  <c r="N23" i="1"/>
  <c r="L23" i="1"/>
  <c r="K23" i="1"/>
  <c r="I23" i="1"/>
  <c r="H23" i="1"/>
  <c r="V52" i="1"/>
  <c r="P52" i="1"/>
  <c r="N52" i="1"/>
  <c r="L52" i="1"/>
  <c r="K52" i="1"/>
  <c r="I52" i="1"/>
  <c r="H52" i="1"/>
  <c r="V46" i="1"/>
  <c r="V47" i="1"/>
  <c r="V49" i="1"/>
  <c r="V50" i="1"/>
  <c r="V51" i="1"/>
  <c r="V54" i="1"/>
  <c r="V55" i="1"/>
  <c r="V56" i="1"/>
  <c r="V53" i="1"/>
  <c r="V58" i="1"/>
  <c r="V59" i="1"/>
  <c r="V60" i="1"/>
  <c r="V61" i="1"/>
  <c r="V45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23" i="1"/>
  <c r="V107" i="1"/>
  <c r="V69" i="1"/>
  <c r="V37" i="1"/>
  <c r="V17" i="1"/>
  <c r="V38" i="1"/>
  <c r="V39" i="1"/>
  <c r="V40" i="1"/>
  <c r="V41" i="1"/>
  <c r="V36" i="1"/>
  <c r="V10" i="1"/>
  <c r="V11" i="1"/>
  <c r="V13" i="1"/>
  <c r="V14" i="1"/>
  <c r="V15" i="1"/>
  <c r="V16" i="1"/>
  <c r="V18" i="1"/>
  <c r="V19" i="1"/>
  <c r="V20" i="1"/>
  <c r="V21" i="1"/>
  <c r="V22" i="1"/>
  <c r="V26" i="1"/>
  <c r="V27" i="1"/>
  <c r="V28" i="1"/>
  <c r="V29" i="1"/>
  <c r="V30" i="1"/>
  <c r="V9" i="1"/>
  <c r="E24" i="3"/>
  <c r="P57" i="1"/>
  <c r="N57" i="1"/>
  <c r="L57" i="1"/>
  <c r="K57" i="1"/>
  <c r="I57" i="1"/>
  <c r="H57" i="1"/>
  <c r="T125" i="1"/>
  <c r="F139" i="1"/>
  <c r="S139" i="1" s="1"/>
  <c r="X139" i="1" s="1"/>
  <c r="F137" i="1"/>
  <c r="S137" i="1" s="1"/>
  <c r="X137" i="1" s="1"/>
  <c r="G24" i="3"/>
  <c r="F19" i="3"/>
  <c r="V43" i="1"/>
  <c r="V44" i="1"/>
  <c r="V33" i="1"/>
  <c r="V34" i="1"/>
  <c r="V35" i="1"/>
  <c r="P85" i="1"/>
  <c r="N85" i="1"/>
  <c r="L85" i="1"/>
  <c r="K85" i="1"/>
  <c r="I85" i="1"/>
  <c r="H85" i="1"/>
  <c r="P84" i="1"/>
  <c r="N84" i="1"/>
  <c r="L84" i="1"/>
  <c r="K84" i="1"/>
  <c r="I84" i="1"/>
  <c r="H84" i="1"/>
  <c r="E11" i="11"/>
  <c r="D11" i="11" s="1"/>
  <c r="N125" i="1"/>
  <c r="L125" i="1"/>
  <c r="K125" i="1"/>
  <c r="H125" i="1"/>
  <c r="P30" i="1"/>
  <c r="N30" i="1"/>
  <c r="L30" i="1"/>
  <c r="K30" i="1"/>
  <c r="I30" i="1"/>
  <c r="H30" i="1"/>
  <c r="P40" i="1"/>
  <c r="N40" i="1"/>
  <c r="L40" i="1"/>
  <c r="K40" i="1"/>
  <c r="I40" i="1"/>
  <c r="H40" i="1"/>
  <c r="P53" i="1"/>
  <c r="N53" i="1"/>
  <c r="L53" i="1"/>
  <c r="K53" i="1"/>
  <c r="I53" i="1"/>
  <c r="H53" i="1"/>
  <c r="P61" i="1"/>
  <c r="N61" i="1"/>
  <c r="L61" i="1"/>
  <c r="K61" i="1"/>
  <c r="I61" i="1"/>
  <c r="H61" i="1"/>
  <c r="P107" i="1"/>
  <c r="N108" i="1"/>
  <c r="S108" i="1" s="1"/>
  <c r="X108" i="1" s="1"/>
  <c r="L107" i="1"/>
  <c r="K107" i="1"/>
  <c r="I107" i="1"/>
  <c r="H107" i="1"/>
  <c r="P106" i="1"/>
  <c r="N106" i="1"/>
  <c r="L106" i="1"/>
  <c r="K106" i="1"/>
  <c r="I106" i="1"/>
  <c r="H106" i="1"/>
  <c r="P105" i="1"/>
  <c r="N105" i="1"/>
  <c r="L105" i="1"/>
  <c r="K105" i="1"/>
  <c r="I105" i="1"/>
  <c r="H105" i="1"/>
  <c r="P51" i="1"/>
  <c r="N51" i="1"/>
  <c r="L51" i="1"/>
  <c r="K51" i="1"/>
  <c r="I51" i="1"/>
  <c r="H51" i="1"/>
  <c r="P22" i="1"/>
  <c r="N22" i="1"/>
  <c r="L22" i="1"/>
  <c r="K22" i="1"/>
  <c r="I22" i="1"/>
  <c r="H22" i="1"/>
  <c r="P104" i="1"/>
  <c r="N104" i="1"/>
  <c r="L104" i="1"/>
  <c r="K104" i="1"/>
  <c r="I104" i="1"/>
  <c r="H104" i="1"/>
  <c r="D18" i="16"/>
  <c r="F6" i="16"/>
  <c r="F9" i="16"/>
  <c r="F10" i="16"/>
  <c r="F13" i="16"/>
  <c r="E17" i="16"/>
  <c r="F17" i="16" s="1"/>
  <c r="E16" i="16"/>
  <c r="F16" i="16" s="1"/>
  <c r="E15" i="16"/>
  <c r="F15" i="16" s="1"/>
  <c r="E14" i="16"/>
  <c r="F14" i="16" s="1"/>
  <c r="E12" i="16"/>
  <c r="F12" i="16" s="1"/>
  <c r="E11" i="16"/>
  <c r="F11" i="16" s="1"/>
  <c r="E8" i="16"/>
  <c r="F8" i="16" s="1"/>
  <c r="E7" i="16"/>
  <c r="F7" i="16" s="1"/>
  <c r="E5" i="16"/>
  <c r="F5" i="16" s="1"/>
  <c r="D10" i="4"/>
  <c r="J17" i="1"/>
  <c r="S113" i="1"/>
  <c r="X113" i="1" s="1"/>
  <c r="F134" i="1"/>
  <c r="S134" i="1" s="1"/>
  <c r="X134" i="1" s="1"/>
  <c r="P19" i="1"/>
  <c r="N19" i="1"/>
  <c r="L19" i="1"/>
  <c r="K19" i="1"/>
  <c r="I19" i="1"/>
  <c r="H19" i="1"/>
  <c r="P50" i="1"/>
  <c r="N50" i="1"/>
  <c r="L50" i="1"/>
  <c r="K50" i="1"/>
  <c r="I50" i="1"/>
  <c r="H50" i="1"/>
  <c r="F132" i="1"/>
  <c r="S132" i="1" s="1"/>
  <c r="X132" i="1" s="1"/>
  <c r="F131" i="1"/>
  <c r="S131" i="1" s="1"/>
  <c r="X131" i="1" s="1"/>
  <c r="P17" i="1"/>
  <c r="N17" i="1"/>
  <c r="L17" i="1"/>
  <c r="K17" i="1"/>
  <c r="I17" i="1"/>
  <c r="H17" i="1"/>
  <c r="H103" i="1"/>
  <c r="I103" i="1"/>
  <c r="K103" i="1"/>
  <c r="L103" i="1"/>
  <c r="N103" i="1"/>
  <c r="P103" i="1"/>
  <c r="P47" i="1"/>
  <c r="N47" i="1"/>
  <c r="L47" i="1"/>
  <c r="K47" i="1"/>
  <c r="I47" i="1"/>
  <c r="H47" i="1"/>
  <c r="P21" i="1"/>
  <c r="N21" i="1"/>
  <c r="L21" i="1"/>
  <c r="K21" i="1"/>
  <c r="I21" i="1"/>
  <c r="H21" i="1"/>
  <c r="P38" i="1"/>
  <c r="N38" i="1"/>
  <c r="L38" i="1"/>
  <c r="K38" i="1"/>
  <c r="J38" i="1"/>
  <c r="I38" i="1"/>
  <c r="H38" i="1"/>
  <c r="L20" i="1"/>
  <c r="H20" i="1"/>
  <c r="I20" i="1"/>
  <c r="K20" i="1"/>
  <c r="N20" i="1"/>
  <c r="P20" i="1"/>
  <c r="P14" i="1"/>
  <c r="N14" i="1"/>
  <c r="L14" i="1"/>
  <c r="K14" i="1"/>
  <c r="I14" i="1"/>
  <c r="H14" i="1"/>
  <c r="P59" i="1"/>
  <c r="N59" i="1"/>
  <c r="L59" i="1"/>
  <c r="K59" i="1"/>
  <c r="I59" i="1"/>
  <c r="H59" i="1"/>
  <c r="H39" i="1"/>
  <c r="I39" i="1"/>
  <c r="K39" i="1"/>
  <c r="L39" i="1"/>
  <c r="N39" i="1"/>
  <c r="P39" i="1"/>
  <c r="H60" i="1"/>
  <c r="I60" i="1"/>
  <c r="K60" i="1"/>
  <c r="L60" i="1"/>
  <c r="N60" i="1"/>
  <c r="P60" i="1"/>
  <c r="P41" i="1"/>
  <c r="N41" i="1"/>
  <c r="L41" i="1"/>
  <c r="K41" i="1"/>
  <c r="J41" i="1"/>
  <c r="I41" i="1"/>
  <c r="H41" i="1"/>
  <c r="P29" i="1"/>
  <c r="N29" i="1"/>
  <c r="L29" i="1"/>
  <c r="K29" i="1"/>
  <c r="I29" i="1"/>
  <c r="H29" i="1"/>
  <c r="P28" i="1"/>
  <c r="N28" i="1"/>
  <c r="L28" i="1"/>
  <c r="K28" i="1"/>
  <c r="I28" i="1"/>
  <c r="H28" i="1"/>
  <c r="P56" i="1"/>
  <c r="N56" i="1"/>
  <c r="L56" i="1"/>
  <c r="K56" i="1"/>
  <c r="I56" i="1"/>
  <c r="H56" i="1"/>
  <c r="P18" i="1"/>
  <c r="N18" i="1"/>
  <c r="L18" i="1"/>
  <c r="K18" i="1"/>
  <c r="I18" i="1"/>
  <c r="H18" i="1"/>
  <c r="E13" i="15"/>
  <c r="D13" i="15" s="1"/>
  <c r="E12" i="15"/>
  <c r="D12" i="15" s="1"/>
  <c r="E10" i="15"/>
  <c r="D10" i="15" s="1"/>
  <c r="E9" i="15"/>
  <c r="D9" i="15" s="1"/>
  <c r="E8" i="15"/>
  <c r="D8" i="15" s="1"/>
  <c r="E6" i="15"/>
  <c r="D6" i="15" s="1"/>
  <c r="E5" i="15"/>
  <c r="D5" i="15" s="1"/>
  <c r="E4" i="15"/>
  <c r="E14" i="15" s="1"/>
  <c r="D14" i="15" s="1"/>
  <c r="D11" i="15"/>
  <c r="E7" i="15"/>
  <c r="D7" i="15" s="1"/>
  <c r="P82" i="1"/>
  <c r="P80" i="1"/>
  <c r="N80" i="1"/>
  <c r="L80" i="1"/>
  <c r="K80" i="1"/>
  <c r="I80" i="1"/>
  <c r="H80" i="1"/>
  <c r="P26" i="1"/>
  <c r="N26" i="1"/>
  <c r="L26" i="1"/>
  <c r="K26" i="1"/>
  <c r="I26" i="1"/>
  <c r="H26" i="1"/>
  <c r="P49" i="1"/>
  <c r="N49" i="1"/>
  <c r="L49" i="1"/>
  <c r="K49" i="1"/>
  <c r="I49" i="1"/>
  <c r="H49" i="1"/>
  <c r="P55" i="1"/>
  <c r="N55" i="1"/>
  <c r="L55" i="1"/>
  <c r="K55" i="1"/>
  <c r="I55" i="1"/>
  <c r="H55" i="1"/>
  <c r="P83" i="1"/>
  <c r="N83" i="1"/>
  <c r="E9" i="11" s="1"/>
  <c r="D9" i="11" s="1"/>
  <c r="L83" i="1"/>
  <c r="K83" i="1"/>
  <c r="E7" i="11" s="1"/>
  <c r="D7" i="11" s="1"/>
  <c r="I83" i="1"/>
  <c r="H83" i="1"/>
  <c r="P73" i="1"/>
  <c r="N73" i="1"/>
  <c r="L73" i="1"/>
  <c r="K73" i="1"/>
  <c r="I73" i="1"/>
  <c r="H73" i="1"/>
  <c r="P15" i="1"/>
  <c r="N15" i="1"/>
  <c r="L15" i="1"/>
  <c r="K15" i="1"/>
  <c r="I15" i="1"/>
  <c r="H15" i="1"/>
  <c r="P87" i="1"/>
  <c r="N87" i="1"/>
  <c r="L87" i="1"/>
  <c r="K87" i="1"/>
  <c r="I87" i="1"/>
  <c r="E6" i="11" s="1"/>
  <c r="D6" i="11" s="1"/>
  <c r="H87" i="1"/>
  <c r="P79" i="1"/>
  <c r="N79" i="1"/>
  <c r="L79" i="1"/>
  <c r="K79" i="1"/>
  <c r="I79" i="1"/>
  <c r="H79" i="1"/>
  <c r="P86" i="1"/>
  <c r="N86" i="1"/>
  <c r="L86" i="1"/>
  <c r="K86" i="1"/>
  <c r="I86" i="1"/>
  <c r="H86" i="1"/>
  <c r="P78" i="1"/>
  <c r="N78" i="1"/>
  <c r="L78" i="1"/>
  <c r="K78" i="1"/>
  <c r="I78" i="1"/>
  <c r="H78" i="1"/>
  <c r="P81" i="1"/>
  <c r="P65" i="1"/>
  <c r="E10" i="11" s="1"/>
  <c r="D10" i="11" s="1"/>
  <c r="P62" i="1"/>
  <c r="N81" i="1"/>
  <c r="N65" i="1"/>
  <c r="N62" i="1"/>
  <c r="L81" i="1"/>
  <c r="L65" i="1"/>
  <c r="L62" i="1"/>
  <c r="K81" i="1"/>
  <c r="K65" i="1"/>
  <c r="K62" i="1"/>
  <c r="I81" i="1"/>
  <c r="I65" i="1"/>
  <c r="I62" i="1"/>
  <c r="H81" i="1"/>
  <c r="H65" i="1"/>
  <c r="H62" i="1"/>
  <c r="H82" i="1"/>
  <c r="H63" i="1"/>
  <c r="I63" i="1"/>
  <c r="K63" i="1"/>
  <c r="L63" i="1"/>
  <c r="N63" i="1"/>
  <c r="P63" i="1"/>
  <c r="P76" i="1"/>
  <c r="P77" i="1"/>
  <c r="N76" i="1"/>
  <c r="N77" i="1"/>
  <c r="L76" i="1"/>
  <c r="L77" i="1"/>
  <c r="K76" i="1"/>
  <c r="K77" i="1"/>
  <c r="I76" i="1"/>
  <c r="I77" i="1"/>
  <c r="H76" i="1"/>
  <c r="H77" i="1"/>
  <c r="P72" i="1"/>
  <c r="N72" i="1"/>
  <c r="L72" i="1"/>
  <c r="K72" i="1"/>
  <c r="I72" i="1"/>
  <c r="H72" i="1"/>
  <c r="P70" i="1"/>
  <c r="N70" i="1"/>
  <c r="L70" i="1"/>
  <c r="K70" i="1"/>
  <c r="I70" i="1"/>
  <c r="H70" i="1"/>
  <c r="O46" i="1"/>
  <c r="O66" i="1" s="1"/>
  <c r="D11" i="10"/>
  <c r="D11" i="9"/>
  <c r="D11" i="7"/>
  <c r="E11" i="13"/>
  <c r="D11" i="13" s="1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E6" i="13" s="1"/>
  <c r="D6" i="13" s="1"/>
  <c r="H5" i="12"/>
  <c r="E5" i="13" s="1"/>
  <c r="D5" i="13" s="1"/>
  <c r="E13" i="13"/>
  <c r="D13" i="13" s="1"/>
  <c r="E4" i="13"/>
  <c r="D4" i="13" s="1"/>
  <c r="E7" i="13"/>
  <c r="D7" i="13" s="1"/>
  <c r="D11" i="6"/>
  <c r="H3" i="12"/>
  <c r="I3" i="12"/>
  <c r="E6" i="4" s="1"/>
  <c r="D6" i="4" s="1"/>
  <c r="K3" i="12"/>
  <c r="E8" i="4" s="1"/>
  <c r="D8" i="4" s="1"/>
  <c r="L3" i="12"/>
  <c r="E9" i="4" s="1"/>
  <c r="D9" i="4" s="1"/>
  <c r="N3" i="12"/>
  <c r="E11" i="4" s="1"/>
  <c r="D11" i="4" s="1"/>
  <c r="O3" i="12"/>
  <c r="E12" i="4" s="1"/>
  <c r="D12" i="4" s="1"/>
  <c r="H6" i="12"/>
  <c r="I6" i="12"/>
  <c r="E6" i="7" s="1"/>
  <c r="D6" i="7" s="1"/>
  <c r="K6" i="12"/>
  <c r="L6" i="12"/>
  <c r="N6" i="12"/>
  <c r="E10" i="7" s="1"/>
  <c r="D10" i="7" s="1"/>
  <c r="O6" i="12"/>
  <c r="E12" i="7" s="1"/>
  <c r="D12" i="7" s="1"/>
  <c r="H7" i="12"/>
  <c r="I7" i="12"/>
  <c r="K7" i="12"/>
  <c r="E8" i="8" s="1"/>
  <c r="D8" i="8" s="1"/>
  <c r="L7" i="12"/>
  <c r="E9" i="8" s="1"/>
  <c r="D9" i="8" s="1"/>
  <c r="N7" i="12"/>
  <c r="E10" i="8" s="1"/>
  <c r="D10" i="8" s="1"/>
  <c r="O7" i="12"/>
  <c r="E11" i="8" s="1"/>
  <c r="D11" i="8" s="1"/>
  <c r="H8" i="12"/>
  <c r="E5" i="9" s="1"/>
  <c r="D5" i="9" s="1"/>
  <c r="I8" i="12"/>
  <c r="E6" i="9" s="1"/>
  <c r="D6" i="9" s="1"/>
  <c r="K8" i="12"/>
  <c r="E8" i="9" s="1"/>
  <c r="D8" i="9" s="1"/>
  <c r="L8" i="12"/>
  <c r="E9" i="9" s="1"/>
  <c r="D9" i="9" s="1"/>
  <c r="N8" i="12"/>
  <c r="E10" i="9" s="1"/>
  <c r="D10" i="9" s="1"/>
  <c r="O8" i="12"/>
  <c r="H9" i="12"/>
  <c r="I9" i="12"/>
  <c r="K9" i="12"/>
  <c r="E8" i="10" s="1"/>
  <c r="D8" i="10" s="1"/>
  <c r="L9" i="12"/>
  <c r="E9" i="10" s="1"/>
  <c r="D9" i="10" s="1"/>
  <c r="N9" i="12"/>
  <c r="E10" i="10" s="1"/>
  <c r="D10" i="10" s="1"/>
  <c r="O9" i="12"/>
  <c r="E12" i="10" s="1"/>
  <c r="D12" i="10" s="1"/>
  <c r="H10" i="12"/>
  <c r="I10" i="12"/>
  <c r="K10" i="12"/>
  <c r="L10" i="12"/>
  <c r="N10" i="12"/>
  <c r="O10" i="12"/>
  <c r="P75" i="1"/>
  <c r="N75" i="1"/>
  <c r="L75" i="1"/>
  <c r="K75" i="1"/>
  <c r="I75" i="1"/>
  <c r="H75" i="1"/>
  <c r="E6" i="10"/>
  <c r="D6" i="10" s="1"/>
  <c r="E5" i="10"/>
  <c r="D5" i="10" s="1"/>
  <c r="E4" i="10"/>
  <c r="E13" i="10"/>
  <c r="D13" i="10" s="1"/>
  <c r="E7" i="10"/>
  <c r="D7" i="10" s="1"/>
  <c r="E12" i="9"/>
  <c r="D12" i="9" s="1"/>
  <c r="E4" i="9"/>
  <c r="D4" i="9" s="1"/>
  <c r="E13" i="9"/>
  <c r="D13" i="9" s="1"/>
  <c r="E7" i="9"/>
  <c r="D7" i="9" s="1"/>
  <c r="E12" i="8"/>
  <c r="D12" i="8" s="1"/>
  <c r="E4" i="8"/>
  <c r="E6" i="8"/>
  <c r="D6" i="8" s="1"/>
  <c r="E7" i="8"/>
  <c r="D7" i="8" s="1"/>
  <c r="E13" i="7"/>
  <c r="D13" i="7" s="1"/>
  <c r="E7" i="7"/>
  <c r="D7" i="7" s="1"/>
  <c r="E4" i="7"/>
  <c r="D4" i="7" s="1"/>
  <c r="E5" i="7"/>
  <c r="E13" i="6"/>
  <c r="D13" i="6" s="1"/>
  <c r="E4" i="6"/>
  <c r="D4" i="6" s="1"/>
  <c r="E12" i="5"/>
  <c r="D12" i="5" s="1"/>
  <c r="E13" i="4"/>
  <c r="D13" i="4" s="1"/>
  <c r="E7" i="4"/>
  <c r="D7" i="4" s="1"/>
  <c r="E5" i="4"/>
  <c r="D5" i="4" s="1"/>
  <c r="E4" i="4"/>
  <c r="F69" i="1" s="1"/>
  <c r="F45" i="1" s="1"/>
  <c r="Q11" i="1"/>
  <c r="F10" i="1"/>
  <c r="P102" i="1"/>
  <c r="N102" i="1"/>
  <c r="L102" i="1"/>
  <c r="K102" i="1"/>
  <c r="I102" i="1"/>
  <c r="H102" i="1"/>
  <c r="P101" i="1"/>
  <c r="N101" i="1"/>
  <c r="L101" i="1"/>
  <c r="K101" i="1"/>
  <c r="I101" i="1"/>
  <c r="H101" i="1"/>
  <c r="E4" i="11"/>
  <c r="D4" i="11" s="1"/>
  <c r="P74" i="1"/>
  <c r="N74" i="1"/>
  <c r="L74" i="1"/>
  <c r="K74" i="1"/>
  <c r="I74" i="1"/>
  <c r="H74" i="1"/>
  <c r="P71" i="1"/>
  <c r="N71" i="1"/>
  <c r="L71" i="1"/>
  <c r="K71" i="1"/>
  <c r="I71" i="1"/>
  <c r="H71" i="1"/>
  <c r="P100" i="1"/>
  <c r="N100" i="1"/>
  <c r="L100" i="1"/>
  <c r="K100" i="1"/>
  <c r="I100" i="1"/>
  <c r="H100" i="1"/>
  <c r="E12" i="6"/>
  <c r="D12" i="6" s="1"/>
  <c r="E10" i="6"/>
  <c r="D10" i="6" s="1"/>
  <c r="E9" i="6"/>
  <c r="D9" i="6" s="1"/>
  <c r="E8" i="6"/>
  <c r="D8" i="6" s="1"/>
  <c r="E6" i="6"/>
  <c r="D6" i="6" s="1"/>
  <c r="R89" i="1"/>
  <c r="R110" i="1" s="1"/>
  <c r="Q89" i="1"/>
  <c r="Q110" i="1" s="1"/>
  <c r="P37" i="1"/>
  <c r="N37" i="1"/>
  <c r="L37" i="1"/>
  <c r="K37" i="1"/>
  <c r="I37" i="1"/>
  <c r="H37" i="1"/>
  <c r="P95" i="1"/>
  <c r="N95" i="1"/>
  <c r="L95" i="1"/>
  <c r="K95" i="1"/>
  <c r="I95" i="1"/>
  <c r="H95" i="1"/>
  <c r="P94" i="1"/>
  <c r="N94" i="1"/>
  <c r="L94" i="1"/>
  <c r="K94" i="1"/>
  <c r="I94" i="1"/>
  <c r="H94" i="1"/>
  <c r="P90" i="1"/>
  <c r="N90" i="1"/>
  <c r="L90" i="1"/>
  <c r="K90" i="1"/>
  <c r="I90" i="1"/>
  <c r="H90" i="1"/>
  <c r="P13" i="1"/>
  <c r="N13" i="1"/>
  <c r="L13" i="1"/>
  <c r="K13" i="1"/>
  <c r="J13" i="1"/>
  <c r="J37" i="1" s="1"/>
  <c r="I13" i="1"/>
  <c r="H13" i="1"/>
  <c r="P27" i="1"/>
  <c r="N27" i="1"/>
  <c r="L27" i="1"/>
  <c r="K27" i="1"/>
  <c r="I27" i="1"/>
  <c r="H27" i="1"/>
  <c r="P54" i="1"/>
  <c r="N54" i="1"/>
  <c r="L54" i="1"/>
  <c r="K54" i="1"/>
  <c r="I54" i="1"/>
  <c r="H54" i="1"/>
  <c r="S9" i="1"/>
  <c r="F4" i="1"/>
  <c r="I4" i="1"/>
  <c r="E9" i="7"/>
  <c r="D9" i="7" s="1"/>
  <c r="I82" i="1"/>
  <c r="K82" i="1"/>
  <c r="L82" i="1"/>
  <c r="E8" i="11" s="1"/>
  <c r="D8" i="11" s="1"/>
  <c r="N82" i="1"/>
  <c r="I96" i="1"/>
  <c r="N96" i="1"/>
  <c r="E7" i="6"/>
  <c r="D7" i="6" s="1"/>
  <c r="E5" i="6"/>
  <c r="D5" i="6" s="1"/>
  <c r="J72" i="1"/>
  <c r="J16" i="1" s="1"/>
  <c r="J15" i="1" s="1"/>
  <c r="J70" i="1"/>
  <c r="P96" i="1"/>
  <c r="D4" i="10"/>
  <c r="L96" i="1"/>
  <c r="K96" i="1"/>
  <c r="H96" i="1"/>
  <c r="H97" i="1"/>
  <c r="K97" i="1"/>
  <c r="L97" i="1"/>
  <c r="P97" i="1"/>
  <c r="I97" i="1"/>
  <c r="N97" i="1"/>
  <c r="I98" i="1"/>
  <c r="H98" i="1"/>
  <c r="N98" i="1"/>
  <c r="P98" i="1"/>
  <c r="K98" i="1"/>
  <c r="L98" i="1"/>
  <c r="H99" i="1"/>
  <c r="P99" i="1"/>
  <c r="K99" i="1"/>
  <c r="N99" i="1"/>
  <c r="L99" i="1"/>
  <c r="I99" i="1"/>
  <c r="F36" i="1" l="1"/>
  <c r="K36" i="1" s="1"/>
  <c r="K42" i="1" s="1"/>
  <c r="F66" i="1"/>
  <c r="J42" i="1"/>
  <c r="S100" i="1"/>
  <c r="X100" i="1" s="1"/>
  <c r="S50" i="1"/>
  <c r="X50" i="1" s="1"/>
  <c r="F18" i="16"/>
  <c r="R9" i="12"/>
  <c r="V32" i="1"/>
  <c r="S29" i="1"/>
  <c r="X29" i="1" s="1"/>
  <c r="M142" i="1"/>
  <c r="S104" i="1"/>
  <c r="X104" i="1" s="1"/>
  <c r="S96" i="1"/>
  <c r="X96" i="1" s="1"/>
  <c r="S83" i="1"/>
  <c r="X83" i="1" s="1"/>
  <c r="S85" i="1"/>
  <c r="X85" i="1" s="1"/>
  <c r="S54" i="1"/>
  <c r="X54" i="1" s="1"/>
  <c r="S56" i="1"/>
  <c r="X56" i="1" s="1"/>
  <c r="S24" i="1"/>
  <c r="X24" i="1" s="1"/>
  <c r="S13" i="1"/>
  <c r="X13" i="1" s="1"/>
  <c r="S17" i="1"/>
  <c r="X17" i="1" s="1"/>
  <c r="K45" i="1"/>
  <c r="F42" i="1"/>
  <c r="L45" i="1"/>
  <c r="H45" i="1"/>
  <c r="N45" i="1"/>
  <c r="I45" i="1"/>
  <c r="P45" i="1"/>
  <c r="I10" i="1"/>
  <c r="E6" i="5" s="1"/>
  <c r="D6" i="5" s="1"/>
  <c r="D4" i="4"/>
  <c r="R3" i="12"/>
  <c r="V110" i="1"/>
  <c r="S74" i="1"/>
  <c r="X74" i="1" s="1"/>
  <c r="S72" i="1"/>
  <c r="X72" i="1" s="1"/>
  <c r="E5" i="11"/>
  <c r="D5" i="11" s="1"/>
  <c r="S82" i="1"/>
  <c r="X82" i="1" s="1"/>
  <c r="S15" i="1"/>
  <c r="X15" i="1" s="1"/>
  <c r="S39" i="1"/>
  <c r="X39" i="1" s="1"/>
  <c r="S31" i="1"/>
  <c r="X31" i="1" s="1"/>
  <c r="S16" i="1"/>
  <c r="X16" i="1" s="1"/>
  <c r="S25" i="1"/>
  <c r="X25" i="1" s="1"/>
  <c r="S98" i="1"/>
  <c r="X98" i="1" s="1"/>
  <c r="S94" i="1"/>
  <c r="X94" i="1" s="1"/>
  <c r="S37" i="1"/>
  <c r="X37" i="1" s="1"/>
  <c r="S102" i="1"/>
  <c r="X102" i="1" s="1"/>
  <c r="S75" i="1"/>
  <c r="X75" i="1" s="1"/>
  <c r="S62" i="1"/>
  <c r="X62" i="1" s="1"/>
  <c r="S86" i="1"/>
  <c r="X86" i="1" s="1"/>
  <c r="S87" i="1"/>
  <c r="S49" i="1"/>
  <c r="X49" i="1" s="1"/>
  <c r="S80" i="1"/>
  <c r="X80" i="1" s="1"/>
  <c r="S59" i="1"/>
  <c r="X59" i="1" s="1"/>
  <c r="S20" i="1"/>
  <c r="S105" i="1"/>
  <c r="X105" i="1" s="1"/>
  <c r="S107" i="1"/>
  <c r="X107" i="1" s="1"/>
  <c r="S53" i="1"/>
  <c r="S30" i="1"/>
  <c r="X30" i="1" s="1"/>
  <c r="S57" i="1"/>
  <c r="V42" i="1"/>
  <c r="S23" i="1"/>
  <c r="X23" i="1" s="1"/>
  <c r="S22" i="1"/>
  <c r="X22" i="1" s="1"/>
  <c r="S84" i="1"/>
  <c r="X84" i="1" s="1"/>
  <c r="S52" i="1"/>
  <c r="X52" i="1" s="1"/>
  <c r="Q12" i="1"/>
  <c r="Q32" i="1" s="1"/>
  <c r="Q142" i="1" s="1"/>
  <c r="S27" i="1"/>
  <c r="X27" i="1" s="1"/>
  <c r="S71" i="1"/>
  <c r="X71" i="1" s="1"/>
  <c r="S70" i="1"/>
  <c r="X70" i="1" s="1"/>
  <c r="S77" i="1"/>
  <c r="X77" i="1" s="1"/>
  <c r="S65" i="1"/>
  <c r="X65" i="1" s="1"/>
  <c r="S18" i="1"/>
  <c r="X18" i="1" s="1"/>
  <c r="S28" i="1"/>
  <c r="X28" i="1" s="1"/>
  <c r="S41" i="1"/>
  <c r="X41" i="1" s="1"/>
  <c r="S60" i="1"/>
  <c r="X60" i="1" s="1"/>
  <c r="S21" i="1"/>
  <c r="X21" i="1" s="1"/>
  <c r="S19" i="1"/>
  <c r="X19" i="1" s="1"/>
  <c r="S99" i="1"/>
  <c r="X99" i="1" s="1"/>
  <c r="S97" i="1"/>
  <c r="X97" i="1" s="1"/>
  <c r="E14" i="10"/>
  <c r="D14" i="10" s="1"/>
  <c r="S90" i="1"/>
  <c r="X90" i="1" s="1"/>
  <c r="S95" i="1"/>
  <c r="X95" i="1" s="1"/>
  <c r="S101" i="1"/>
  <c r="X101" i="1" s="1"/>
  <c r="K10" i="1"/>
  <c r="R10" i="12"/>
  <c r="S5" i="12"/>
  <c r="U5" i="12" s="1"/>
  <c r="S76" i="1"/>
  <c r="X76" i="1" s="1"/>
  <c r="S63" i="1"/>
  <c r="X63" i="1" s="1"/>
  <c r="S81" i="1"/>
  <c r="X81" i="1" s="1"/>
  <c r="S78" i="1"/>
  <c r="X78" i="1" s="1"/>
  <c r="S79" i="1"/>
  <c r="X79" i="1" s="1"/>
  <c r="S55" i="1"/>
  <c r="X55" i="1" s="1"/>
  <c r="S26" i="1"/>
  <c r="X26" i="1" s="1"/>
  <c r="S14" i="1"/>
  <c r="X14" i="1" s="1"/>
  <c r="S38" i="1"/>
  <c r="X38" i="1" s="1"/>
  <c r="S103" i="1"/>
  <c r="X103" i="1" s="1"/>
  <c r="S51" i="1"/>
  <c r="X51" i="1" s="1"/>
  <c r="S106" i="1"/>
  <c r="X106" i="1" s="1"/>
  <c r="S61" i="1"/>
  <c r="X61" i="1" s="1"/>
  <c r="S40" i="1"/>
  <c r="X40" i="1" s="1"/>
  <c r="S123" i="1"/>
  <c r="X123" i="1" s="1"/>
  <c r="X125" i="1" s="1"/>
  <c r="H22" i="3" s="1"/>
  <c r="S109" i="1"/>
  <c r="X109" i="1" s="1"/>
  <c r="I48" i="1"/>
  <c r="X9" i="1"/>
  <c r="I91" i="1"/>
  <c r="P91" i="1"/>
  <c r="I92" i="1"/>
  <c r="K91" i="1"/>
  <c r="H91" i="1"/>
  <c r="L91" i="1"/>
  <c r="E14" i="6"/>
  <c r="D14" i="6" s="1"/>
  <c r="R142" i="1"/>
  <c r="U140" i="1"/>
  <c r="U142" i="1" s="1"/>
  <c r="P10" i="1"/>
  <c r="L10" i="1"/>
  <c r="F11" i="1"/>
  <c r="E4" i="5"/>
  <c r="D4" i="5" s="1"/>
  <c r="D4" i="15"/>
  <c r="F140" i="1"/>
  <c r="G142" i="1"/>
  <c r="N10" i="1"/>
  <c r="O142" i="1"/>
  <c r="W142" i="1"/>
  <c r="F20" i="3"/>
  <c r="F24" i="3" s="1"/>
  <c r="H29" i="3" s="1"/>
  <c r="N64" i="1"/>
  <c r="L64" i="1"/>
  <c r="K64" i="1"/>
  <c r="H64" i="1"/>
  <c r="E14" i="9"/>
  <c r="D14" i="9" s="1"/>
  <c r="I64" i="1"/>
  <c r="R7" i="12"/>
  <c r="E5" i="8"/>
  <c r="D5" i="8" s="1"/>
  <c r="E8" i="7"/>
  <c r="D8" i="7" s="1"/>
  <c r="R6" i="12"/>
  <c r="J10" i="1"/>
  <c r="J32" i="1" s="1"/>
  <c r="P46" i="1"/>
  <c r="N46" i="1"/>
  <c r="J46" i="1"/>
  <c r="P64" i="1"/>
  <c r="D5" i="7"/>
  <c r="D4" i="8"/>
  <c r="R8" i="12"/>
  <c r="N91" i="1"/>
  <c r="H10" i="1"/>
  <c r="V57" i="1"/>
  <c r="E14" i="13"/>
  <c r="D14" i="13" s="1"/>
  <c r="I58" i="1"/>
  <c r="L58" i="1"/>
  <c r="K58" i="1"/>
  <c r="H58" i="1"/>
  <c r="P58" i="1"/>
  <c r="N58" i="1"/>
  <c r="E14" i="4"/>
  <c r="D14" i="4" s="1"/>
  <c r="P89" i="1"/>
  <c r="N89" i="1"/>
  <c r="L89" i="1"/>
  <c r="K89" i="1"/>
  <c r="H89" i="1"/>
  <c r="I89" i="1"/>
  <c r="S140" i="1"/>
  <c r="J73" i="1"/>
  <c r="J110" i="1" s="1"/>
  <c r="L92" i="1"/>
  <c r="K48" i="1"/>
  <c r="L48" i="1"/>
  <c r="N48" i="1"/>
  <c r="L69" i="1"/>
  <c r="H69" i="1"/>
  <c r="K69" i="1"/>
  <c r="P69" i="1"/>
  <c r="I69" i="1"/>
  <c r="N69" i="1"/>
  <c r="H48" i="1"/>
  <c r="P48" i="1"/>
  <c r="P36" i="1" l="1"/>
  <c r="P42" i="1" s="1"/>
  <c r="I36" i="1"/>
  <c r="I42" i="1" s="1"/>
  <c r="N36" i="1"/>
  <c r="N42" i="1" s="1"/>
  <c r="H36" i="1"/>
  <c r="H42" i="1" s="1"/>
  <c r="L36" i="1"/>
  <c r="L42" i="1" s="1"/>
  <c r="E7" i="5"/>
  <c r="D7" i="5" s="1"/>
  <c r="H66" i="1"/>
  <c r="P66" i="1"/>
  <c r="I66" i="1"/>
  <c r="N66" i="1"/>
  <c r="L66" i="1"/>
  <c r="K66" i="1"/>
  <c r="S125" i="1"/>
  <c r="E12" i="11"/>
  <c r="D12" i="11" s="1"/>
  <c r="L11" i="1"/>
  <c r="L32" i="1" s="1"/>
  <c r="K11" i="1"/>
  <c r="K32" i="1" s="1"/>
  <c r="P11" i="1"/>
  <c r="P32" i="1" s="1"/>
  <c r="N11" i="1"/>
  <c r="N32" i="1" s="1"/>
  <c r="X57" i="1"/>
  <c r="S64" i="1"/>
  <c r="X64" i="1" s="1"/>
  <c r="S58" i="1"/>
  <c r="X58" i="1" s="1"/>
  <c r="S45" i="1"/>
  <c r="E13" i="8"/>
  <c r="D13" i="8" s="1"/>
  <c r="I11" i="1"/>
  <c r="S46" i="1"/>
  <c r="X46" i="1" s="1"/>
  <c r="E9" i="5"/>
  <c r="D9" i="5" s="1"/>
  <c r="E14" i="7"/>
  <c r="D14" i="7" s="1"/>
  <c r="S91" i="1"/>
  <c r="X91" i="1" s="1"/>
  <c r="S73" i="1"/>
  <c r="X73" i="1" s="1"/>
  <c r="E10" i="5"/>
  <c r="D10" i="5" s="1"/>
  <c r="E11" i="5"/>
  <c r="D11" i="5" s="1"/>
  <c r="S89" i="1"/>
  <c r="X89" i="1" s="1"/>
  <c r="E8" i="5"/>
  <c r="D8" i="5" s="1"/>
  <c r="S10" i="1"/>
  <c r="X10" i="1" s="1"/>
  <c r="S48" i="1"/>
  <c r="F110" i="1"/>
  <c r="H92" i="1"/>
  <c r="N92" i="1"/>
  <c r="K92" i="1"/>
  <c r="P92" i="1"/>
  <c r="X140" i="1"/>
  <c r="H23" i="3" s="1"/>
  <c r="J47" i="1"/>
  <c r="S47" i="1" s="1"/>
  <c r="X47" i="1" s="1"/>
  <c r="H11" i="1"/>
  <c r="E5" i="5"/>
  <c r="D5" i="5" s="1"/>
  <c r="L88" i="1"/>
  <c r="L110" i="1" s="1"/>
  <c r="I88" i="1"/>
  <c r="N88" i="1"/>
  <c r="P88" i="1"/>
  <c r="K88" i="1"/>
  <c r="H88" i="1"/>
  <c r="S69" i="1"/>
  <c r="S36" i="1" l="1"/>
  <c r="S42" i="1" s="1"/>
  <c r="J66" i="1"/>
  <c r="J142" i="1" s="1"/>
  <c r="X45" i="1"/>
  <c r="S66" i="1"/>
  <c r="K110" i="1"/>
  <c r="K142" i="1" s="1"/>
  <c r="N110" i="1"/>
  <c r="N142" i="1" s="1"/>
  <c r="S88" i="1"/>
  <c r="X88" i="1" s="1"/>
  <c r="I32" i="1"/>
  <c r="S11" i="1"/>
  <c r="X11" i="1" s="1"/>
  <c r="F32" i="1"/>
  <c r="F142" i="1" s="1"/>
  <c r="L142" i="1"/>
  <c r="S92" i="1"/>
  <c r="X92" i="1" s="1"/>
  <c r="H110" i="1"/>
  <c r="I110" i="1"/>
  <c r="P110" i="1"/>
  <c r="P142" i="1" s="1"/>
  <c r="X69" i="1"/>
  <c r="E13" i="5"/>
  <c r="D13" i="5" s="1"/>
  <c r="H32" i="1"/>
  <c r="X36" i="1" l="1"/>
  <c r="X42" i="1" s="1"/>
  <c r="H19" i="3" s="1"/>
  <c r="I142" i="1"/>
  <c r="H142" i="1"/>
  <c r="X110" i="1"/>
  <c r="H21" i="3" s="1"/>
  <c r="S110" i="1"/>
  <c r="S12" i="1"/>
  <c r="X12" i="1" l="1"/>
  <c r="X32" i="1" s="1"/>
  <c r="S32" i="1"/>
  <c r="S142" i="1" s="1"/>
  <c r="H18" i="3" l="1"/>
  <c r="T66" i="1"/>
  <c r="T142" i="1" s="1"/>
  <c r="V48" i="1"/>
  <c r="V66" i="1" s="1"/>
  <c r="V142" i="1" s="1"/>
  <c r="X48" i="1"/>
  <c r="X66" i="1" s="1"/>
  <c r="X142" i="1" l="1"/>
  <c r="H20" i="3"/>
  <c r="H24" i="3" s="1"/>
  <c r="H28" i="3" s="1"/>
  <c r="H30" i="3" s="1"/>
  <c r="I47" i="3" s="1"/>
</calcChain>
</file>

<file path=xl/sharedStrings.xml><?xml version="1.0" encoding="utf-8"?>
<sst xmlns="http://schemas.openxmlformats.org/spreadsheetml/2006/main" count="1519" uniqueCount="404">
  <si>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</si>
  <si>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</si>
  <si>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</si>
  <si>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</si>
  <si>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</si>
  <si>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</si>
  <si>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</si>
  <si>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</si>
  <si>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</si>
  <si>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</si>
  <si>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</si>
  <si>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PATTERSON EKEOCHA</t>
  </si>
  <si>
    <t>DR SHUIBU DANWANKA</t>
  </si>
  <si>
    <t>DESIGNATION</t>
  </si>
  <si>
    <t>DRIVER</t>
  </si>
  <si>
    <t>RECEPTIONIST</t>
  </si>
  <si>
    <t>JAFARU MUSA</t>
  </si>
  <si>
    <t>TASIU MOHAMMED</t>
  </si>
  <si>
    <t>USMAN YAHAYA</t>
  </si>
  <si>
    <t>ESTHER WAMINAJE</t>
  </si>
  <si>
    <t>TOTAL</t>
  </si>
  <si>
    <t>DG</t>
  </si>
  <si>
    <t>DG OFFICE</t>
  </si>
  <si>
    <t>RICHARD KWALMI</t>
  </si>
  <si>
    <t>ABDULSALAM MUSTAFA</t>
  </si>
  <si>
    <t>ICT OFFICER</t>
  </si>
  <si>
    <t>ALI ABDULLAHI</t>
  </si>
  <si>
    <t>1CT ASSISTANT</t>
  </si>
  <si>
    <t>DD</t>
  </si>
  <si>
    <t>DSM</t>
  </si>
  <si>
    <t>SECRETARY</t>
  </si>
  <si>
    <t>DR ASIMIYU G. ABIOLA</t>
  </si>
  <si>
    <t>SRF</t>
  </si>
  <si>
    <t>SOLOMON A. BENJAMIN</t>
  </si>
  <si>
    <t>IBRAHIM M. MSHELIA</t>
  </si>
  <si>
    <t>DD F&amp;A</t>
  </si>
  <si>
    <t>AMINU BELLO DUKKU</t>
  </si>
  <si>
    <t>RAHILA AMOS</t>
  </si>
  <si>
    <t>OFFICER ACCTS</t>
  </si>
  <si>
    <t>SEC. FINANCE</t>
  </si>
  <si>
    <t>OLATUNJI OYEDELE YUSUF</t>
  </si>
  <si>
    <t>NAMADI IDRIS UMAR</t>
  </si>
  <si>
    <t>DANJUMA KAGADAMA</t>
  </si>
  <si>
    <t>MOHAMMED SIAKA</t>
  </si>
  <si>
    <t>ALFRED ISABU</t>
  </si>
  <si>
    <t>ANTHONY EDET</t>
  </si>
  <si>
    <t>DR LADI HAMALAI</t>
  </si>
  <si>
    <t>10(10)</t>
  </si>
  <si>
    <t>4(10)</t>
  </si>
  <si>
    <t>16(7)</t>
  </si>
  <si>
    <t>15(7)</t>
  </si>
  <si>
    <t>DD ADMIN/HR</t>
  </si>
  <si>
    <t>PERSONAL</t>
  </si>
  <si>
    <t>DOMESTIC</t>
  </si>
  <si>
    <t>ALLCE</t>
  </si>
  <si>
    <t>CONSOL</t>
  </si>
  <si>
    <t>8(2)</t>
  </si>
  <si>
    <t>LEVEL</t>
  </si>
  <si>
    <t>SALARY</t>
  </si>
  <si>
    <t xml:space="preserve">SALARY </t>
  </si>
  <si>
    <t>PAYE</t>
  </si>
  <si>
    <t>NET SALARY</t>
  </si>
  <si>
    <t>IDAHOSA JANE CECILIA</t>
  </si>
  <si>
    <t>ALIYU YAKUBU</t>
  </si>
  <si>
    <t>ABDULLAHI HARUNA</t>
  </si>
  <si>
    <t>3(8)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</si>
  <si>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</si>
  <si>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</si>
  <si>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</si>
  <si>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</si>
  <si>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</si>
  <si>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</si>
  <si>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</si>
  <si>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</si>
  <si>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</si>
  <si>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NYSC</t>
  </si>
  <si>
    <t>NATIONAL INSTITUTE FOR LEGISLATIVE STUDIES</t>
  </si>
  <si>
    <t>Director General's Office</t>
  </si>
  <si>
    <t>8/(9)</t>
  </si>
  <si>
    <t>8(9)</t>
  </si>
  <si>
    <t>10(11)</t>
  </si>
  <si>
    <t>PROF. OFFORNZE AMUCHEAZI</t>
  </si>
  <si>
    <t>LEGAL ADVISER</t>
  </si>
  <si>
    <t>Mshelia Madu Ibrahim</t>
  </si>
  <si>
    <t>SPECIAL ASSISTANT</t>
  </si>
  <si>
    <t>ABDULWAHAB DAHIRU</t>
  </si>
  <si>
    <t>JOHN JAMBU ASIGAN</t>
  </si>
  <si>
    <t>AYUBA SULE</t>
  </si>
  <si>
    <t>EWELIKWA IJEOMA NKOLIKWA</t>
  </si>
  <si>
    <t>DISPATCH CLERK</t>
  </si>
  <si>
    <t>STEWARD</t>
  </si>
  <si>
    <t>SIGNATURE</t>
  </si>
  <si>
    <t>DATE</t>
  </si>
  <si>
    <t>MOHAMMED ISIAKA YAKUBU</t>
  </si>
  <si>
    <t>LEG. SUPPORT SEVICES</t>
  </si>
  <si>
    <t>RESEARCH &amp; TRAINING</t>
  </si>
  <si>
    <t>DD RESEARCH</t>
  </si>
  <si>
    <t>DD TRAINING</t>
  </si>
  <si>
    <t>GIDEON B. LAMIDO</t>
  </si>
  <si>
    <t>Leg. Support Services</t>
  </si>
  <si>
    <t>Research &amp; Training</t>
  </si>
  <si>
    <t>IN LIEU</t>
  </si>
  <si>
    <t>28 DAYS ALCE</t>
  </si>
  <si>
    <t>FEB. 2012</t>
  </si>
  <si>
    <t>MAR.2012</t>
  </si>
  <si>
    <t>Finance/ Admin &amp; HR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</si>
  <si>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</si>
  <si>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</si>
  <si>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</si>
  <si>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</si>
  <si>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</si>
  <si>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</si>
  <si>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</si>
  <si>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</si>
  <si>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</si>
  <si>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</si>
  <si>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</si>
  <si>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</si>
  <si>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</si>
  <si>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</si>
  <si>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SALARY DETAILS OF NILS DEPUTY DIRECTORS</t>
  </si>
  <si>
    <t>GRADE LEVEL 16 STEP 7</t>
  </si>
  <si>
    <t>SALARY DETAILS OF NILS SENIOR RESEARCH FELLOWS</t>
  </si>
  <si>
    <t>GRADE LEVEL 15 STEP 9</t>
  </si>
  <si>
    <t>DIRECTOR</t>
  </si>
  <si>
    <t>RESEARCH FELLOW I</t>
  </si>
  <si>
    <t>13/7</t>
  </si>
  <si>
    <t>GRADE LEVEL 13 STEP 7</t>
  </si>
  <si>
    <t>RESEARCH FELLOW II</t>
  </si>
  <si>
    <t>12/7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</si>
  <si>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</si>
  <si>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</si>
  <si>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</si>
  <si>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</si>
  <si>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</si>
  <si>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</si>
  <si>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</si>
  <si>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</si>
  <si>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HUSSEIN MUSA AGYE</t>
  </si>
  <si>
    <t>PROTOCOL OFFICER</t>
  </si>
  <si>
    <t>10(&amp;)</t>
  </si>
  <si>
    <t>Deputy Director, Finance &amp; Accounts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</si>
  <si>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</si>
  <si>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</si>
  <si>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</si>
  <si>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</si>
  <si>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</si>
  <si>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</si>
  <si>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SALARY DETAILS OF NILS  RESEARCH FELLOW I</t>
  </si>
  <si>
    <t>GRADE LEVEL 14 STEP 7</t>
  </si>
  <si>
    <t>DR KABIR AHMED</t>
  </si>
  <si>
    <t>DFA</t>
  </si>
  <si>
    <t>17(7)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</si>
  <si>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</si>
  <si>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FINANCE &amp; ADMIN.</t>
  </si>
  <si>
    <t>LIST OF STAFF THAT HAVE ASSUMED DUTY</t>
  </si>
  <si>
    <t>KABIR MUHAMMAD SULAIMAN</t>
  </si>
  <si>
    <t>MANAGER ADMIN&amp;HR</t>
  </si>
  <si>
    <t>ABDULLAHI YUNUSA</t>
  </si>
  <si>
    <t>PATIENCE AMUDA BOSAH</t>
  </si>
  <si>
    <t>IBE EZECHI CYRIACUS</t>
  </si>
  <si>
    <t>MUHAMMED AGEDE YAHAYA</t>
  </si>
  <si>
    <t>EROMOSELE OMONIGBO</t>
  </si>
  <si>
    <t>OGUNYOMI ROTIMI</t>
  </si>
  <si>
    <t>CYNTHIA CHINENYE OKENMUO</t>
  </si>
  <si>
    <t>PERSONNEL OFFICER</t>
  </si>
  <si>
    <t>10(7)</t>
  </si>
  <si>
    <t>PERSONNEL ASSISTANT</t>
  </si>
  <si>
    <t>8(7)</t>
  </si>
  <si>
    <t>MARUF ABDULSALAM</t>
  </si>
  <si>
    <t>ASSET&amp; MAINT. OFFICER</t>
  </si>
  <si>
    <t>SIMON YAKUBU WAKAWA</t>
  </si>
  <si>
    <t>ASSET&amp; MAINT. ASST.</t>
  </si>
  <si>
    <t>MANAGER PROCUREMENT</t>
  </si>
  <si>
    <t>SALIHU LIMAN MAIRAFI</t>
  </si>
  <si>
    <t>PROCUREMENT OFFICER</t>
  </si>
  <si>
    <t>MARGARET LEONIE DUREKE</t>
  </si>
  <si>
    <t>PROCUREMENT ASSIST</t>
  </si>
  <si>
    <t>NWOSU MATHEW EZE</t>
  </si>
  <si>
    <t>MANAGER INT. AUDIT</t>
  </si>
  <si>
    <t>MAGAJI BALA</t>
  </si>
  <si>
    <t>MANGER ACCOUNTS</t>
  </si>
  <si>
    <t>SHEHU ABDULLAHI</t>
  </si>
  <si>
    <t>ACCOUNT ASSISTANT</t>
  </si>
  <si>
    <t>MICT</t>
  </si>
  <si>
    <t>13(7)</t>
  </si>
  <si>
    <t>ALIYU SANNI ABUBAKAR</t>
  </si>
  <si>
    <t>DATA &amp; DOCU. OFFICER</t>
  </si>
  <si>
    <t>CATHERINE E. IKOKOH</t>
  </si>
  <si>
    <t>BASHIRU ABBA WALI</t>
  </si>
  <si>
    <t>ASSIT. INT. AUDIT</t>
  </si>
  <si>
    <t>ANDRAWUS MUSA</t>
  </si>
  <si>
    <t>STORE OFFICER</t>
  </si>
  <si>
    <t>SALARY DETAILS OF NILS  ASSISTANT MANAGER</t>
  </si>
  <si>
    <t>SALARY DETAILS OF NILS SENIOR MOTOR DRIVER-MECHANIC</t>
  </si>
  <si>
    <t>GRADE LEVEL 5 STEP 7</t>
  </si>
  <si>
    <t>AKINSANMI ADEJOKE OLUKEMI</t>
  </si>
  <si>
    <t>AM INFORMATION</t>
  </si>
  <si>
    <t>JUMARE FADILA</t>
  </si>
  <si>
    <t>UZODINMA EMMANUEL EZENWA</t>
  </si>
  <si>
    <t>INFORMATION ASST</t>
  </si>
  <si>
    <t>EHIGIAMUSOE UYI KIZITO</t>
  </si>
  <si>
    <t>RESEARCH ASSISTANT</t>
  </si>
  <si>
    <t>9(7)</t>
  </si>
  <si>
    <t>IBRAHIM TASSNEEM</t>
  </si>
  <si>
    <t>DR ANUMUDU CHARLES NNAMDI</t>
  </si>
  <si>
    <t>DR MADU MAGNUS EMEKA</t>
  </si>
  <si>
    <t>ONYEAKU CHUKWUKA EDMOND</t>
  </si>
  <si>
    <t>OGBONNAYA UFIEM MAURICE</t>
  </si>
  <si>
    <t>OFORDEME ADAOBI JULIA</t>
  </si>
  <si>
    <t>UDEFUNA NNADOZIE PATRICK</t>
  </si>
  <si>
    <t>ADAMU ISA ABBA</t>
  </si>
  <si>
    <t>INFO. MANAGER</t>
  </si>
  <si>
    <t>UMOLU ADAEZE OBIAMAKA</t>
  </si>
  <si>
    <t>INFO OFFICER</t>
  </si>
  <si>
    <t>IBRAHIM USMAN</t>
  </si>
  <si>
    <t>TONDO IORWUESEEDWARD</t>
  </si>
  <si>
    <t>OFFICER INT AUDIT</t>
  </si>
  <si>
    <t>DR KANAYO OGUJIUBA</t>
  </si>
  <si>
    <t>SUNDAY IGHOFOMA</t>
  </si>
  <si>
    <t>4(7)</t>
  </si>
  <si>
    <t>-</t>
  </si>
  <si>
    <t>DAHIRU M. ABDULLAHI</t>
  </si>
  <si>
    <t>MOSHOOD M. OLARELE</t>
  </si>
  <si>
    <t>DR ANAH O. PAMELA</t>
  </si>
  <si>
    <t>ADMIN OFFICER</t>
  </si>
  <si>
    <t>DIRECTOR GENERAL</t>
  </si>
  <si>
    <t>DD LEG. SP SERVICES</t>
  </si>
  <si>
    <t>SRF SOCIAL SECTOR</t>
  </si>
  <si>
    <t>SRF I SOCIAL SECTOR</t>
  </si>
  <si>
    <t>RESEARCH FELLOW1 DOCU</t>
  </si>
  <si>
    <t>DIR. FINANCE &amp; ADMIN</t>
  </si>
  <si>
    <t>PRISCILLA CHUKWU</t>
  </si>
  <si>
    <t>CHIEDO AKALEU</t>
  </si>
  <si>
    <t>FAROUK U. M ILLO</t>
  </si>
  <si>
    <t>PA DG</t>
  </si>
  <si>
    <t>AMINU F. HAMAJODA</t>
  </si>
  <si>
    <t>4</t>
  </si>
  <si>
    <t>NO OF</t>
  </si>
  <si>
    <t>STAFF</t>
  </si>
  <si>
    <t>AMOUNT</t>
  </si>
  <si>
    <t>DEDUCTIONS</t>
  </si>
  <si>
    <t>PROF OKECHUKWU OKO</t>
  </si>
  <si>
    <t>DIR. LEG. SP SERVICES</t>
  </si>
  <si>
    <t>NOMINAL ROLL AND 2012 PERSONEL COST ESTIMATION</t>
  </si>
  <si>
    <t>SALARY LEVEL</t>
  </si>
  <si>
    <t>ANNUAL SALARY</t>
  </si>
  <si>
    <t>CONS.</t>
  </si>
  <si>
    <t>S/NO</t>
  </si>
  <si>
    <t xml:space="preserve"> </t>
  </si>
  <si>
    <t>NUMBER</t>
  </si>
  <si>
    <t>1</t>
  </si>
  <si>
    <t>DIRECTORS</t>
  </si>
  <si>
    <t>DEUTY DIRECTORS</t>
  </si>
  <si>
    <t>2</t>
  </si>
  <si>
    <t>MANAGERS</t>
  </si>
  <si>
    <t>SENIOR RESEARCH FELLOWS</t>
  </si>
  <si>
    <t>ASSISTANT MANAGERS</t>
  </si>
  <si>
    <t>OFFICERS</t>
  </si>
  <si>
    <t>OFFICE ASSISTANTS</t>
  </si>
  <si>
    <t>20</t>
  </si>
  <si>
    <t>SECRETARIES</t>
  </si>
  <si>
    <t>DRIVERS</t>
  </si>
  <si>
    <t>EJEME PATRICK</t>
  </si>
  <si>
    <t>MOHAMMED R. ADAMU</t>
  </si>
  <si>
    <t>LEGAL OFFICER</t>
  </si>
  <si>
    <t>BEDARI HARI</t>
  </si>
  <si>
    <t>FROM : DDF</t>
  </si>
  <si>
    <t>THROUGH: DFA</t>
  </si>
  <si>
    <t>TO: DG</t>
  </si>
  <si>
    <t>SALARY DETAILS OF NILS DIRECTOR RESEARCH AND TRAINING</t>
  </si>
  <si>
    <t>AMINCI THOMAS</t>
  </si>
  <si>
    <t>MANAGER LIB. &amp; DOCUM.</t>
  </si>
  <si>
    <t>MANAGER INFORMATION</t>
  </si>
  <si>
    <t>DR BADAYI M. SANI</t>
  </si>
  <si>
    <t>DIR. RES. &amp; TRAINING</t>
  </si>
  <si>
    <t>DR UMAR AMINU</t>
  </si>
  <si>
    <t>OGABO OGAH USMAN</t>
  </si>
  <si>
    <t>ETSU UMARU</t>
  </si>
  <si>
    <t xml:space="preserve">MURTALA LAWAL </t>
  </si>
  <si>
    <t>CHARLES I. OBUTTE</t>
  </si>
  <si>
    <t>CASUAL STAFF</t>
  </si>
  <si>
    <t>HARRISON O. OKAFOR</t>
  </si>
  <si>
    <t>IKPEAZU CHINEDU ANITA</t>
  </si>
  <si>
    <t>GLORIA NDIDI HELG</t>
  </si>
  <si>
    <t>CONFIDENTIAL SECRETARY</t>
  </si>
  <si>
    <t>BAKARI HUSSEINI</t>
  </si>
  <si>
    <t>SALARY OF SECRTARY ON SCALE 8 STEP 7</t>
  </si>
  <si>
    <t>JIBRIN USHAMA AHMED</t>
  </si>
  <si>
    <t>OFFICER LEGAL</t>
  </si>
  <si>
    <t>IBRAHIM A. BABANGISHIRI</t>
  </si>
  <si>
    <t>OFFICER INFORMATION</t>
  </si>
  <si>
    <t>YUSUFF ABISOLA GANIYAT</t>
  </si>
  <si>
    <t>RAHILA SALIHU</t>
  </si>
  <si>
    <t>JUMMAI AJIYA</t>
  </si>
  <si>
    <t>HUSSAIN HAZEEM MOHAMMED</t>
  </si>
  <si>
    <t xml:space="preserve">                                   </t>
  </si>
  <si>
    <t>ARC OJO M.O</t>
  </si>
  <si>
    <t>ENGR. EBI THOMPSON</t>
  </si>
  <si>
    <t>ADEOGUN MORUF</t>
  </si>
  <si>
    <t>DD &amp; HEAD OF BUILDING</t>
  </si>
  <si>
    <t>ASSISTANT CHIEF ENGINEER</t>
  </si>
  <si>
    <t>PRINCIPAL Q.S</t>
  </si>
  <si>
    <t>SALARY ADV.</t>
  </si>
  <si>
    <t>ABOMAN INNOCENT</t>
  </si>
  <si>
    <t>CLEANER</t>
  </si>
  <si>
    <t>Casual Staff/NYSC</t>
  </si>
  <si>
    <t>OKOYE AUGUSTINA CHINENYE</t>
  </si>
  <si>
    <t>CHINAKO N. ASOGWA</t>
  </si>
  <si>
    <t>LIBRARY OFFICER</t>
  </si>
  <si>
    <t>EDACHE  OGA</t>
  </si>
  <si>
    <t>AKEUSOLA SEGUN</t>
  </si>
  <si>
    <t>DR JAKE DABANG DAN AZUMI</t>
  </si>
  <si>
    <t>15((7)</t>
  </si>
  <si>
    <t>AMARACHI NNAWUCHI</t>
  </si>
  <si>
    <t>NGARA CHRISTOPHER OCHANJA</t>
  </si>
  <si>
    <t>OFFICER, SPECIAL DUTIES</t>
  </si>
  <si>
    <t>JOY HARUNA MAKERI</t>
  </si>
  <si>
    <t>YUGUDA S. IDRIS</t>
  </si>
  <si>
    <t>ONCHE ENOKELA ONCHE</t>
  </si>
  <si>
    <t>EDET B. AKPAKPAN</t>
  </si>
  <si>
    <t>SABATICAL</t>
  </si>
  <si>
    <t>DEPLOYED STAFF</t>
  </si>
  <si>
    <t>UKPONG INYANG ONOYOM</t>
  </si>
  <si>
    <t>HEAD PUBLICATION</t>
  </si>
  <si>
    <t>DR MOBOLAJI HAKEEM</t>
  </si>
  <si>
    <t>16(70</t>
  </si>
  <si>
    <t>CHRISTIAN MADUABUCHI ODO</t>
  </si>
  <si>
    <t>ICT ASSISTANT</t>
  </si>
  <si>
    <t>The net Salary Increase is reconciled as follows:</t>
  </si>
  <si>
    <t>44</t>
  </si>
  <si>
    <t>TONDO IORWUESE EDWARD</t>
  </si>
  <si>
    <t>Sab.</t>
  </si>
  <si>
    <t>GRADE</t>
  </si>
  <si>
    <t>NAMES</t>
  </si>
  <si>
    <t>S/N</t>
  </si>
  <si>
    <t>DONALD E. MKAPANAM</t>
  </si>
  <si>
    <t>IT OFFICER</t>
  </si>
  <si>
    <t>KABIR M. SULAIMAN</t>
  </si>
  <si>
    <t>MANAGER ADMIN/ HR</t>
  </si>
  <si>
    <t>MANAGER ACCOUNTS</t>
  </si>
  <si>
    <t>EID EL KABIR TRANSPORT ALLOWANCE TO NILS DEPLOYED STAFF</t>
  </si>
  <si>
    <t>PROF. EDET AKPAKPAN</t>
  </si>
  <si>
    <t>TERFA W. ABRAHAM</t>
  </si>
  <si>
    <t>DONALD E. MKPANAM</t>
  </si>
  <si>
    <t>AM PROTOCOL</t>
  </si>
  <si>
    <t>IBRAHIM OKPE</t>
  </si>
  <si>
    <t>AREARS</t>
  </si>
  <si>
    <t>12</t>
  </si>
  <si>
    <t>14</t>
  </si>
  <si>
    <t>NASS/ Deployed Staff</t>
  </si>
  <si>
    <t>2013 END OF YEAR  STAFF WELFARE  TO ASSIST WITH TRANSPORTATION AND LOGISTICS.</t>
  </si>
  <si>
    <t>ASST. MANAGER, ACCOUNTS</t>
  </si>
  <si>
    <t>DEPUTY DIRECTOR</t>
  </si>
  <si>
    <t>17/8</t>
  </si>
  <si>
    <t>17(8)</t>
  </si>
  <si>
    <t>16/8</t>
  </si>
  <si>
    <t>16(8)</t>
  </si>
  <si>
    <t>15(8)</t>
  </si>
  <si>
    <t>14(8)</t>
  </si>
  <si>
    <t>13(8)</t>
  </si>
  <si>
    <t>10(8)</t>
  </si>
  <si>
    <t>9(8)</t>
  </si>
  <si>
    <t>8(8)</t>
  </si>
  <si>
    <t>8(10)</t>
  </si>
  <si>
    <t>4(11)</t>
  </si>
  <si>
    <t>4(8)</t>
  </si>
  <si>
    <t>FEBRUARY, 2014</t>
  </si>
  <si>
    <t>NET PAY AS PER FEBRUARY, 2014 PAYROLL</t>
  </si>
  <si>
    <t>OMOUDU QUEEN PRISCILLA</t>
  </si>
  <si>
    <t>VICTOR TILE</t>
  </si>
  <si>
    <t>Subject: Payroll for the Month of March, 2014</t>
  </si>
  <si>
    <t>Find below the details of  NILS Staff Payroll for the month of March, 2014:</t>
  </si>
  <si>
    <t>MARCH, 2014</t>
  </si>
  <si>
    <t>VARIATION INMARCH, 2014 OVER FEBRUARY, 2014 SALARIES</t>
  </si>
  <si>
    <t>NET PAY AS PER MARCH, 2014 PAYROLL</t>
  </si>
  <si>
    <t xml:space="preserve">NET INCREASE/ (DECREASE)  IN PAY FOR MARCH, 2014   </t>
  </si>
  <si>
    <t>RESEARCH FELLOW II TRAINING</t>
  </si>
  <si>
    <t>OFFICER TRAINING</t>
  </si>
  <si>
    <t>Net Effect of Conversion of Driver from Casual to Permanent Staff</t>
  </si>
  <si>
    <t xml:space="preserve">Effect of Stoppage of Salary Advance to Yunusa Abdullahi </t>
  </si>
  <si>
    <t>Effect of Salary Advance Recovery to Dr Charles Anumudu</t>
  </si>
  <si>
    <t>Effect of Salary Recovery to Driver as Deterent</t>
  </si>
  <si>
    <t>DATE: 21ST MARCH, 2014</t>
  </si>
  <si>
    <t>Removal Efect of Jan 23rd to 31st prorated allowance added to Feb 2014 Salary to re deployed staff to Research Division</t>
  </si>
  <si>
    <t>41</t>
  </si>
  <si>
    <t>11</t>
  </si>
  <si>
    <t>STAFF PAYROLL FOR THE MONTH OF APRIL, 2014</t>
  </si>
  <si>
    <t>MAR,14</t>
  </si>
  <si>
    <t>APR,14</t>
  </si>
  <si>
    <t>Removal Effect of Payment of 13th Month Salary to Training and Finance Divisions</t>
  </si>
  <si>
    <t>Removal Effect of  28 Days Allow in Lieu of Accomodation to LA Secretary</t>
  </si>
  <si>
    <t>Removal Effect of 28 Days allow in lieu of Accomodation to Driver on Conversion</t>
  </si>
  <si>
    <t>Removal Effect of Payment of Salary Advance to Gloria Helg</t>
  </si>
  <si>
    <t>EZE NWOSU</t>
  </si>
  <si>
    <t>BASHIR A. WALI</t>
  </si>
  <si>
    <t>Effect of Payment of Legislative Duty allowance to Jake Danazumi</t>
  </si>
  <si>
    <t>Effect of Salary Advance Recovery from Gloria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</si>
  <si>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N23,264,036.36 </t>
    </r>
    <r>
      <rPr>
        <sz val="14"/>
        <rFont val="Times New Roman"/>
        <family val="1"/>
      </rPr>
      <t>to FIRST BANK  being March, 2014 Salary and</t>
    </r>
    <r>
      <rPr>
        <b/>
        <sz val="14"/>
        <rFont val="Times New Roman"/>
        <family val="1"/>
      </rPr>
      <t xml:space="preserve"> N763,137.21 being</t>
    </r>
    <r>
      <rPr>
        <sz val="14"/>
        <rFont val="Times New Roman"/>
        <family val="1"/>
      </rPr>
      <t xml:space="preserve"> March, 2014 PAYE TAX Deductions from Staff Salary.</t>
    </r>
  </si>
  <si>
    <t>PROF ROTIMI SUBERU</t>
  </si>
  <si>
    <t>PROF EDET AKPAKPAN</t>
  </si>
  <si>
    <t>Removal Effect of Prof Edet Akpakpan on completion of Sabatical</t>
  </si>
  <si>
    <t>Effect of Payment of New Sabatical Staff Prof, Rotimi Suberu</t>
  </si>
  <si>
    <t>SALARY DETAILS OF NILS  OFFICERS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</si>
</sst>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0"/>
      <name val="Arial"/>
    </font>
    <font>
      <sz val="10"/>
      <name val="Arial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sz val="14"/>
      <color indexed="9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sz val="14"/>
      <color indexed="8"/>
      <name val="Tahoma"/>
      <family val="2"/>
    </font>
    <font>
      <b/>
      <sz val="16"/>
      <name val="Times New Roman"/>
      <family val="1"/>
    </font>
    <font>
      <u val="singleAccounting"/>
      <sz val="14"/>
      <name val="Times New Roman"/>
      <family val="1"/>
    </font>
    <font>
      <b/>
      <sz val="16"/>
      <name val="Arial"/>
      <family val="2"/>
    </font>
    <font>
      <b/>
      <sz val="16"/>
      <name val="Tahoma"/>
      <family val="2"/>
    </font>
    <font>
      <sz val="10"/>
      <name val="Tahoma"/>
      <family val="2"/>
    </font>
    <font>
      <b/>
      <sz val="14"/>
      <name val="Arial"/>
      <family val="2"/>
    </font>
    <font>
      <b/>
      <sz val="14"/>
      <color indexed="8"/>
      <name val="Times New Roman"/>
      <family val="1"/>
    </font>
    <font>
      <sz val="14"/>
      <color rgb="FFFF0000"/>
      <name val="Tahoma"/>
      <family val="2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8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4" fontId="2" fillId="0" borderId="0" xfId="0" applyNumberFormat="1" applyFont="1" applyAlignment="1"/>
    <xf numFmtId="0" fontId="2" fillId="0" borderId="0" xfId="0" applyFont="1" applyAlignment="1"/>
    <xf numFmtId="4" fontId="7" fillId="0" borderId="0" xfId="0" applyNumberFormat="1" applyFont="1" applyAlignment="1"/>
    <xf numFmtId="43" fontId="8" fillId="0" borderId="0" xfId="1" applyFont="1" applyBorder="1" applyAlignment="1"/>
    <xf numFmtId="0" fontId="5" fillId="0" borderId="1" xfId="0" applyFont="1" applyBorder="1" applyAlignment="1">
      <alignment horizontal="center"/>
    </xf>
    <xf numFmtId="43" fontId="13" fillId="2" borderId="1" xfId="1" applyFont="1" applyFill="1" applyBorder="1" applyAlignment="1">
      <alignment horizontal="right"/>
    </xf>
    <xf numFmtId="0" fontId="16" fillId="0" borderId="0" xfId="0" applyFont="1"/>
    <xf numFmtId="43" fontId="5" fillId="0" borderId="0" xfId="0" applyNumberFormat="1" applyFont="1" applyAlignme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5" fillId="0" borderId="1" xfId="0" applyNumberFormat="1" applyFont="1" applyBorder="1"/>
    <xf numFmtId="49" fontId="13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3" fontId="2" fillId="0" borderId="0" xfId="1" applyFont="1"/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13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17" fillId="0" borderId="0" xfId="0" applyFont="1" applyAlignment="1">
      <alignment horizontal="left"/>
    </xf>
    <xf numFmtId="0" fontId="18" fillId="0" borderId="0" xfId="0" applyFont="1"/>
    <xf numFmtId="4" fontId="18" fillId="0" borderId="0" xfId="0" applyNumberFormat="1" applyFont="1"/>
    <xf numFmtId="0" fontId="20" fillId="0" borderId="0" xfId="0" applyFont="1" applyAlignment="1">
      <alignment horizontal="left"/>
    </xf>
    <xf numFmtId="17" fontId="20" fillId="0" borderId="0" xfId="0" applyNumberFormat="1" applyFont="1" applyAlignment="1">
      <alignment horizontal="left"/>
    </xf>
    <xf numFmtId="4" fontId="21" fillId="0" borderId="0" xfId="0" applyNumberFormat="1" applyFont="1"/>
    <xf numFmtId="0" fontId="21" fillId="0" borderId="0" xfId="0" applyFont="1" applyFill="1"/>
    <xf numFmtId="0" fontId="18" fillId="0" borderId="0" xfId="0" applyFont="1" applyFill="1"/>
    <xf numFmtId="0" fontId="20" fillId="0" borderId="0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49" fontId="25" fillId="0" borderId="1" xfId="0" applyNumberFormat="1" applyFont="1" applyBorder="1" applyAlignment="1">
      <alignment horizontal="left"/>
    </xf>
    <xf numFmtId="43" fontId="18" fillId="0" borderId="1" xfId="1" quotePrefix="1" applyFont="1" applyBorder="1" applyAlignment="1">
      <alignment horizontal="right"/>
    </xf>
    <xf numFmtId="0" fontId="18" fillId="0" borderId="1" xfId="0" applyFont="1" applyBorder="1"/>
    <xf numFmtId="20" fontId="18" fillId="0" borderId="1" xfId="0" applyNumberFormat="1" applyFont="1" applyBorder="1"/>
    <xf numFmtId="0" fontId="19" fillId="0" borderId="1" xfId="0" applyFont="1" applyBorder="1"/>
    <xf numFmtId="0" fontId="20" fillId="0" borderId="1" xfId="0" applyFont="1" applyBorder="1" applyAlignment="1">
      <alignment horizontal="left"/>
    </xf>
    <xf numFmtId="49" fontId="25" fillId="0" borderId="1" xfId="0" applyNumberFormat="1" applyFont="1" applyBorder="1" applyAlignment="1"/>
    <xf numFmtId="49" fontId="23" fillId="0" borderId="1" xfId="0" applyNumberFormat="1" applyFont="1" applyBorder="1" applyAlignment="1"/>
    <xf numFmtId="16" fontId="18" fillId="0" borderId="1" xfId="0" applyNumberFormat="1" applyFont="1" applyBorder="1"/>
    <xf numFmtId="49" fontId="23" fillId="0" borderId="2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25" fillId="0" borderId="1" xfId="0" applyNumberFormat="1" applyFont="1" applyBorder="1" applyAlignment="1">
      <alignment horizontal="center"/>
    </xf>
    <xf numFmtId="0" fontId="18" fillId="4" borderId="1" xfId="0" applyFont="1" applyFill="1" applyBorder="1"/>
    <xf numFmtId="0" fontId="18" fillId="4" borderId="1" xfId="0" applyFont="1" applyFill="1" applyBorder="1" applyAlignment="1">
      <alignment horizontal="center"/>
    </xf>
    <xf numFmtId="43" fontId="18" fillId="4" borderId="1" xfId="1" quotePrefix="1" applyFont="1" applyFill="1" applyBorder="1" applyAlignment="1">
      <alignment horizontal="right"/>
    </xf>
    <xf numFmtId="43" fontId="18" fillId="4" borderId="1" xfId="1" applyFont="1" applyFill="1" applyBorder="1" applyAlignment="1">
      <alignment horizontal="right"/>
    </xf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center"/>
    </xf>
    <xf numFmtId="20" fontId="18" fillId="4" borderId="1" xfId="0" applyNumberFormat="1" applyFont="1" applyFill="1" applyBorder="1" applyAlignment="1">
      <alignment horizontal="center"/>
    </xf>
    <xf numFmtId="49" fontId="25" fillId="0" borderId="2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center"/>
    </xf>
    <xf numFmtId="43" fontId="20" fillId="4" borderId="1" xfId="1" applyFont="1" applyFill="1" applyBorder="1" applyAlignment="1">
      <alignment horizontal="right"/>
    </xf>
    <xf numFmtId="0" fontId="20" fillId="4" borderId="1" xfId="0" applyFont="1" applyFill="1" applyBorder="1" applyAlignment="1">
      <alignment horizontal="left"/>
    </xf>
    <xf numFmtId="0" fontId="20" fillId="4" borderId="1" xfId="0" applyFont="1" applyFill="1" applyBorder="1" applyAlignment="1">
      <alignment horizontal="center"/>
    </xf>
    <xf numFmtId="43" fontId="21" fillId="4" borderId="1" xfId="1" applyFont="1" applyFill="1" applyBorder="1" applyAlignment="1">
      <alignment horizontal="right"/>
    </xf>
    <xf numFmtId="43" fontId="19" fillId="4" borderId="1" xfId="1" quotePrefix="1" applyFont="1" applyFill="1" applyBorder="1" applyAlignment="1">
      <alignment horizontal="right"/>
    </xf>
    <xf numFmtId="43" fontId="19" fillId="4" borderId="1" xfId="1" applyFont="1" applyFill="1" applyBorder="1" applyAlignment="1">
      <alignment horizontal="right"/>
    </xf>
    <xf numFmtId="49" fontId="23" fillId="4" borderId="1" xfId="0" applyNumberFormat="1" applyFont="1" applyFill="1" applyBorder="1" applyAlignment="1"/>
    <xf numFmtId="49" fontId="23" fillId="4" borderId="2" xfId="0" applyNumberFormat="1" applyFont="1" applyFill="1" applyBorder="1" applyAlignment="1">
      <alignment horizontal="left"/>
    </xf>
    <xf numFmtId="49" fontId="23" fillId="4" borderId="3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43" fontId="18" fillId="4" borderId="1" xfId="1" applyFont="1" applyFill="1" applyBorder="1"/>
    <xf numFmtId="49" fontId="23" fillId="4" borderId="1" xfId="0" applyNumberFormat="1" applyFont="1" applyFill="1" applyBorder="1" applyAlignment="1">
      <alignment horizontal="center"/>
    </xf>
    <xf numFmtId="4" fontId="19" fillId="4" borderId="1" xfId="0" applyNumberFormat="1" applyFont="1" applyFill="1" applyBorder="1" applyAlignment="1">
      <alignment horizontal="left"/>
    </xf>
    <xf numFmtId="4" fontId="19" fillId="4" borderId="1" xfId="0" applyNumberFormat="1" applyFont="1" applyFill="1" applyBorder="1" applyAlignment="1">
      <alignment horizontal="center"/>
    </xf>
    <xf numFmtId="43" fontId="17" fillId="4" borderId="1" xfId="1" applyFont="1" applyFill="1" applyBorder="1" applyAlignment="1">
      <alignment horizontal="right"/>
    </xf>
    <xf numFmtId="4" fontId="17" fillId="4" borderId="1" xfId="0" applyNumberFormat="1" applyFont="1" applyFill="1" applyBorder="1" applyAlignment="1">
      <alignment horizontal="left"/>
    </xf>
    <xf numFmtId="4" fontId="17" fillId="4" borderId="1" xfId="0" applyNumberFormat="1" applyFont="1" applyFill="1" applyBorder="1" applyAlignment="1">
      <alignment horizontal="center"/>
    </xf>
    <xf numFmtId="4" fontId="17" fillId="4" borderId="1" xfId="0" applyNumberFormat="1" applyFont="1" applyFill="1" applyBorder="1" applyAlignment="1">
      <alignment horizontal="right"/>
    </xf>
    <xf numFmtId="4" fontId="11" fillId="4" borderId="1" xfId="0" applyNumberFormat="1" applyFont="1" applyFill="1" applyBorder="1" applyAlignment="1">
      <alignment horizontal="center"/>
    </xf>
    <xf numFmtId="4" fontId="8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4" fontId="11" fillId="4" borderId="1" xfId="0" applyNumberFormat="1" applyFont="1" applyFill="1" applyBorder="1" applyAlignment="1">
      <alignment horizontal="center"/>
    </xf>
    <xf numFmtId="0" fontId="18" fillId="4" borderId="1" xfId="0" applyFont="1" applyFill="1" applyBorder="1"/>
    <xf numFmtId="49" fontId="25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49" fontId="25" fillId="4" borderId="1" xfId="0" applyNumberFormat="1" applyFont="1" applyFill="1" applyBorder="1" applyAlignment="1">
      <alignment horizontal="left"/>
    </xf>
    <xf numFmtId="0" fontId="5" fillId="0" borderId="1" xfId="0" applyFont="1" applyBorder="1"/>
    <xf numFmtId="49" fontId="13" fillId="4" borderId="1" xfId="0" applyNumberFormat="1" applyFont="1" applyFill="1" applyBorder="1" applyAlignment="1">
      <alignment horizontal="left"/>
    </xf>
    <xf numFmtId="49" fontId="13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5" fillId="0" borderId="1" xfId="1" applyFont="1" applyBorder="1"/>
    <xf numFmtId="0" fontId="2" fillId="4" borderId="1" xfId="0" applyNumberFormat="1" applyFont="1" applyFill="1" applyBorder="1" applyAlignment="1">
      <alignment horizontal="center"/>
    </xf>
    <xf numFmtId="0" fontId="18" fillId="4" borderId="1" xfId="0" applyFont="1" applyFill="1" applyBorder="1"/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5" fillId="0" borderId="0" xfId="0" applyFont="1"/>
    <xf numFmtId="49" fontId="25" fillId="4" borderId="2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43" fontId="27" fillId="0" borderId="0" xfId="1" applyFont="1"/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3" fillId="4" borderId="2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49" fontId="23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0" fontId="18" fillId="4" borderId="1" xfId="0" applyFont="1" applyFill="1" applyBorder="1"/>
    <xf numFmtId="49" fontId="25" fillId="3" borderId="4" xfId="0" applyNumberFormat="1" applyFont="1" applyFill="1" applyBorder="1" applyAlignment="1">
      <alignment horizontal="left"/>
    </xf>
    <xf numFmtId="4" fontId="8" fillId="4" borderId="2" xfId="0" applyNumberFormat="1" applyFont="1" applyFill="1" applyBorder="1" applyAlignment="1">
      <alignment horizontal="right"/>
    </xf>
    <xf numFmtId="0" fontId="18" fillId="4" borderId="1" xfId="0" applyFont="1" applyFill="1" applyBorder="1"/>
    <xf numFmtId="49" fontId="25" fillId="4" borderId="4" xfId="0" applyNumberFormat="1" applyFont="1" applyFill="1" applyBorder="1" applyAlignment="1">
      <alignment horizontal="left"/>
    </xf>
    <xf numFmtId="0" fontId="18" fillId="4" borderId="1" xfId="0" applyFont="1" applyFill="1" applyBorder="1"/>
    <xf numFmtId="4" fontId="17" fillId="4" borderId="0" xfId="0" applyNumberFormat="1" applyFont="1" applyFill="1" applyBorder="1" applyAlignment="1">
      <alignment horizontal="right"/>
    </xf>
    <xf numFmtId="49" fontId="25" fillId="4" borderId="2" xfId="0" applyNumberFormat="1" applyFont="1" applyFill="1" applyBorder="1" applyAlignment="1">
      <alignment horizontal="left"/>
    </xf>
    <xf numFmtId="0" fontId="18" fillId="4" borderId="2" xfId="0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43" fontId="19" fillId="4" borderId="1" xfId="1" quotePrefix="1" applyFont="1" applyFill="1" applyBorder="1" applyAlignment="1">
      <alignment horizontal="center"/>
    </xf>
    <xf numFmtId="49" fontId="25" fillId="4" borderId="1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43" fontId="18" fillId="0" borderId="1" xfId="1" applyFont="1" applyBorder="1"/>
    <xf numFmtId="0" fontId="0" fillId="0" borderId="1" xfId="0" applyBorder="1"/>
    <xf numFmtId="49" fontId="25" fillId="4" borderId="1" xfId="0" applyNumberFormat="1" applyFont="1" applyFill="1" applyBorder="1" applyAlignment="1"/>
    <xf numFmtId="43" fontId="19" fillId="0" borderId="1" xfId="1" applyFont="1" applyBorder="1"/>
    <xf numFmtId="43" fontId="28" fillId="0" borderId="1" xfId="0" applyNumberFormat="1" applyFont="1" applyBorder="1"/>
    <xf numFmtId="0" fontId="30" fillId="0" borderId="1" xfId="0" applyFont="1" applyBorder="1"/>
    <xf numFmtId="43" fontId="19" fillId="0" borderId="1" xfId="0" applyNumberFormat="1" applyFont="1" applyBorder="1"/>
    <xf numFmtId="0" fontId="18" fillId="4" borderId="2" xfId="0" applyFont="1" applyFill="1" applyBorder="1" applyAlignment="1"/>
    <xf numFmtId="0" fontId="18" fillId="4" borderId="4" xfId="0" applyFont="1" applyFill="1" applyBorder="1" applyAlignment="1"/>
    <xf numFmtId="0" fontId="19" fillId="0" borderId="0" xfId="0" applyFont="1"/>
    <xf numFmtId="0" fontId="18" fillId="0" borderId="0" xfId="0" applyFont="1" applyAlignment="1">
      <alignment horizontal="center"/>
    </xf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/>
    <xf numFmtId="0" fontId="19" fillId="0" borderId="5" xfId="0" applyFont="1" applyBorder="1" applyAlignment="1">
      <alignment horizontal="left"/>
    </xf>
    <xf numFmtId="0" fontId="19" fillId="0" borderId="5" xfId="0" applyFont="1" applyBorder="1"/>
    <xf numFmtId="0" fontId="18" fillId="0" borderId="1" xfId="0" applyFont="1" applyBorder="1" applyAlignment="1">
      <alignment horizontal="center"/>
    </xf>
    <xf numFmtId="0" fontId="31" fillId="0" borderId="1" xfId="0" applyFont="1" applyBorder="1"/>
    <xf numFmtId="43" fontId="31" fillId="0" borderId="1" xfId="0" applyNumberFormat="1" applyFont="1" applyBorder="1"/>
    <xf numFmtId="0" fontId="18" fillId="4" borderId="2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0" fontId="19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32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4" borderId="2" xfId="0" applyNumberFormat="1" applyFont="1" applyFill="1" applyBorder="1" applyAlignment="1"/>
    <xf numFmtId="49" fontId="13" fillId="4" borderId="3" xfId="0" applyNumberFormat="1" applyFont="1" applyFill="1" applyBorder="1" applyAlignment="1"/>
    <xf numFmtId="49" fontId="13" fillId="4" borderId="4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9" fontId="13" fillId="4" borderId="2" xfId="0" applyNumberFormat="1" applyFont="1" applyFill="1" applyBorder="1" applyAlignment="1">
      <alignment horizontal="left"/>
    </xf>
    <xf numFmtId="49" fontId="13" fillId="4" borderId="3" xfId="0" applyNumberFormat="1" applyFont="1" applyFill="1" applyBorder="1" applyAlignment="1">
      <alignment horizontal="left"/>
    </xf>
    <xf numFmtId="49" fontId="32" fillId="4" borderId="1" xfId="0" applyNumberFormat="1" applyFont="1" applyFill="1" applyBorder="1" applyAlignment="1">
      <alignment horizontal="center"/>
    </xf>
    <xf numFmtId="49" fontId="32" fillId="4" borderId="4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center"/>
    </xf>
    <xf numFmtId="43" fontId="5" fillId="4" borderId="1" xfId="1" quotePrefix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8" xfId="0" applyFill="1" applyBorder="1" applyAlignment="1">
      <alignment horizontal="center"/>
    </xf>
    <xf numFmtId="49" fontId="32" fillId="4" borderId="2" xfId="0" applyNumberFormat="1" applyFont="1" applyFill="1" applyBorder="1" applyAlignment="1">
      <alignment horizontal="left"/>
    </xf>
    <xf numFmtId="49" fontId="32" fillId="4" borderId="3" xfId="0" applyNumberFormat="1" applyFont="1" applyFill="1" applyBorder="1" applyAlignment="1">
      <alignment horizontal="left"/>
    </xf>
    <xf numFmtId="43" fontId="5" fillId="4" borderId="1" xfId="1" applyFont="1" applyFill="1" applyBorder="1" applyAlignment="1">
      <alignment horizontal="right"/>
    </xf>
    <xf numFmtId="43" fontId="0" fillId="0" borderId="0" xfId="0" applyNumberFormat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43" fontId="18" fillId="4" borderId="2" xfId="1" applyFont="1" applyFill="1" applyBorder="1" applyAlignment="1">
      <alignment horizontal="right"/>
    </xf>
    <xf numFmtId="43" fontId="20" fillId="4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17" fillId="4" borderId="2" xfId="1" applyFont="1" applyFill="1" applyBorder="1" applyAlignment="1">
      <alignment horizontal="right"/>
    </xf>
    <xf numFmtId="4" fontId="17" fillId="4" borderId="2" xfId="0" applyNumberFormat="1" applyFont="1" applyFill="1" applyBorder="1" applyAlignment="1">
      <alignment horizontal="right"/>
    </xf>
    <xf numFmtId="43" fontId="18" fillId="0" borderId="2" xfId="1" quotePrefix="1" applyFont="1" applyBorder="1" applyAlignment="1">
      <alignment horizontal="right"/>
    </xf>
    <xf numFmtId="0" fontId="2" fillId="0" borderId="1" xfId="0" applyFont="1" applyBorder="1"/>
    <xf numFmtId="43" fontId="5" fillId="0" borderId="0" xfId="0" applyNumberFormat="1" applyFont="1"/>
    <xf numFmtId="43" fontId="25" fillId="4" borderId="1" xfId="1" applyFont="1" applyFill="1" applyBorder="1" applyAlignment="1">
      <alignment horizontal="center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0" fontId="18" fillId="4" borderId="2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3" fontId="18" fillId="4" borderId="0" xfId="1" quotePrefix="1" applyFont="1" applyFill="1" applyBorder="1" applyAlignment="1">
      <alignment horizontal="right"/>
    </xf>
    <xf numFmtId="43" fontId="5" fillId="0" borderId="9" xfId="1" applyFont="1" applyBorder="1" applyAlignment="1"/>
    <xf numFmtId="0" fontId="33" fillId="4" borderId="1" xfId="0" applyFont="1" applyFill="1" applyBorder="1"/>
    <xf numFmtId="0" fontId="33" fillId="4" borderId="1" xfId="0" applyFont="1" applyFill="1" applyBorder="1" applyAlignment="1">
      <alignment horizontal="center"/>
    </xf>
    <xf numFmtId="43" fontId="33" fillId="4" borderId="1" xfId="1" quotePrefix="1" applyFont="1" applyFill="1" applyBorder="1" applyAlignment="1">
      <alignment horizontal="right"/>
    </xf>
    <xf numFmtId="43" fontId="34" fillId="4" borderId="1" xfId="1" quotePrefix="1" applyFont="1" applyFill="1" applyBorder="1" applyAlignment="1">
      <alignment horizontal="right"/>
    </xf>
    <xf numFmtId="43" fontId="33" fillId="4" borderId="1" xfId="1" applyFont="1" applyFill="1" applyBorder="1" applyAlignment="1">
      <alignment horizontal="right"/>
    </xf>
    <xf numFmtId="43" fontId="33" fillId="4" borderId="2" xfId="1" applyFont="1" applyFill="1" applyBorder="1" applyAlignment="1">
      <alignment horizontal="right"/>
    </xf>
    <xf numFmtId="49" fontId="33" fillId="4" borderId="1" xfId="0" applyNumberFormat="1" applyFont="1" applyFill="1" applyBorder="1" applyAlignment="1">
      <alignment horizontal="left"/>
    </xf>
    <xf numFmtId="49" fontId="33" fillId="4" borderId="1" xfId="0" applyNumberFormat="1" applyFont="1" applyFill="1" applyBorder="1" applyAlignment="1">
      <alignment horizontal="center"/>
    </xf>
    <xf numFmtId="43" fontId="0" fillId="0" borderId="0" xfId="1" applyFont="1"/>
    <xf numFmtId="49" fontId="23" fillId="4" borderId="4" xfId="0" applyNumberFormat="1" applyFont="1" applyFill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" fontId="11" fillId="4" borderId="1" xfId="0" applyNumberFormat="1" applyFont="1" applyFill="1" applyBorder="1" applyAlignment="1">
      <alignment horizontal="center"/>
    </xf>
    <xf numFmtId="49" fontId="23" fillId="4" borderId="2" xfId="0" applyNumberFormat="1" applyFont="1" applyFill="1" applyBorder="1" applyAlignment="1">
      <alignment horizontal="left"/>
    </xf>
    <xf numFmtId="49" fontId="23" fillId="4" borderId="3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4" fontId="17" fillId="4" borderId="2" xfId="0" applyNumberFormat="1" applyFont="1" applyFill="1" applyBorder="1" applyAlignment="1">
      <alignment horizontal="center"/>
    </xf>
    <xf numFmtId="4" fontId="17" fillId="4" borderId="3" xfId="0" applyNumberFormat="1" applyFont="1" applyFill="1" applyBorder="1" applyAlignment="1">
      <alignment horizontal="center"/>
    </xf>
    <xf numFmtId="4" fontId="17" fillId="4" borderId="4" xfId="0" applyNumberFormat="1" applyFont="1" applyFill="1" applyBorder="1" applyAlignment="1">
      <alignment horizontal="center"/>
    </xf>
    <xf numFmtId="4" fontId="8" fillId="4" borderId="2" xfId="0" applyNumberFormat="1" applyFont="1" applyFill="1" applyBorder="1" applyAlignment="1">
      <alignment horizontal="center"/>
    </xf>
    <xf numFmtId="4" fontId="8" fillId="4" borderId="3" xfId="0" applyNumberFormat="1" applyFont="1" applyFill="1" applyBorder="1" applyAlignment="1">
      <alignment horizontal="center"/>
    </xf>
    <xf numFmtId="4" fontId="8" fillId="4" borderId="4" xfId="0" applyNumberFormat="1" applyFont="1" applyFill="1" applyBorder="1" applyAlignment="1">
      <alignment horizontal="center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" fontId="17" fillId="4" borderId="1" xfId="0" applyNumberFormat="1" applyFont="1" applyFill="1" applyBorder="1" applyAlignment="1">
      <alignment horizontal="left"/>
    </xf>
    <xf numFmtId="0" fontId="18" fillId="4" borderId="2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4" fontId="11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49" fontId="25" fillId="4" borderId="2" xfId="0" applyNumberFormat="1" applyFont="1" applyFill="1" applyBorder="1" applyAlignment="1"/>
    <xf numFmtId="49" fontId="25" fillId="4" borderId="3" xfId="0" applyNumberFormat="1" applyFont="1" applyFill="1" applyBorder="1" applyAlignment="1"/>
    <xf numFmtId="49" fontId="25" fillId="4" borderId="4" xfId="0" applyNumberFormat="1" applyFont="1" applyFill="1" applyBorder="1" applyAlignment="1"/>
    <xf numFmtId="49" fontId="33" fillId="4" borderId="2" xfId="0" applyNumberFormat="1" applyFont="1" applyFill="1" applyBorder="1" applyAlignment="1"/>
    <xf numFmtId="49" fontId="33" fillId="4" borderId="3" xfId="0" applyNumberFormat="1" applyFont="1" applyFill="1" applyBorder="1" applyAlignment="1"/>
    <xf numFmtId="49" fontId="33" fillId="4" borderId="4" xfId="0" applyNumberFormat="1" applyFont="1" applyFill="1" applyBorder="1" applyAlignment="1"/>
    <xf numFmtId="49" fontId="23" fillId="4" borderId="1" xfId="0" applyNumberFormat="1" applyFont="1" applyFill="1" applyBorder="1" applyAlignment="1">
      <alignment horizontal="left"/>
    </xf>
    <xf numFmtId="0" fontId="20" fillId="0" borderId="0" xfId="0" applyFont="1" applyAlignment="1">
      <alignment horizontal="left"/>
    </xf>
    <xf numFmtId="49" fontId="22" fillId="0" borderId="1" xfId="0" applyNumberFormat="1" applyFont="1" applyBorder="1" applyAlignment="1">
      <alignment horizontal="left"/>
    </xf>
    <xf numFmtId="0" fontId="33" fillId="4" borderId="2" xfId="0" applyFont="1" applyFill="1" applyBorder="1" applyAlignment="1">
      <alignment horizontal="left"/>
    </xf>
    <xf numFmtId="0" fontId="33" fillId="4" borderId="3" xfId="0" applyFont="1" applyFill="1" applyBorder="1" applyAlignment="1">
      <alignment horizontal="left"/>
    </xf>
    <xf numFmtId="0" fontId="33" fillId="4" borderId="4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18" fillId="4" borderId="1" xfId="0" applyFont="1" applyFill="1" applyBorder="1"/>
    <xf numFmtId="0" fontId="20" fillId="4" borderId="1" xfId="0" applyFont="1" applyFill="1" applyBorder="1" applyAlignment="1">
      <alignment horizontal="left"/>
    </xf>
    <xf numFmtId="0" fontId="20" fillId="0" borderId="6" xfId="0" applyFont="1" applyBorder="1" applyAlignment="1">
      <alignment horizontal="center"/>
    </xf>
    <xf numFmtId="49" fontId="23" fillId="4" borderId="2" xfId="0" applyNumberFormat="1" applyFont="1" applyFill="1" applyBorder="1" applyAlignment="1">
      <alignment horizontal="center"/>
    </xf>
    <xf numFmtId="49" fontId="23" fillId="4" borderId="3" xfId="0" applyNumberFormat="1" applyFont="1" applyFill="1" applyBorder="1" applyAlignment="1">
      <alignment horizontal="center"/>
    </xf>
    <xf numFmtId="49" fontId="23" fillId="4" borderId="4" xfId="0" applyNumberFormat="1" applyFont="1" applyFill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9" fillId="4" borderId="1" xfId="0" applyFont="1" applyFill="1" applyBorder="1"/>
    <xf numFmtId="49" fontId="33" fillId="4" borderId="2" xfId="0" applyNumberFormat="1" applyFont="1" applyFill="1" applyBorder="1" applyAlignment="1">
      <alignment horizontal="left"/>
    </xf>
    <xf numFmtId="49" fontId="33" fillId="4" borderId="3" xfId="0" applyNumberFormat="1" applyFont="1" applyFill="1" applyBorder="1" applyAlignment="1">
      <alignment horizontal="left"/>
    </xf>
    <xf numFmtId="49" fontId="33" fillId="4" borderId="4" xfId="0" applyNumberFormat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3" fontId="2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6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16" fontId="5" fillId="0" borderId="0" xfId="0" applyNumberFormat="1" applyFont="1" applyAlignment="1">
      <alignment horizontal="center"/>
    </xf>
    <xf numFmtId="49" fontId="13" fillId="3" borderId="2" xfId="0" applyNumberFormat="1" applyFont="1" applyFill="1" applyBorder="1" applyAlignment="1">
      <alignment horizontal="left"/>
    </xf>
    <xf numFmtId="49" fontId="13" fillId="3" borderId="3" xfId="0" applyNumberFormat="1" applyFont="1" applyFill="1" applyBorder="1" applyAlignment="1">
      <alignment horizontal="left"/>
    </xf>
    <xf numFmtId="49" fontId="13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9" fontId="25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49" fontId="25" fillId="0" borderId="2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49" fontId="23" fillId="0" borderId="2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23" fillId="0" borderId="4" xfId="0" applyNumberFormat="1" applyFont="1" applyBorder="1" applyAlignment="1">
      <alignment horizontal="center"/>
    </xf>
    <xf numFmtId="0" fontId="18" fillId="0" borderId="1" xfId="0" applyFont="1" applyBorder="1"/>
    <xf numFmtId="49" fontId="23" fillId="0" borderId="2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6" fillId="0" borderId="0" xfId="0" applyFont="1" applyAlignment="1">
      <alignment horizontal="center"/>
    </xf>
    <xf numFmtId="43" fontId="5" fillId="0" borderId="1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49" fontId="25" fillId="4" borderId="1" xfId="0" applyNumberFormat="1" applyFont="1" applyFill="1" applyBorder="1" applyAlignment="1"/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4" fontId="8" fillId="4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4" borderId="2" xfId="0" applyNumberFormat="1" applyFont="1" applyFill="1" applyBorder="1" applyAlignment="1">
      <alignment horizontal="left"/>
    </xf>
    <xf numFmtId="49" fontId="13" fillId="4" borderId="3" xfId="0" applyNumberFormat="1" applyFont="1" applyFill="1" applyBorder="1" applyAlignment="1">
      <alignment horizontal="left"/>
    </xf>
    <xf numFmtId="49" fontId="13" fillId="4" borderId="4" xfId="0" applyNumberFormat="1" applyFont="1" applyFill="1" applyBorder="1" applyAlignment="1">
      <alignment horizontal="left"/>
    </xf>
    <xf numFmtId="49" fontId="32" fillId="4" borderId="2" xfId="0" applyNumberFormat="1" applyFont="1" applyFill="1" applyBorder="1" applyAlignment="1">
      <alignment horizontal="left"/>
    </xf>
    <xf numFmtId="49" fontId="32" fillId="4" borderId="3" xfId="0" applyNumberFormat="1" applyFont="1" applyFill="1" applyBorder="1" applyAlignment="1">
      <alignment horizontal="left"/>
    </xf>
    <xf numFmtId="49" fontId="32" fillId="4" borderId="4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3" fillId="4" borderId="1" xfId="0" applyNumberFormat="1" applyFont="1" applyFill="1" applyBorder="1" applyAlignment="1">
      <alignment horizontal="left"/>
    </xf>
    <xf numFmtId="49" fontId="13" fillId="4" borderId="2" xfId="0" applyNumberFormat="1" applyFont="1" applyFill="1" applyBorder="1" applyAlignment="1"/>
    <xf numFmtId="49" fontId="13" fillId="4" borderId="3" xfId="0" applyNumberFormat="1" applyFont="1" applyFill="1" applyBorder="1" applyAlignment="1"/>
    <xf numFmtId="49" fontId="13" fillId="4" borderId="4" xfId="0" applyNumberFormat="1" applyFont="1" applyFill="1" applyBorder="1" applyAlignment="1"/>
    <xf numFmtId="49" fontId="32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26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5" fillId="4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view="pageBreakPreview" topLeftCell="B73" zoomScale="60" workbookViewId="0">
      <selection activeCell="F36" sqref="F36"/>
    </sheetView>
  </sheetViews>
  <sheetFormatPr defaultColWidth="9.109375" defaultRowHeight="20.100000000000001" customHeight="1" x14ac:dyDescent="0.35"/>
  <cols>
    <col min="1" max="1" width="4.88671875" style="1" hidden="1" customWidth="1"/>
    <col min="2" max="2" width="38.33203125" style="1" customWidth="1"/>
    <col min="3" max="3" width="7.44140625" style="1" hidden="1" customWidth="1"/>
    <col min="4" max="4" width="32.5546875" style="1" customWidth="1"/>
    <col min="5" max="5" width="10.33203125" style="1" customWidth="1"/>
    <col min="6" max="6" width="21.33203125" style="1" customWidth="1"/>
    <col min="7" max="7" width="21.6640625" style="1" customWidth="1"/>
    <col min="8" max="8" width="21.44140625" style="1" customWidth="1"/>
    <col min="9" max="9" width="18.6640625" style="1" customWidth="1"/>
    <col min="10" max="10" width="18.44140625" style="1" customWidth="1"/>
    <col min="11" max="11" width="20.5546875" style="1" customWidth="1"/>
    <col min="12" max="12" width="20.6640625" style="1" customWidth="1"/>
    <col min="13" max="13" width="17.44140625" style="1" customWidth="1"/>
    <col min="14" max="14" width="20.6640625" style="1" customWidth="1"/>
    <col min="15" max="15" width="22" style="1" customWidth="1"/>
    <col min="16" max="16" width="18.5546875" style="1" customWidth="1"/>
    <col min="17" max="17" width="21" style="1" customWidth="1"/>
    <col min="18" max="18" width="18.44140625" style="1" customWidth="1"/>
    <col min="19" max="19" width="22.6640625" style="1" customWidth="1"/>
    <col min="20" max="20" width="19.6640625" style="1" customWidth="1"/>
    <col min="21" max="21" width="19.5546875" style="1" customWidth="1"/>
    <col min="22" max="22" width="20.88671875" style="1" customWidth="1"/>
    <col min="23" max="23" width="23.5546875" style="1" customWidth="1"/>
    <col min="24" max="24" width="23.44140625" style="1" customWidth="1"/>
    <col min="25" max="25" width="28.44140625" style="1" customWidth="1"/>
    <col min="26" max="16384" width="9.109375" style="1"/>
  </cols>
  <sheetData>
    <row r="1" spans="1:24" ht="29.25" customHeight="1" x14ac:dyDescent="0.3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9"/>
      <c r="T1" s="29"/>
      <c r="U1" s="29"/>
      <c r="V1" s="29"/>
      <c r="W1" s="29"/>
      <c r="X1" s="29"/>
    </row>
    <row r="2" spans="1:24" ht="5.25" customHeight="1" x14ac:dyDescent="0.3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0"/>
      <c r="U2" s="30"/>
      <c r="V2" s="30"/>
      <c r="W2" s="30"/>
      <c r="X2" s="30"/>
    </row>
    <row r="3" spans="1:24" ht="20.100000000000001" customHeight="1" x14ac:dyDescent="0.35">
      <c r="A3" s="274" t="s">
        <v>387</v>
      </c>
      <c r="B3" s="274"/>
      <c r="C3" s="274"/>
      <c r="D3" s="274"/>
      <c r="E3" s="274"/>
      <c r="F3" s="31"/>
      <c r="G3" s="31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3"/>
      <c r="U3" s="33"/>
      <c r="V3" s="33"/>
      <c r="W3" s="33"/>
      <c r="X3" s="33"/>
    </row>
    <row r="4" spans="1:24" ht="2.25" customHeight="1" x14ac:dyDescent="0.35">
      <c r="A4" s="29"/>
      <c r="B4" s="29"/>
      <c r="C4" s="29"/>
      <c r="D4" s="29"/>
      <c r="E4" s="29"/>
      <c r="F4" s="34">
        <f>'[1]FEB 08'!E8/'[1]FEB 08'!M8</f>
        <v>0.22</v>
      </c>
      <c r="G4" s="34"/>
      <c r="H4" s="34"/>
      <c r="I4" s="34">
        <f>'[1]FEB 08'!F8/'[1]FEB 08'!Q8</f>
        <v>0.3</v>
      </c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5"/>
      <c r="V4" s="35"/>
      <c r="W4" s="35"/>
      <c r="X4" s="35"/>
    </row>
    <row r="5" spans="1:24" ht="20.100000000000001" customHeight="1" x14ac:dyDescent="0.35">
      <c r="A5" s="290" t="s">
        <v>0</v>
      </c>
      <c r="B5" s="291"/>
      <c r="C5" s="291"/>
      <c r="D5" s="36"/>
      <c r="E5" s="36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4" t="s">
        <v>241</v>
      </c>
      <c r="U5" s="284"/>
      <c r="V5" s="284"/>
      <c r="W5" s="36"/>
      <c r="X5" s="36" t="s">
        <v>61</v>
      </c>
    </row>
    <row r="6" spans="1:24" ht="20.100000000000001" customHeight="1" x14ac:dyDescent="0.35">
      <c r="A6" s="289"/>
      <c r="B6" s="289"/>
      <c r="C6" s="289"/>
      <c r="D6" s="37" t="s">
        <v>13</v>
      </c>
      <c r="E6" s="37" t="s">
        <v>59</v>
      </c>
      <c r="F6" s="38" t="s">
        <v>1</v>
      </c>
      <c r="G6" s="38" t="s">
        <v>58</v>
      </c>
      <c r="H6" s="38"/>
      <c r="I6" s="38"/>
      <c r="J6" s="38"/>
      <c r="K6" s="38"/>
      <c r="L6" s="38"/>
      <c r="M6" s="38" t="s">
        <v>52</v>
      </c>
      <c r="N6" s="38" t="s">
        <v>70</v>
      </c>
      <c r="O6" s="38" t="s">
        <v>143</v>
      </c>
      <c r="P6" s="38" t="s">
        <v>66</v>
      </c>
      <c r="Q6" s="38" t="s">
        <v>72</v>
      </c>
      <c r="R6" s="38" t="s">
        <v>73</v>
      </c>
      <c r="S6" s="38" t="s">
        <v>4</v>
      </c>
      <c r="T6" s="38"/>
      <c r="U6" s="39"/>
      <c r="V6" s="39"/>
      <c r="W6" s="181" t="s">
        <v>388</v>
      </c>
      <c r="X6" s="211" t="s">
        <v>389</v>
      </c>
    </row>
    <row r="7" spans="1:24" ht="20.100000000000001" customHeight="1" x14ac:dyDescent="0.35">
      <c r="A7" s="292"/>
      <c r="B7" s="292"/>
      <c r="C7" s="292"/>
      <c r="D7" s="37"/>
      <c r="E7" s="37" t="s">
        <v>57</v>
      </c>
      <c r="F7" s="38" t="s">
        <v>58</v>
      </c>
      <c r="G7" s="38" t="s">
        <v>347</v>
      </c>
      <c r="H7" s="38" t="s">
        <v>2</v>
      </c>
      <c r="I7" s="38" t="s">
        <v>3</v>
      </c>
      <c r="J7" s="38" t="s">
        <v>53</v>
      </c>
      <c r="K7" s="38" t="s">
        <v>67</v>
      </c>
      <c r="L7" s="38" t="s">
        <v>68</v>
      </c>
      <c r="M7" s="38" t="s">
        <v>69</v>
      </c>
      <c r="N7" s="38" t="s">
        <v>71</v>
      </c>
      <c r="O7" s="38" t="s">
        <v>144</v>
      </c>
      <c r="P7" s="38" t="s">
        <v>54</v>
      </c>
      <c r="Q7" s="38" t="s">
        <v>54</v>
      </c>
      <c r="R7" s="38" t="s">
        <v>74</v>
      </c>
      <c r="S7" s="38" t="s">
        <v>58</v>
      </c>
      <c r="T7" s="38" t="s">
        <v>303</v>
      </c>
      <c r="U7" s="38" t="s">
        <v>60</v>
      </c>
      <c r="V7" s="38" t="s">
        <v>20</v>
      </c>
      <c r="W7" s="38"/>
      <c r="X7" s="212"/>
    </row>
    <row r="8" spans="1:24" ht="20.100000000000001" customHeight="1" x14ac:dyDescent="0.35">
      <c r="A8" s="275" t="s">
        <v>22</v>
      </c>
      <c r="B8" s="275"/>
      <c r="C8" s="275"/>
      <c r="D8" s="40"/>
      <c r="E8" s="40"/>
      <c r="F8" s="41" t="s">
        <v>5</v>
      </c>
      <c r="G8" s="39"/>
      <c r="H8" s="41"/>
      <c r="I8" s="41" t="s">
        <v>5</v>
      </c>
      <c r="J8" s="41"/>
      <c r="K8" s="41"/>
      <c r="L8" s="41"/>
      <c r="M8" s="41"/>
      <c r="N8" s="41"/>
      <c r="O8" s="41"/>
      <c r="P8" s="41"/>
      <c r="Q8" s="41"/>
      <c r="R8" s="41"/>
      <c r="S8" s="41" t="s">
        <v>5</v>
      </c>
      <c r="T8" s="41"/>
      <c r="U8" s="41" t="s">
        <v>5</v>
      </c>
      <c r="V8" s="41"/>
      <c r="W8" s="41"/>
      <c r="X8" s="213"/>
    </row>
    <row r="9" spans="1:24" ht="20.100000000000001" customHeight="1" x14ac:dyDescent="0.35">
      <c r="A9" s="264" t="s">
        <v>46</v>
      </c>
      <c r="B9" s="264"/>
      <c r="C9" s="264"/>
      <c r="D9" s="59" t="s">
        <v>226</v>
      </c>
      <c r="E9" s="59" t="s">
        <v>55</v>
      </c>
      <c r="F9" s="58">
        <v>160488.75</v>
      </c>
      <c r="G9" s="98"/>
      <c r="H9" s="58">
        <v>320977.5</v>
      </c>
      <c r="I9" s="58">
        <v>48146.63</v>
      </c>
      <c r="J9" s="58">
        <v>120366.57</v>
      </c>
      <c r="K9" s="58">
        <v>72219.94</v>
      </c>
      <c r="L9" s="58">
        <v>481466.25</v>
      </c>
      <c r="M9" s="58">
        <v>40122.19</v>
      </c>
      <c r="N9" s="58">
        <v>120366.57</v>
      </c>
      <c r="O9" s="58">
        <v>150000</v>
      </c>
      <c r="P9" s="58">
        <v>16048.88</v>
      </c>
      <c r="Q9" s="58">
        <v>25000</v>
      </c>
      <c r="R9" s="58">
        <v>25235</v>
      </c>
      <c r="S9" s="58">
        <f>SUM(F9:R9)</f>
        <v>1580438.2799999998</v>
      </c>
      <c r="T9" s="58"/>
      <c r="U9" s="58">
        <v>113176.97</v>
      </c>
      <c r="V9" s="58">
        <f>T9+U9</f>
        <v>113176.97</v>
      </c>
      <c r="W9" s="58">
        <v>1467261.31</v>
      </c>
      <c r="X9" s="214">
        <f t="shared" ref="X9:X31" si="0">S9-V9</f>
        <v>1467261.3099999998</v>
      </c>
    </row>
    <row r="10" spans="1:24" ht="20.100000000000001" customHeight="1" x14ac:dyDescent="0.35">
      <c r="A10" s="264" t="s">
        <v>81</v>
      </c>
      <c r="B10" s="264"/>
      <c r="C10" s="264"/>
      <c r="D10" s="59" t="s">
        <v>82</v>
      </c>
      <c r="E10" s="60" t="s">
        <v>357</v>
      </c>
      <c r="F10" s="57">
        <f>F37</f>
        <v>41157.69</v>
      </c>
      <c r="G10" s="100">
        <v>0</v>
      </c>
      <c r="H10" s="57">
        <f>H37</f>
        <v>123473.07</v>
      </c>
      <c r="I10" s="57">
        <f>I37</f>
        <v>3086.8267500000002</v>
      </c>
      <c r="J10" s="57">
        <f>J37</f>
        <v>40122.19</v>
      </c>
      <c r="K10" s="57">
        <f>F10*50%</f>
        <v>20578.845000000001</v>
      </c>
      <c r="L10" s="57">
        <f>F10*350%</f>
        <v>144051.91500000001</v>
      </c>
      <c r="M10" s="57">
        <v>0</v>
      </c>
      <c r="N10" s="57">
        <f>F10*100%</f>
        <v>41157.69</v>
      </c>
      <c r="O10" s="57">
        <v>0</v>
      </c>
      <c r="P10" s="57">
        <f>F10*10%</f>
        <v>4115.7690000000002</v>
      </c>
      <c r="Q10" s="57">
        <v>20000</v>
      </c>
      <c r="R10" s="57">
        <v>100000</v>
      </c>
      <c r="S10" s="58">
        <f t="shared" ref="S10:S31" si="1">SUM(F10:R10)</f>
        <v>537743.99575</v>
      </c>
      <c r="T10" s="58"/>
      <c r="U10" s="58">
        <v>21618.09</v>
      </c>
      <c r="V10" s="58">
        <f t="shared" ref="V10:V31" si="2">T10+U10</f>
        <v>21618.09</v>
      </c>
      <c r="W10" s="58">
        <v>516125.91</v>
      </c>
      <c r="X10" s="214">
        <f t="shared" si="0"/>
        <v>516125.90574999998</v>
      </c>
    </row>
    <row r="11" spans="1:24" ht="20.100000000000001" customHeight="1" x14ac:dyDescent="0.35">
      <c r="A11" s="264" t="s">
        <v>93</v>
      </c>
      <c r="B11" s="264"/>
      <c r="C11" s="264"/>
      <c r="D11" s="146" t="s">
        <v>324</v>
      </c>
      <c r="E11" s="60" t="s">
        <v>357</v>
      </c>
      <c r="F11" s="57">
        <f>F10</f>
        <v>41157.69</v>
      </c>
      <c r="G11" s="100"/>
      <c r="H11" s="57">
        <f>H10</f>
        <v>123473.07</v>
      </c>
      <c r="I11" s="57">
        <f>I10</f>
        <v>3086.8267500000002</v>
      </c>
      <c r="J11" s="57">
        <v>40122.19</v>
      </c>
      <c r="K11" s="57">
        <f>F11*50%</f>
        <v>20578.845000000001</v>
      </c>
      <c r="L11" s="57">
        <f>F11*350%</f>
        <v>144051.91500000001</v>
      </c>
      <c r="M11" s="57">
        <v>0</v>
      </c>
      <c r="N11" s="57">
        <f>F11*100%</f>
        <v>41157.69</v>
      </c>
      <c r="O11" s="57">
        <v>0</v>
      </c>
      <c r="P11" s="57">
        <f>F11*10%</f>
        <v>4115.7690000000002</v>
      </c>
      <c r="Q11" s="57">
        <f>Q10</f>
        <v>20000</v>
      </c>
      <c r="R11" s="57">
        <v>0</v>
      </c>
      <c r="S11" s="58">
        <f t="shared" si="1"/>
        <v>437743.99575</v>
      </c>
      <c r="T11" s="57">
        <v>0</v>
      </c>
      <c r="U11" s="58">
        <v>21618.09</v>
      </c>
      <c r="V11" s="58">
        <f t="shared" si="2"/>
        <v>21618.09</v>
      </c>
      <c r="W11" s="58">
        <v>416125.91</v>
      </c>
      <c r="X11" s="214">
        <f t="shared" si="0"/>
        <v>416125.90574999998</v>
      </c>
    </row>
    <row r="12" spans="1:24" ht="20.100000000000001" customHeight="1" x14ac:dyDescent="0.35">
      <c r="A12" s="257" t="s">
        <v>325</v>
      </c>
      <c r="B12" s="259"/>
      <c r="C12" s="146"/>
      <c r="D12" s="146" t="s">
        <v>84</v>
      </c>
      <c r="E12" s="60" t="s">
        <v>49</v>
      </c>
      <c r="F12" s="57">
        <v>39662.25</v>
      </c>
      <c r="G12" s="100">
        <v>0</v>
      </c>
      <c r="H12" s="57">
        <f>F12*300%</f>
        <v>118986.75</v>
      </c>
      <c r="I12" s="57">
        <f>F12*7.5%</f>
        <v>2974.6687499999998</v>
      </c>
      <c r="J12" s="57">
        <v>40122.19</v>
      </c>
      <c r="K12" s="57">
        <f>F12*50%</f>
        <v>19831.125</v>
      </c>
      <c r="L12" s="57">
        <f>F12*350%</f>
        <v>138817.875</v>
      </c>
      <c r="M12" s="57"/>
      <c r="N12" s="57">
        <f>F12*100%</f>
        <v>39662.25</v>
      </c>
      <c r="O12" s="57">
        <v>100000</v>
      </c>
      <c r="P12" s="57">
        <f>F12*10%</f>
        <v>3966.2250000000004</v>
      </c>
      <c r="Q12" s="57">
        <f>Q11</f>
        <v>20000</v>
      </c>
      <c r="R12" s="57"/>
      <c r="S12" s="58">
        <f t="shared" si="1"/>
        <v>524023.33374999999</v>
      </c>
      <c r="T12" s="57"/>
      <c r="U12" s="58">
        <v>21618.09</v>
      </c>
      <c r="V12" s="58">
        <f t="shared" si="2"/>
        <v>21618.09</v>
      </c>
      <c r="W12" s="58">
        <v>502405.24</v>
      </c>
      <c r="X12" s="214">
        <f t="shared" si="0"/>
        <v>502405.24374999997</v>
      </c>
    </row>
    <row r="13" spans="1:24" ht="20.100000000000001" customHeight="1" x14ac:dyDescent="0.35">
      <c r="A13" s="266" t="s">
        <v>23</v>
      </c>
      <c r="B13" s="266"/>
      <c r="C13" s="266"/>
      <c r="D13" s="55" t="s">
        <v>184</v>
      </c>
      <c r="E13" s="61" t="s">
        <v>358</v>
      </c>
      <c r="F13" s="57">
        <v>32263.200000000001</v>
      </c>
      <c r="G13" s="100"/>
      <c r="H13" s="57">
        <f t="shared" ref="H13:H31" si="3">F13*300%</f>
        <v>96789.6</v>
      </c>
      <c r="I13" s="57">
        <f t="shared" ref="I13:I31" si="4">F13*7.5%</f>
        <v>2419.7399999999998</v>
      </c>
      <c r="J13" s="57">
        <f>J9/3</f>
        <v>40122.19</v>
      </c>
      <c r="K13" s="57">
        <f t="shared" ref="K13:K31" si="5">F13*50%</f>
        <v>16131.6</v>
      </c>
      <c r="L13" s="57">
        <f t="shared" ref="L13:L31" si="6">F13*350%</f>
        <v>112921.2</v>
      </c>
      <c r="M13" s="57">
        <v>0</v>
      </c>
      <c r="N13" s="57">
        <f t="shared" ref="N13:N31" si="7">F13*100%</f>
        <v>32263.200000000001</v>
      </c>
      <c r="O13" s="57">
        <v>0</v>
      </c>
      <c r="P13" s="57">
        <f t="shared" ref="P13:P31" si="8">F13*10%</f>
        <v>3226.32</v>
      </c>
      <c r="Q13" s="57">
        <v>20000</v>
      </c>
      <c r="R13" s="57">
        <v>0</v>
      </c>
      <c r="S13" s="58">
        <f t="shared" si="1"/>
        <v>356137.05000000005</v>
      </c>
      <c r="T13" s="58">
        <v>0</v>
      </c>
      <c r="U13" s="58">
        <v>15548.33</v>
      </c>
      <c r="V13" s="58">
        <f t="shared" si="2"/>
        <v>15548.33</v>
      </c>
      <c r="W13" s="58">
        <v>340588.72</v>
      </c>
      <c r="X13" s="214">
        <f t="shared" si="0"/>
        <v>340588.72000000003</v>
      </c>
    </row>
    <row r="14" spans="1:24" ht="20.100000000000001" customHeight="1" x14ac:dyDescent="0.35">
      <c r="A14" s="261" t="s">
        <v>211</v>
      </c>
      <c r="B14" s="262"/>
      <c r="C14" s="265"/>
      <c r="D14" s="55" t="s">
        <v>212</v>
      </c>
      <c r="E14" s="61" t="s">
        <v>358</v>
      </c>
      <c r="F14" s="57">
        <v>32263.200000000001</v>
      </c>
      <c r="G14" s="100"/>
      <c r="H14" s="57">
        <f t="shared" si="3"/>
        <v>96789.6</v>
      </c>
      <c r="I14" s="57">
        <f t="shared" si="4"/>
        <v>2419.7399999999998</v>
      </c>
      <c r="J14" s="57">
        <v>40122.19</v>
      </c>
      <c r="K14" s="57">
        <f t="shared" si="5"/>
        <v>16131.6</v>
      </c>
      <c r="L14" s="57">
        <f t="shared" si="6"/>
        <v>112921.2</v>
      </c>
      <c r="M14" s="57">
        <v>0</v>
      </c>
      <c r="N14" s="57">
        <f t="shared" si="7"/>
        <v>32263.200000000001</v>
      </c>
      <c r="O14" s="57">
        <v>0</v>
      </c>
      <c r="P14" s="57">
        <f t="shared" si="8"/>
        <v>3226.32</v>
      </c>
      <c r="Q14" s="57">
        <v>20000</v>
      </c>
      <c r="R14" s="57">
        <v>0</v>
      </c>
      <c r="S14" s="58">
        <f t="shared" si="1"/>
        <v>356137.05000000005</v>
      </c>
      <c r="T14" s="58"/>
      <c r="U14" s="58">
        <v>15548.33</v>
      </c>
      <c r="V14" s="58">
        <f t="shared" si="2"/>
        <v>15548.33</v>
      </c>
      <c r="W14" s="58">
        <v>340588.72</v>
      </c>
      <c r="X14" s="214">
        <f t="shared" si="0"/>
        <v>340588.72000000003</v>
      </c>
    </row>
    <row r="15" spans="1:24" ht="20.100000000000001" customHeight="1" x14ac:dyDescent="0.35">
      <c r="A15" s="267" t="s">
        <v>178</v>
      </c>
      <c r="B15" s="268"/>
      <c r="C15" s="269"/>
      <c r="D15" s="59" t="s">
        <v>179</v>
      </c>
      <c r="E15" s="61" t="s">
        <v>358</v>
      </c>
      <c r="F15" s="57">
        <v>32263.200000000001</v>
      </c>
      <c r="G15" s="100"/>
      <c r="H15" s="57">
        <f>F15*300%</f>
        <v>96789.6</v>
      </c>
      <c r="I15" s="57">
        <f>F15*7.5%</f>
        <v>2419.7399999999998</v>
      </c>
      <c r="J15" s="57">
        <f>J16</f>
        <v>40122.19</v>
      </c>
      <c r="K15" s="57">
        <f>F15*50%</f>
        <v>16131.6</v>
      </c>
      <c r="L15" s="57">
        <f>F15*350%</f>
        <v>112921.2</v>
      </c>
      <c r="M15" s="57">
        <v>0</v>
      </c>
      <c r="N15" s="57">
        <f>F15*100%</f>
        <v>32263.200000000001</v>
      </c>
      <c r="O15" s="57">
        <v>0</v>
      </c>
      <c r="P15" s="57">
        <f>F15*10%</f>
        <v>3226.32</v>
      </c>
      <c r="Q15" s="57">
        <v>20000</v>
      </c>
      <c r="R15" s="57">
        <v>0</v>
      </c>
      <c r="S15" s="58">
        <f t="shared" si="1"/>
        <v>356137.05000000005</v>
      </c>
      <c r="T15" s="57"/>
      <c r="U15" s="58">
        <v>15548.33</v>
      </c>
      <c r="V15" s="58">
        <f t="shared" si="2"/>
        <v>15548.33</v>
      </c>
      <c r="W15" s="58">
        <v>340588.72</v>
      </c>
      <c r="X15" s="214">
        <f t="shared" si="0"/>
        <v>340588.72000000003</v>
      </c>
    </row>
    <row r="16" spans="1:24" ht="20.100000000000001" customHeight="1" x14ac:dyDescent="0.35">
      <c r="A16" s="257" t="s">
        <v>232</v>
      </c>
      <c r="B16" s="258"/>
      <c r="C16" s="259"/>
      <c r="D16" s="59" t="s">
        <v>173</v>
      </c>
      <c r="E16" s="61" t="s">
        <v>358</v>
      </c>
      <c r="F16" s="57">
        <v>32263.200000000001</v>
      </c>
      <c r="G16" s="100"/>
      <c r="H16" s="57">
        <f>F16*300%</f>
        <v>96789.6</v>
      </c>
      <c r="I16" s="57">
        <f>F16*7.5%</f>
        <v>2419.7399999999998</v>
      </c>
      <c r="J16" s="57">
        <f>J72</f>
        <v>40122.19</v>
      </c>
      <c r="K16" s="57">
        <f>F16*50%</f>
        <v>16131.6</v>
      </c>
      <c r="L16" s="57">
        <f>F16*350%</f>
        <v>112921.2</v>
      </c>
      <c r="M16" s="57">
        <v>0</v>
      </c>
      <c r="N16" s="57">
        <f>F16*100%</f>
        <v>32263.200000000001</v>
      </c>
      <c r="O16" s="57">
        <v>0</v>
      </c>
      <c r="P16" s="57">
        <f>F16*10%</f>
        <v>3226.32</v>
      </c>
      <c r="Q16" s="57">
        <v>20000</v>
      </c>
      <c r="R16" s="57">
        <v>0</v>
      </c>
      <c r="S16" s="58">
        <f t="shared" si="1"/>
        <v>356137.05000000005</v>
      </c>
      <c r="T16" s="58"/>
      <c r="U16" s="58">
        <v>15548.33</v>
      </c>
      <c r="V16" s="58">
        <f t="shared" si="2"/>
        <v>15548.33</v>
      </c>
      <c r="W16" s="58">
        <v>340588.72</v>
      </c>
      <c r="X16" s="214">
        <f t="shared" si="0"/>
        <v>340588.72000000003</v>
      </c>
    </row>
    <row r="17" spans="1:24" ht="20.100000000000001" customHeight="1" x14ac:dyDescent="0.35">
      <c r="A17" s="257" t="s">
        <v>224</v>
      </c>
      <c r="B17" s="258"/>
      <c r="C17" s="259"/>
      <c r="D17" s="59" t="s">
        <v>32</v>
      </c>
      <c r="E17" s="61" t="s">
        <v>358</v>
      </c>
      <c r="F17" s="57">
        <v>32263.200000000001</v>
      </c>
      <c r="G17" s="100"/>
      <c r="H17" s="57">
        <f>F17*300%</f>
        <v>96789.6</v>
      </c>
      <c r="I17" s="57">
        <f>F17*7.5%</f>
        <v>2419.7399999999998</v>
      </c>
      <c r="J17" s="57">
        <f>J14</f>
        <v>40122.19</v>
      </c>
      <c r="K17" s="57">
        <f>F17*50%</f>
        <v>16131.6</v>
      </c>
      <c r="L17" s="57">
        <f>F17*350%</f>
        <v>112921.2</v>
      </c>
      <c r="M17" s="57">
        <v>0</v>
      </c>
      <c r="N17" s="57">
        <f>F17*100%</f>
        <v>32263.200000000001</v>
      </c>
      <c r="O17" s="57"/>
      <c r="P17" s="57">
        <f>F17*10%</f>
        <v>3226.32</v>
      </c>
      <c r="Q17" s="57">
        <v>20000</v>
      </c>
      <c r="R17" s="57">
        <v>0</v>
      </c>
      <c r="S17" s="58">
        <f t="shared" si="1"/>
        <v>356137.05000000005</v>
      </c>
      <c r="T17" s="58"/>
      <c r="U17" s="57">
        <v>15548.33</v>
      </c>
      <c r="V17" s="58">
        <f>U17+T17</f>
        <v>15548.33</v>
      </c>
      <c r="W17" s="58">
        <v>340588.72</v>
      </c>
      <c r="X17" s="214">
        <f t="shared" si="0"/>
        <v>340588.72000000003</v>
      </c>
    </row>
    <row r="18" spans="1:24" ht="20.100000000000001" customHeight="1" x14ac:dyDescent="0.35">
      <c r="A18" s="261" t="s">
        <v>196</v>
      </c>
      <c r="B18" s="262"/>
      <c r="C18" s="265"/>
      <c r="D18" s="55" t="s">
        <v>197</v>
      </c>
      <c r="E18" s="61" t="s">
        <v>360</v>
      </c>
      <c r="F18" s="57">
        <v>23891.119999999999</v>
      </c>
      <c r="G18" s="100"/>
      <c r="H18" s="57">
        <f t="shared" si="3"/>
        <v>71673.36</v>
      </c>
      <c r="I18" s="57">
        <f t="shared" si="4"/>
        <v>1791.8339999999998</v>
      </c>
      <c r="J18" s="57">
        <v>0</v>
      </c>
      <c r="K18" s="57">
        <f t="shared" si="5"/>
        <v>11945.56</v>
      </c>
      <c r="L18" s="57">
        <f t="shared" si="6"/>
        <v>83618.92</v>
      </c>
      <c r="M18" s="57">
        <v>0</v>
      </c>
      <c r="N18" s="57">
        <f t="shared" si="7"/>
        <v>23891.119999999999</v>
      </c>
      <c r="O18" s="57">
        <v>0</v>
      </c>
      <c r="P18" s="57">
        <f t="shared" si="8"/>
        <v>2389.1120000000001</v>
      </c>
      <c r="Q18" s="57">
        <v>15000</v>
      </c>
      <c r="R18" s="57">
        <v>0</v>
      </c>
      <c r="S18" s="58">
        <f t="shared" si="1"/>
        <v>234201.02599999998</v>
      </c>
      <c r="T18" s="58"/>
      <c r="U18" s="58">
        <v>7709</v>
      </c>
      <c r="V18" s="58">
        <f t="shared" si="2"/>
        <v>7709</v>
      </c>
      <c r="W18" s="58">
        <v>226492.03</v>
      </c>
      <c r="X18" s="214">
        <f t="shared" si="0"/>
        <v>226492.02599999998</v>
      </c>
    </row>
    <row r="19" spans="1:24" ht="20.100000000000001" customHeight="1" x14ac:dyDescent="0.35">
      <c r="A19" s="266" t="s">
        <v>234</v>
      </c>
      <c r="B19" s="266"/>
      <c r="C19" s="266"/>
      <c r="D19" s="134" t="s">
        <v>235</v>
      </c>
      <c r="E19" s="61" t="s">
        <v>360</v>
      </c>
      <c r="F19" s="57">
        <v>23891.119999999999</v>
      </c>
      <c r="G19" s="100"/>
      <c r="H19" s="57">
        <f t="shared" si="3"/>
        <v>71673.36</v>
      </c>
      <c r="I19" s="57">
        <f t="shared" si="4"/>
        <v>1791.8339999999998</v>
      </c>
      <c r="J19" s="57">
        <v>0</v>
      </c>
      <c r="K19" s="57">
        <f t="shared" si="5"/>
        <v>11945.56</v>
      </c>
      <c r="L19" s="57">
        <f t="shared" si="6"/>
        <v>83618.92</v>
      </c>
      <c r="M19" s="57">
        <v>0</v>
      </c>
      <c r="N19" s="57">
        <f t="shared" si="7"/>
        <v>23891.119999999999</v>
      </c>
      <c r="O19" s="57">
        <v>80000</v>
      </c>
      <c r="P19" s="57">
        <f t="shared" si="8"/>
        <v>2389.1120000000001</v>
      </c>
      <c r="Q19" s="57">
        <v>15000</v>
      </c>
      <c r="R19" s="57">
        <v>0</v>
      </c>
      <c r="S19" s="58">
        <f t="shared" si="1"/>
        <v>314201.02600000001</v>
      </c>
      <c r="T19" s="58"/>
      <c r="U19" s="58">
        <v>7709</v>
      </c>
      <c r="V19" s="58">
        <f t="shared" si="2"/>
        <v>7709</v>
      </c>
      <c r="W19" s="58">
        <v>306492.03000000003</v>
      </c>
      <c r="X19" s="214">
        <f t="shared" si="0"/>
        <v>306492.02600000001</v>
      </c>
    </row>
    <row r="20" spans="1:24" ht="20.100000000000001" customHeight="1" x14ac:dyDescent="0.35">
      <c r="A20" s="276" t="s">
        <v>213</v>
      </c>
      <c r="B20" s="277"/>
      <c r="C20" s="278"/>
      <c r="D20" s="234" t="s">
        <v>214</v>
      </c>
      <c r="E20" s="235" t="s">
        <v>361</v>
      </c>
      <c r="F20" s="236">
        <v>17784</v>
      </c>
      <c r="G20" s="237"/>
      <c r="H20" s="236">
        <f t="shared" si="3"/>
        <v>53352</v>
      </c>
      <c r="I20" s="236">
        <f t="shared" si="4"/>
        <v>1333.8</v>
      </c>
      <c r="J20" s="236">
        <v>0</v>
      </c>
      <c r="K20" s="236">
        <f t="shared" si="5"/>
        <v>8892</v>
      </c>
      <c r="L20" s="238">
        <f t="shared" si="6"/>
        <v>62244</v>
      </c>
      <c r="M20" s="236">
        <v>0</v>
      </c>
      <c r="N20" s="236">
        <f t="shared" si="7"/>
        <v>17784</v>
      </c>
      <c r="O20" s="236">
        <v>0</v>
      </c>
      <c r="P20" s="236">
        <f t="shared" si="8"/>
        <v>1778.4</v>
      </c>
      <c r="Q20" s="236">
        <v>10000</v>
      </c>
      <c r="R20" s="236">
        <v>0</v>
      </c>
      <c r="S20" s="238">
        <f t="shared" si="1"/>
        <v>173168.19999999998</v>
      </c>
      <c r="T20" s="238"/>
      <c r="U20" s="238">
        <v>3369.51</v>
      </c>
      <c r="V20" s="238">
        <f t="shared" si="2"/>
        <v>3369.51</v>
      </c>
      <c r="W20" s="238">
        <v>0</v>
      </c>
      <c r="X20" s="239">
        <v>0</v>
      </c>
    </row>
    <row r="21" spans="1:24" ht="20.100000000000001" customHeight="1" x14ac:dyDescent="0.35">
      <c r="A21" s="261" t="s">
        <v>216</v>
      </c>
      <c r="B21" s="262"/>
      <c r="C21" s="265"/>
      <c r="D21" s="91" t="s">
        <v>217</v>
      </c>
      <c r="E21" s="56" t="s">
        <v>361</v>
      </c>
      <c r="F21" s="57">
        <v>17784</v>
      </c>
      <c r="G21" s="100"/>
      <c r="H21" s="57">
        <f t="shared" si="3"/>
        <v>53352</v>
      </c>
      <c r="I21" s="57">
        <f t="shared" si="4"/>
        <v>1333.8</v>
      </c>
      <c r="J21" s="57">
        <v>0</v>
      </c>
      <c r="K21" s="57">
        <f t="shared" si="5"/>
        <v>8892</v>
      </c>
      <c r="L21" s="58">
        <f t="shared" si="6"/>
        <v>62244</v>
      </c>
      <c r="M21" s="57">
        <v>0</v>
      </c>
      <c r="N21" s="57">
        <f t="shared" si="7"/>
        <v>17784</v>
      </c>
      <c r="O21" s="57">
        <v>0</v>
      </c>
      <c r="P21" s="57">
        <f t="shared" si="8"/>
        <v>1778.4</v>
      </c>
      <c r="Q21" s="57">
        <v>10000</v>
      </c>
      <c r="R21" s="57">
        <v>0</v>
      </c>
      <c r="S21" s="58">
        <f t="shared" si="1"/>
        <v>173168.19999999998</v>
      </c>
      <c r="T21" s="58"/>
      <c r="U21" s="58">
        <v>3369.51</v>
      </c>
      <c r="V21" s="58">
        <f t="shared" si="2"/>
        <v>3369.51</v>
      </c>
      <c r="W21" s="58">
        <v>169798.69</v>
      </c>
      <c r="X21" s="214">
        <f t="shared" si="0"/>
        <v>169798.68999999997</v>
      </c>
    </row>
    <row r="22" spans="1:24" ht="19.5" customHeight="1" x14ac:dyDescent="0.35">
      <c r="A22" s="261" t="s">
        <v>266</v>
      </c>
      <c r="B22" s="262"/>
      <c r="C22" s="265"/>
      <c r="D22" s="104" t="s">
        <v>265</v>
      </c>
      <c r="E22" s="56" t="s">
        <v>361</v>
      </c>
      <c r="F22" s="57">
        <v>17784</v>
      </c>
      <c r="G22" s="100"/>
      <c r="H22" s="57">
        <f t="shared" si="3"/>
        <v>53352</v>
      </c>
      <c r="I22" s="57">
        <f t="shared" si="4"/>
        <v>1333.8</v>
      </c>
      <c r="J22" s="57">
        <v>0</v>
      </c>
      <c r="K22" s="57">
        <f t="shared" si="5"/>
        <v>8892</v>
      </c>
      <c r="L22" s="58">
        <f t="shared" si="6"/>
        <v>62244</v>
      </c>
      <c r="M22" s="57">
        <v>0</v>
      </c>
      <c r="N22" s="57">
        <f t="shared" si="7"/>
        <v>17784</v>
      </c>
      <c r="O22" s="57">
        <v>0</v>
      </c>
      <c r="P22" s="57">
        <f t="shared" si="8"/>
        <v>1778.4</v>
      </c>
      <c r="Q22" s="57">
        <v>10000</v>
      </c>
      <c r="R22" s="57">
        <v>0</v>
      </c>
      <c r="S22" s="58">
        <f t="shared" si="1"/>
        <v>173168.19999999998</v>
      </c>
      <c r="T22" s="58"/>
      <c r="U22" s="58">
        <v>3369.51</v>
      </c>
      <c r="V22" s="58">
        <f t="shared" si="2"/>
        <v>3369.51</v>
      </c>
      <c r="W22" s="58">
        <v>169798.69</v>
      </c>
      <c r="X22" s="214">
        <f t="shared" si="0"/>
        <v>169798.68999999997</v>
      </c>
    </row>
    <row r="23" spans="1:24" ht="19.5" customHeight="1" x14ac:dyDescent="0.35">
      <c r="A23" s="139" t="s">
        <v>315</v>
      </c>
      <c r="B23" s="148" t="s">
        <v>315</v>
      </c>
      <c r="C23" s="140"/>
      <c r="D23" s="144" t="s">
        <v>316</v>
      </c>
      <c r="E23" s="56" t="s">
        <v>361</v>
      </c>
      <c r="F23" s="57">
        <v>17784</v>
      </c>
      <c r="G23" s="100"/>
      <c r="H23" s="57">
        <f t="shared" si="3"/>
        <v>53352</v>
      </c>
      <c r="I23" s="57">
        <f t="shared" si="4"/>
        <v>1333.8</v>
      </c>
      <c r="J23" s="57"/>
      <c r="K23" s="57">
        <f t="shared" si="5"/>
        <v>8892</v>
      </c>
      <c r="L23" s="58">
        <f t="shared" si="6"/>
        <v>62244</v>
      </c>
      <c r="M23" s="57"/>
      <c r="N23" s="57">
        <f t="shared" si="7"/>
        <v>17784</v>
      </c>
      <c r="O23" s="57">
        <v>0</v>
      </c>
      <c r="P23" s="57">
        <f t="shared" si="8"/>
        <v>1778.4</v>
      </c>
      <c r="Q23" s="57">
        <v>10000</v>
      </c>
      <c r="R23" s="57"/>
      <c r="S23" s="58">
        <f t="shared" si="1"/>
        <v>173168.19999999998</v>
      </c>
      <c r="T23" s="58">
        <f>169798.69/3</f>
        <v>56599.563333333332</v>
      </c>
      <c r="U23" s="58">
        <v>3369.51</v>
      </c>
      <c r="V23" s="58">
        <f t="shared" si="2"/>
        <v>59969.073333333334</v>
      </c>
      <c r="W23" s="58">
        <v>113199.13</v>
      </c>
      <c r="X23" s="214">
        <f t="shared" si="0"/>
        <v>113199.12666666665</v>
      </c>
    </row>
    <row r="24" spans="1:24" ht="19.5" customHeight="1" x14ac:dyDescent="0.35">
      <c r="A24" s="139" t="s">
        <v>317</v>
      </c>
      <c r="B24" s="148" t="s">
        <v>317</v>
      </c>
      <c r="C24" s="140"/>
      <c r="D24" s="144" t="s">
        <v>235</v>
      </c>
      <c r="E24" s="56" t="s">
        <v>361</v>
      </c>
      <c r="F24" s="57">
        <v>17784</v>
      </c>
      <c r="G24" s="100"/>
      <c r="H24" s="57">
        <f t="shared" si="3"/>
        <v>53352</v>
      </c>
      <c r="I24" s="57">
        <f t="shared" si="4"/>
        <v>1333.8</v>
      </c>
      <c r="J24" s="57"/>
      <c r="K24" s="57">
        <f t="shared" si="5"/>
        <v>8892</v>
      </c>
      <c r="L24" s="58">
        <f t="shared" si="6"/>
        <v>62244</v>
      </c>
      <c r="M24" s="57"/>
      <c r="N24" s="57">
        <f t="shared" si="7"/>
        <v>17784</v>
      </c>
      <c r="O24" s="57"/>
      <c r="P24" s="57">
        <f t="shared" si="8"/>
        <v>1778.4</v>
      </c>
      <c r="Q24" s="57">
        <v>10000</v>
      </c>
      <c r="R24" s="57"/>
      <c r="S24" s="58">
        <f t="shared" si="1"/>
        <v>173168.19999999998</v>
      </c>
      <c r="T24" s="58"/>
      <c r="U24" s="58">
        <v>3369.51</v>
      </c>
      <c r="V24" s="58">
        <f t="shared" si="2"/>
        <v>3369.51</v>
      </c>
      <c r="W24" s="58">
        <v>169798.69</v>
      </c>
      <c r="X24" s="214">
        <f t="shared" si="0"/>
        <v>169798.68999999997</v>
      </c>
    </row>
    <row r="25" spans="1:24" ht="19.5" customHeight="1" x14ac:dyDescent="0.35">
      <c r="A25" s="172"/>
      <c r="B25" s="173" t="s">
        <v>344</v>
      </c>
      <c r="C25" s="174"/>
      <c r="D25" s="180" t="s">
        <v>337</v>
      </c>
      <c r="E25" s="56" t="s">
        <v>361</v>
      </c>
      <c r="F25" s="57">
        <v>17784</v>
      </c>
      <c r="G25" s="100"/>
      <c r="H25" s="57">
        <f t="shared" si="3"/>
        <v>53352</v>
      </c>
      <c r="I25" s="57">
        <f t="shared" si="4"/>
        <v>1333.8</v>
      </c>
      <c r="J25" s="57"/>
      <c r="K25" s="57">
        <f t="shared" si="5"/>
        <v>8892</v>
      </c>
      <c r="L25" s="58">
        <f t="shared" si="6"/>
        <v>62244</v>
      </c>
      <c r="M25" s="57"/>
      <c r="N25" s="57">
        <f t="shared" si="7"/>
        <v>17784</v>
      </c>
      <c r="O25" s="57"/>
      <c r="P25" s="57">
        <f t="shared" si="8"/>
        <v>1778.4</v>
      </c>
      <c r="Q25" s="57">
        <v>10000</v>
      </c>
      <c r="R25" s="57"/>
      <c r="S25" s="58">
        <f t="shared" si="1"/>
        <v>173168.19999999998</v>
      </c>
      <c r="T25" s="58"/>
      <c r="U25" s="58">
        <v>3369.51</v>
      </c>
      <c r="V25" s="58">
        <f t="shared" si="2"/>
        <v>3369.51</v>
      </c>
      <c r="W25" s="58">
        <v>169798.69</v>
      </c>
      <c r="X25" s="214">
        <f t="shared" si="0"/>
        <v>169798.68999999997</v>
      </c>
    </row>
    <row r="26" spans="1:24" ht="20.100000000000001" customHeight="1" x14ac:dyDescent="0.35">
      <c r="A26" s="267" t="s">
        <v>189</v>
      </c>
      <c r="B26" s="268"/>
      <c r="C26" s="269"/>
      <c r="D26" s="59" t="s">
        <v>190</v>
      </c>
      <c r="E26" s="60" t="s">
        <v>363</v>
      </c>
      <c r="F26" s="57">
        <v>12732</v>
      </c>
      <c r="G26" s="100"/>
      <c r="H26" s="57">
        <f>F26*300%</f>
        <v>38196</v>
      </c>
      <c r="I26" s="57">
        <f>F26*7.5%</f>
        <v>954.9</v>
      </c>
      <c r="J26" s="57">
        <v>0</v>
      </c>
      <c r="K26" s="57">
        <f>F26*50%</f>
        <v>6366</v>
      </c>
      <c r="L26" s="58">
        <f>F26*350%</f>
        <v>44562</v>
      </c>
      <c r="M26" s="57">
        <v>0</v>
      </c>
      <c r="N26" s="57">
        <f>F26*100%</f>
        <v>12732</v>
      </c>
      <c r="O26" s="57">
        <v>0</v>
      </c>
      <c r="P26" s="57">
        <f>F26*10%</f>
        <v>1273.2</v>
      </c>
      <c r="Q26" s="57">
        <v>10000</v>
      </c>
      <c r="R26" s="57">
        <v>0</v>
      </c>
      <c r="S26" s="58">
        <f t="shared" si="1"/>
        <v>126816.09999999999</v>
      </c>
      <c r="T26" s="58">
        <v>0</v>
      </c>
      <c r="U26" s="57">
        <v>1484.37</v>
      </c>
      <c r="V26" s="58">
        <f t="shared" si="2"/>
        <v>1484.37</v>
      </c>
      <c r="W26" s="58">
        <v>125331.73</v>
      </c>
      <c r="X26" s="214">
        <f t="shared" si="0"/>
        <v>125331.73</v>
      </c>
    </row>
    <row r="27" spans="1:24" ht="20.100000000000001" customHeight="1" x14ac:dyDescent="0.35">
      <c r="A27" s="264" t="s">
        <v>26</v>
      </c>
      <c r="B27" s="264"/>
      <c r="C27" s="264"/>
      <c r="D27" s="59" t="s">
        <v>27</v>
      </c>
      <c r="E27" s="60" t="s">
        <v>363</v>
      </c>
      <c r="F27" s="57">
        <v>12732</v>
      </c>
      <c r="G27" s="100"/>
      <c r="H27" s="57">
        <f t="shared" si="3"/>
        <v>38196</v>
      </c>
      <c r="I27" s="57">
        <f t="shared" si="4"/>
        <v>954.9</v>
      </c>
      <c r="J27" s="58">
        <v>0</v>
      </c>
      <c r="K27" s="57">
        <f t="shared" si="5"/>
        <v>6366</v>
      </c>
      <c r="L27" s="58">
        <f t="shared" si="6"/>
        <v>44562</v>
      </c>
      <c r="M27" s="57">
        <v>0</v>
      </c>
      <c r="N27" s="57">
        <f t="shared" si="7"/>
        <v>12732</v>
      </c>
      <c r="O27" s="57">
        <v>0</v>
      </c>
      <c r="P27" s="57">
        <f t="shared" si="8"/>
        <v>1273.2</v>
      </c>
      <c r="Q27" s="57">
        <v>10000</v>
      </c>
      <c r="R27" s="57">
        <v>0</v>
      </c>
      <c r="S27" s="58">
        <f t="shared" si="1"/>
        <v>126816.09999999999</v>
      </c>
      <c r="T27" s="58"/>
      <c r="U27" s="57">
        <v>1484.37</v>
      </c>
      <c r="V27" s="58">
        <f t="shared" si="2"/>
        <v>1484.37</v>
      </c>
      <c r="W27" s="58">
        <v>125331.73</v>
      </c>
      <c r="X27" s="214">
        <f t="shared" si="0"/>
        <v>125331.73</v>
      </c>
    </row>
    <row r="28" spans="1:24" ht="20.100000000000001" customHeight="1" x14ac:dyDescent="0.35">
      <c r="A28" s="257" t="s">
        <v>199</v>
      </c>
      <c r="B28" s="258"/>
      <c r="C28" s="259"/>
      <c r="D28" s="59" t="s">
        <v>200</v>
      </c>
      <c r="E28" s="60" t="s">
        <v>363</v>
      </c>
      <c r="F28" s="57">
        <v>12732</v>
      </c>
      <c r="G28" s="100"/>
      <c r="H28" s="57">
        <f t="shared" si="3"/>
        <v>38196</v>
      </c>
      <c r="I28" s="57">
        <f t="shared" si="4"/>
        <v>954.9</v>
      </c>
      <c r="J28" s="58">
        <v>0</v>
      </c>
      <c r="K28" s="57">
        <f t="shared" si="5"/>
        <v>6366</v>
      </c>
      <c r="L28" s="58">
        <f t="shared" si="6"/>
        <v>44562</v>
      </c>
      <c r="M28" s="57">
        <v>0</v>
      </c>
      <c r="N28" s="57">
        <f t="shared" si="7"/>
        <v>12732</v>
      </c>
      <c r="O28" s="57">
        <v>0</v>
      </c>
      <c r="P28" s="57">
        <f t="shared" si="8"/>
        <v>1273.2</v>
      </c>
      <c r="Q28" s="57">
        <v>10000</v>
      </c>
      <c r="R28" s="57">
        <v>0</v>
      </c>
      <c r="S28" s="58">
        <f t="shared" si="1"/>
        <v>126816.09999999999</v>
      </c>
      <c r="T28" s="58"/>
      <c r="U28" s="57">
        <v>1484.37</v>
      </c>
      <c r="V28" s="58">
        <f t="shared" si="2"/>
        <v>1484.37</v>
      </c>
      <c r="W28" s="58">
        <v>125331.73</v>
      </c>
      <c r="X28" s="214">
        <f t="shared" si="0"/>
        <v>125331.73</v>
      </c>
    </row>
    <row r="29" spans="1:24" ht="20.100000000000001" customHeight="1" x14ac:dyDescent="0.35">
      <c r="A29" s="257" t="s">
        <v>204</v>
      </c>
      <c r="B29" s="258"/>
      <c r="C29" s="259"/>
      <c r="D29" s="59" t="s">
        <v>200</v>
      </c>
      <c r="E29" s="60" t="s">
        <v>363</v>
      </c>
      <c r="F29" s="57">
        <v>12732</v>
      </c>
      <c r="G29" s="100"/>
      <c r="H29" s="57">
        <f t="shared" si="3"/>
        <v>38196</v>
      </c>
      <c r="I29" s="57">
        <f t="shared" si="4"/>
        <v>954.9</v>
      </c>
      <c r="J29" s="58">
        <v>0</v>
      </c>
      <c r="K29" s="57">
        <f t="shared" si="5"/>
        <v>6366</v>
      </c>
      <c r="L29" s="58">
        <f t="shared" si="6"/>
        <v>44562</v>
      </c>
      <c r="M29" s="57">
        <v>0</v>
      </c>
      <c r="N29" s="57">
        <f t="shared" si="7"/>
        <v>12732</v>
      </c>
      <c r="O29" s="57">
        <v>0</v>
      </c>
      <c r="P29" s="57">
        <f t="shared" si="8"/>
        <v>1273.2</v>
      </c>
      <c r="Q29" s="57">
        <v>10000</v>
      </c>
      <c r="R29" s="57">
        <v>0</v>
      </c>
      <c r="S29" s="58">
        <f t="shared" si="1"/>
        <v>126816.09999999999</v>
      </c>
      <c r="T29" s="58"/>
      <c r="U29" s="57">
        <v>1484.37</v>
      </c>
      <c r="V29" s="58">
        <f t="shared" si="2"/>
        <v>1484.37</v>
      </c>
      <c r="W29" s="58">
        <v>125331.73</v>
      </c>
      <c r="X29" s="214">
        <f t="shared" si="0"/>
        <v>125331.73</v>
      </c>
    </row>
    <row r="30" spans="1:24" ht="20.100000000000001" customHeight="1" x14ac:dyDescent="0.35">
      <c r="A30" s="257" t="s">
        <v>284</v>
      </c>
      <c r="B30" s="258"/>
      <c r="C30" s="259"/>
      <c r="D30" s="114" t="s">
        <v>285</v>
      </c>
      <c r="E30" s="60" t="s">
        <v>363</v>
      </c>
      <c r="F30" s="57">
        <v>12732</v>
      </c>
      <c r="G30" s="100">
        <v>0</v>
      </c>
      <c r="H30" s="57">
        <f t="shared" si="3"/>
        <v>38196</v>
      </c>
      <c r="I30" s="57">
        <f t="shared" si="4"/>
        <v>954.9</v>
      </c>
      <c r="J30" s="58">
        <v>0</v>
      </c>
      <c r="K30" s="57">
        <f t="shared" si="5"/>
        <v>6366</v>
      </c>
      <c r="L30" s="58">
        <f t="shared" si="6"/>
        <v>44562</v>
      </c>
      <c r="M30" s="57">
        <v>0</v>
      </c>
      <c r="N30" s="57">
        <f t="shared" si="7"/>
        <v>12732</v>
      </c>
      <c r="O30" s="57">
        <v>0</v>
      </c>
      <c r="P30" s="57">
        <f t="shared" si="8"/>
        <v>1273.2</v>
      </c>
      <c r="Q30" s="57">
        <v>10000</v>
      </c>
      <c r="R30" s="57">
        <v>0</v>
      </c>
      <c r="S30" s="58">
        <f t="shared" si="1"/>
        <v>126816.09999999999</v>
      </c>
      <c r="T30" s="58">
        <f>125331.73/3</f>
        <v>41777.243333333332</v>
      </c>
      <c r="U30" s="57">
        <v>1484.37</v>
      </c>
      <c r="V30" s="58">
        <f t="shared" si="2"/>
        <v>43261.613333333335</v>
      </c>
      <c r="W30" s="58">
        <v>250663.46</v>
      </c>
      <c r="X30" s="214">
        <f t="shared" si="0"/>
        <v>83554.486666666664</v>
      </c>
    </row>
    <row r="31" spans="1:24" ht="20.100000000000001" customHeight="1" x14ac:dyDescent="0.35">
      <c r="A31" s="257" t="s">
        <v>327</v>
      </c>
      <c r="B31" s="258"/>
      <c r="C31" s="147"/>
      <c r="D31" s="146" t="s">
        <v>328</v>
      </c>
      <c r="E31" s="60" t="s">
        <v>363</v>
      </c>
      <c r="F31" s="57">
        <v>12732</v>
      </c>
      <c r="G31" s="100"/>
      <c r="H31" s="57">
        <f t="shared" si="3"/>
        <v>38196</v>
      </c>
      <c r="I31" s="57">
        <f t="shared" si="4"/>
        <v>954.9</v>
      </c>
      <c r="J31" s="58"/>
      <c r="K31" s="57">
        <f t="shared" si="5"/>
        <v>6366</v>
      </c>
      <c r="L31" s="58">
        <f t="shared" si="6"/>
        <v>44562</v>
      </c>
      <c r="M31" s="57"/>
      <c r="N31" s="57">
        <f t="shared" si="7"/>
        <v>12732</v>
      </c>
      <c r="O31" s="57"/>
      <c r="P31" s="57">
        <f t="shared" si="8"/>
        <v>1273.2</v>
      </c>
      <c r="Q31" s="57">
        <v>10000</v>
      </c>
      <c r="R31" s="57"/>
      <c r="S31" s="58">
        <f t="shared" si="1"/>
        <v>126816.09999999999</v>
      </c>
      <c r="T31" s="58"/>
      <c r="U31" s="57">
        <v>1484.37</v>
      </c>
      <c r="V31" s="58">
        <f t="shared" si="2"/>
        <v>1484.37</v>
      </c>
      <c r="W31" s="58">
        <v>125331.73</v>
      </c>
      <c r="X31" s="214">
        <f t="shared" si="0"/>
        <v>125331.73</v>
      </c>
    </row>
    <row r="32" spans="1:24" ht="18.75" customHeight="1" x14ac:dyDescent="0.35">
      <c r="A32" s="293" t="s">
        <v>20</v>
      </c>
      <c r="B32" s="293"/>
      <c r="C32" s="293"/>
      <c r="D32" s="68">
        <v>22</v>
      </c>
      <c r="E32" s="56"/>
      <c r="F32" s="69">
        <f t="shared" ref="F32:X32" si="9">SUM(F9:F31)</f>
        <v>674660.62000000011</v>
      </c>
      <c r="G32" s="69">
        <f t="shared" si="9"/>
        <v>0</v>
      </c>
      <c r="H32" s="69">
        <f t="shared" si="9"/>
        <v>1863493.1100000003</v>
      </c>
      <c r="I32" s="69">
        <f t="shared" si="9"/>
        <v>86709.520249999987</v>
      </c>
      <c r="J32" s="69">
        <f t="shared" si="9"/>
        <v>441344.09</v>
      </c>
      <c r="K32" s="69">
        <f t="shared" si="9"/>
        <v>329305.875</v>
      </c>
      <c r="L32" s="69">
        <f t="shared" si="9"/>
        <v>2281067.7949999999</v>
      </c>
      <c r="M32" s="69">
        <f t="shared" si="9"/>
        <v>40122.19</v>
      </c>
      <c r="N32" s="69">
        <f t="shared" si="9"/>
        <v>634538.44000000006</v>
      </c>
      <c r="O32" s="69">
        <f t="shared" si="9"/>
        <v>330000</v>
      </c>
      <c r="P32" s="69">
        <f t="shared" si="9"/>
        <v>67466.066999999995</v>
      </c>
      <c r="Q32" s="69">
        <f t="shared" si="9"/>
        <v>335000</v>
      </c>
      <c r="R32" s="69">
        <f t="shared" si="9"/>
        <v>125235</v>
      </c>
      <c r="S32" s="69">
        <f t="shared" si="9"/>
        <v>7208942.7072499972</v>
      </c>
      <c r="T32" s="69">
        <f t="shared" si="9"/>
        <v>98376.806666666671</v>
      </c>
      <c r="U32" s="69">
        <f t="shared" si="9"/>
        <v>300314.16999999993</v>
      </c>
      <c r="V32" s="69">
        <f t="shared" si="9"/>
        <v>398690.97666666663</v>
      </c>
      <c r="W32" s="69">
        <f t="shared" si="9"/>
        <v>6807562.0300000031</v>
      </c>
      <c r="X32" s="215">
        <f t="shared" si="9"/>
        <v>6640453.0405833367</v>
      </c>
    </row>
    <row r="33" spans="1:26" ht="19.5" hidden="1" customHeight="1" x14ac:dyDescent="0.35">
      <c r="A33" s="282"/>
      <c r="B33" s="282"/>
      <c r="C33" s="282"/>
      <c r="D33" s="55"/>
      <c r="E33" s="56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58">
        <f>SUM(T33:U33)*0.075</f>
        <v>0</v>
      </c>
      <c r="W33" s="58"/>
      <c r="X33" s="214"/>
    </row>
    <row r="34" spans="1:26" ht="19.5" customHeight="1" x14ac:dyDescent="0.35">
      <c r="A34" s="279"/>
      <c r="B34" s="280"/>
      <c r="C34" s="281"/>
      <c r="D34" s="55"/>
      <c r="E34" s="56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58">
        <f>SUM(T34:U34)*0.075</f>
        <v>0</v>
      </c>
      <c r="W34" s="58"/>
      <c r="X34" s="214"/>
    </row>
    <row r="35" spans="1:26" ht="20.100000000000001" customHeight="1" x14ac:dyDescent="0.35">
      <c r="A35" s="283" t="s">
        <v>94</v>
      </c>
      <c r="B35" s="283"/>
      <c r="C35" s="283"/>
      <c r="D35" s="70"/>
      <c r="E35" s="71"/>
      <c r="F35" s="69"/>
      <c r="G35" s="69"/>
      <c r="H35" s="69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72"/>
      <c r="T35" s="72"/>
      <c r="U35" s="72"/>
      <c r="V35" s="58">
        <f>SUM(T35:U35)*0.075</f>
        <v>0</v>
      </c>
      <c r="W35" s="58"/>
      <c r="X35" s="214"/>
      <c r="Z35" s="220"/>
    </row>
    <row r="36" spans="1:26" ht="20.100000000000001" customHeight="1" x14ac:dyDescent="0.35">
      <c r="A36" s="257" t="s">
        <v>242</v>
      </c>
      <c r="B36" s="258"/>
      <c r="C36" s="259"/>
      <c r="D36" s="92" t="s">
        <v>243</v>
      </c>
      <c r="E36" s="60" t="s">
        <v>355</v>
      </c>
      <c r="F36" s="57">
        <f>F45</f>
        <v>79039.64</v>
      </c>
      <c r="G36" s="98"/>
      <c r="H36" s="57">
        <f t="shared" ref="H36:H41" si="10">F36*300%</f>
        <v>237118.91999999998</v>
      </c>
      <c r="I36" s="57">
        <f t="shared" ref="I36:I41" si="11">F36*7.5%</f>
        <v>5927.973</v>
      </c>
      <c r="J36" s="57">
        <v>80244.38</v>
      </c>
      <c r="K36" s="57">
        <f t="shared" ref="K36:K41" si="12">F36*50%</f>
        <v>39519.82</v>
      </c>
      <c r="L36" s="57">
        <f t="shared" ref="L36:L41" si="13">F36*350%</f>
        <v>276638.74</v>
      </c>
      <c r="M36" s="57">
        <v>0</v>
      </c>
      <c r="N36" s="57">
        <f t="shared" ref="N36:N41" si="14">F36*100%</f>
        <v>79039.64</v>
      </c>
      <c r="O36" s="57">
        <v>150000</v>
      </c>
      <c r="P36" s="57">
        <f t="shared" ref="P36:P41" si="15">F36*10%</f>
        <v>7903.9639999999999</v>
      </c>
      <c r="Q36" s="57">
        <v>20000</v>
      </c>
      <c r="R36" s="57">
        <v>0</v>
      </c>
      <c r="S36" s="58">
        <f t="shared" ref="S36:S41" si="16">SUM(F36:R36)</f>
        <v>975433.07700000005</v>
      </c>
      <c r="T36" s="58"/>
      <c r="U36" s="57">
        <v>52776.63</v>
      </c>
      <c r="V36" s="58">
        <f t="shared" ref="V36:V41" si="17">U36+T36</f>
        <v>52776.63</v>
      </c>
      <c r="W36" s="58">
        <v>922656.45</v>
      </c>
      <c r="X36" s="214">
        <f t="shared" ref="X36:X41" si="18">S36-V36</f>
        <v>922656.44700000004</v>
      </c>
    </row>
    <row r="37" spans="1:26" ht="20.100000000000001" customHeight="1" x14ac:dyDescent="0.35">
      <c r="A37" s="257" t="s">
        <v>12</v>
      </c>
      <c r="B37" s="258"/>
      <c r="C37" s="259"/>
      <c r="D37" s="59" t="s">
        <v>227</v>
      </c>
      <c r="E37" s="60" t="s">
        <v>357</v>
      </c>
      <c r="F37" s="57">
        <f>F46</f>
        <v>41157.69</v>
      </c>
      <c r="G37" s="100"/>
      <c r="H37" s="57">
        <f t="shared" si="10"/>
        <v>123473.07</v>
      </c>
      <c r="I37" s="57">
        <f t="shared" si="11"/>
        <v>3086.8267500000002</v>
      </c>
      <c r="J37" s="57">
        <f>J13</f>
        <v>40122.19</v>
      </c>
      <c r="K37" s="57">
        <f t="shared" si="12"/>
        <v>20578.845000000001</v>
      </c>
      <c r="L37" s="57">
        <f t="shared" si="13"/>
        <v>144051.91500000001</v>
      </c>
      <c r="M37" s="57">
        <v>0</v>
      </c>
      <c r="N37" s="57">
        <f t="shared" si="14"/>
        <v>41157.69</v>
      </c>
      <c r="O37" s="57">
        <v>100000</v>
      </c>
      <c r="P37" s="57">
        <f t="shared" si="15"/>
        <v>4115.7690000000002</v>
      </c>
      <c r="Q37" s="57">
        <v>20000</v>
      </c>
      <c r="R37" s="57">
        <v>0</v>
      </c>
      <c r="S37" s="58">
        <f t="shared" si="16"/>
        <v>537743.99575</v>
      </c>
      <c r="T37" s="58"/>
      <c r="U37" s="57">
        <v>21618.09</v>
      </c>
      <c r="V37" s="58">
        <f t="shared" si="17"/>
        <v>21618.09</v>
      </c>
      <c r="W37" s="58">
        <v>516125.91</v>
      </c>
      <c r="X37" s="214">
        <f t="shared" si="18"/>
        <v>516125.90574999998</v>
      </c>
    </row>
    <row r="38" spans="1:26" ht="20.100000000000001" customHeight="1" x14ac:dyDescent="0.35">
      <c r="A38" s="257" t="s">
        <v>215</v>
      </c>
      <c r="B38" s="258"/>
      <c r="C38" s="259"/>
      <c r="D38" s="55" t="s">
        <v>128</v>
      </c>
      <c r="E38" s="56" t="s">
        <v>360</v>
      </c>
      <c r="F38" s="57">
        <v>23891.119999999999</v>
      </c>
      <c r="G38" s="100"/>
      <c r="H38" s="57">
        <f t="shared" si="10"/>
        <v>71673.36</v>
      </c>
      <c r="I38" s="57">
        <f t="shared" si="11"/>
        <v>1791.8339999999998</v>
      </c>
      <c r="J38" s="57">
        <f>J54</f>
        <v>0</v>
      </c>
      <c r="K38" s="57">
        <f t="shared" si="12"/>
        <v>11945.56</v>
      </c>
      <c r="L38" s="57">
        <f t="shared" si="13"/>
        <v>83618.92</v>
      </c>
      <c r="M38" s="57">
        <v>0</v>
      </c>
      <c r="N38" s="57">
        <f t="shared" si="14"/>
        <v>23891.119999999999</v>
      </c>
      <c r="O38" s="57">
        <v>80000</v>
      </c>
      <c r="P38" s="57">
        <f t="shared" si="15"/>
        <v>2389.1120000000001</v>
      </c>
      <c r="Q38" s="57">
        <v>15000</v>
      </c>
      <c r="R38" s="57">
        <v>0</v>
      </c>
      <c r="S38" s="58">
        <f t="shared" si="16"/>
        <v>314201.02600000001</v>
      </c>
      <c r="T38" s="58"/>
      <c r="U38" s="57">
        <v>7709.76</v>
      </c>
      <c r="V38" s="58">
        <f t="shared" si="17"/>
        <v>7709.76</v>
      </c>
      <c r="W38" s="58">
        <v>306491.27</v>
      </c>
      <c r="X38" s="214">
        <f t="shared" si="18"/>
        <v>306491.266</v>
      </c>
    </row>
    <row r="39" spans="1:26" ht="20.100000000000001" customHeight="1" x14ac:dyDescent="0.35">
      <c r="A39" s="257" t="s">
        <v>209</v>
      </c>
      <c r="B39" s="258"/>
      <c r="C39" s="259"/>
      <c r="D39" s="55" t="s">
        <v>131</v>
      </c>
      <c r="E39" s="56" t="s">
        <v>361</v>
      </c>
      <c r="F39" s="57">
        <v>17784</v>
      </c>
      <c r="G39" s="100"/>
      <c r="H39" s="57">
        <f t="shared" si="10"/>
        <v>53352</v>
      </c>
      <c r="I39" s="57">
        <f t="shared" si="11"/>
        <v>1333.8</v>
      </c>
      <c r="J39" s="57">
        <v>0</v>
      </c>
      <c r="K39" s="57">
        <f t="shared" si="12"/>
        <v>8892</v>
      </c>
      <c r="L39" s="57">
        <f t="shared" si="13"/>
        <v>62244</v>
      </c>
      <c r="M39" s="57">
        <v>0</v>
      </c>
      <c r="N39" s="57">
        <f t="shared" si="14"/>
        <v>17784</v>
      </c>
      <c r="O39" s="57">
        <v>40000</v>
      </c>
      <c r="P39" s="57">
        <f t="shared" si="15"/>
        <v>1778.4</v>
      </c>
      <c r="Q39" s="57">
        <v>10000</v>
      </c>
      <c r="R39" s="57">
        <v>0</v>
      </c>
      <c r="S39" s="58">
        <f t="shared" si="16"/>
        <v>213168.19999999998</v>
      </c>
      <c r="T39" s="58"/>
      <c r="U39" s="57">
        <v>3369.51</v>
      </c>
      <c r="V39" s="58">
        <f t="shared" si="17"/>
        <v>3369.51</v>
      </c>
      <c r="W39" s="58">
        <v>209798.69</v>
      </c>
      <c r="X39" s="214">
        <f t="shared" si="18"/>
        <v>209798.68999999997</v>
      </c>
    </row>
    <row r="40" spans="1:26" ht="20.100000000000001" customHeight="1" x14ac:dyDescent="0.35">
      <c r="A40" s="112" t="s">
        <v>283</v>
      </c>
      <c r="B40" s="149" t="s">
        <v>283</v>
      </c>
      <c r="C40" s="113"/>
      <c r="D40" s="115" t="s">
        <v>131</v>
      </c>
      <c r="E40" s="56" t="s">
        <v>361</v>
      </c>
      <c r="F40" s="57">
        <v>17784</v>
      </c>
      <c r="G40" s="100"/>
      <c r="H40" s="57">
        <f t="shared" si="10"/>
        <v>53352</v>
      </c>
      <c r="I40" s="57">
        <f t="shared" si="11"/>
        <v>1333.8</v>
      </c>
      <c r="J40" s="57">
        <v>0</v>
      </c>
      <c r="K40" s="57">
        <f t="shared" si="12"/>
        <v>8892</v>
      </c>
      <c r="L40" s="57">
        <f t="shared" si="13"/>
        <v>62244</v>
      </c>
      <c r="M40" s="57">
        <v>0</v>
      </c>
      <c r="N40" s="57">
        <f t="shared" si="14"/>
        <v>17784</v>
      </c>
      <c r="O40" s="57">
        <v>40000</v>
      </c>
      <c r="P40" s="57">
        <f t="shared" si="15"/>
        <v>1778.4</v>
      </c>
      <c r="Q40" s="57">
        <v>10000</v>
      </c>
      <c r="R40" s="57">
        <v>0</v>
      </c>
      <c r="S40" s="58">
        <f t="shared" si="16"/>
        <v>213168.19999999998</v>
      </c>
      <c r="T40" s="58"/>
      <c r="U40" s="57">
        <v>3369.51</v>
      </c>
      <c r="V40" s="58">
        <f t="shared" si="17"/>
        <v>3369.51</v>
      </c>
      <c r="W40" s="58">
        <v>209798.69</v>
      </c>
      <c r="X40" s="214">
        <f t="shared" si="18"/>
        <v>209798.68999999997</v>
      </c>
    </row>
    <row r="41" spans="1:26" ht="20.100000000000001" customHeight="1" x14ac:dyDescent="0.35">
      <c r="A41" s="257" t="s">
        <v>207</v>
      </c>
      <c r="B41" s="258"/>
      <c r="C41" s="259"/>
      <c r="D41" s="55" t="s">
        <v>202</v>
      </c>
      <c r="E41" s="56" t="s">
        <v>362</v>
      </c>
      <c r="F41" s="57">
        <v>15188.67</v>
      </c>
      <c r="G41" s="100"/>
      <c r="H41" s="57">
        <f t="shared" si="10"/>
        <v>45566.01</v>
      </c>
      <c r="I41" s="57">
        <f t="shared" si="11"/>
        <v>1139.1502499999999</v>
      </c>
      <c r="J41" s="57">
        <f>J27</f>
        <v>0</v>
      </c>
      <c r="K41" s="57">
        <f t="shared" si="12"/>
        <v>7594.335</v>
      </c>
      <c r="L41" s="57">
        <f t="shared" si="13"/>
        <v>53160.345000000001</v>
      </c>
      <c r="M41" s="57">
        <v>0</v>
      </c>
      <c r="N41" s="57">
        <f t="shared" si="14"/>
        <v>15188.67</v>
      </c>
      <c r="O41" s="57">
        <v>40000</v>
      </c>
      <c r="P41" s="57">
        <f t="shared" si="15"/>
        <v>1518.8670000000002</v>
      </c>
      <c r="Q41" s="57">
        <v>10000</v>
      </c>
      <c r="R41" s="57">
        <v>0</v>
      </c>
      <c r="S41" s="58">
        <f t="shared" si="16"/>
        <v>189356.04725</v>
      </c>
      <c r="T41" s="58">
        <v>0</v>
      </c>
      <c r="U41" s="57">
        <v>2443.88</v>
      </c>
      <c r="V41" s="58">
        <f t="shared" si="17"/>
        <v>2443.88</v>
      </c>
      <c r="W41" s="58">
        <v>186912.17</v>
      </c>
      <c r="X41" s="214">
        <f t="shared" si="18"/>
        <v>186912.16725</v>
      </c>
    </row>
    <row r="42" spans="1:26" ht="20.100000000000001" customHeight="1" x14ac:dyDescent="0.35">
      <c r="A42" s="273" t="s">
        <v>20</v>
      </c>
      <c r="B42" s="273"/>
      <c r="C42" s="273"/>
      <c r="D42" s="68">
        <v>6</v>
      </c>
      <c r="E42" s="68"/>
      <c r="F42" s="73">
        <f>SUM(F36:F41)</f>
        <v>194845.12000000002</v>
      </c>
      <c r="G42" s="73">
        <f t="shared" ref="G42:X42" si="19">SUM(G36:G41)</f>
        <v>0</v>
      </c>
      <c r="H42" s="73">
        <f t="shared" si="19"/>
        <v>584535.36</v>
      </c>
      <c r="I42" s="73">
        <f t="shared" si="19"/>
        <v>14613.384</v>
      </c>
      <c r="J42" s="73">
        <f t="shared" si="19"/>
        <v>120366.57</v>
      </c>
      <c r="K42" s="73">
        <f t="shared" si="19"/>
        <v>97422.560000000012</v>
      </c>
      <c r="L42" s="73">
        <f t="shared" si="19"/>
        <v>681957.91999999993</v>
      </c>
      <c r="M42" s="73">
        <f t="shared" si="19"/>
        <v>0</v>
      </c>
      <c r="N42" s="73">
        <f t="shared" si="19"/>
        <v>194845.12000000002</v>
      </c>
      <c r="O42" s="73">
        <f t="shared" si="19"/>
        <v>450000</v>
      </c>
      <c r="P42" s="73">
        <f t="shared" si="19"/>
        <v>19484.512000000002</v>
      </c>
      <c r="Q42" s="73">
        <f t="shared" si="19"/>
        <v>85000</v>
      </c>
      <c r="R42" s="73">
        <f t="shared" si="19"/>
        <v>0</v>
      </c>
      <c r="S42" s="73">
        <f t="shared" si="19"/>
        <v>2443070.5460000001</v>
      </c>
      <c r="T42" s="73">
        <f t="shared" si="19"/>
        <v>0</v>
      </c>
      <c r="U42" s="73">
        <f t="shared" si="19"/>
        <v>91287.37999999999</v>
      </c>
      <c r="V42" s="73">
        <f t="shared" si="19"/>
        <v>91287.37999999999</v>
      </c>
      <c r="W42" s="73">
        <f t="shared" si="19"/>
        <v>2351783.1799999997</v>
      </c>
      <c r="X42" s="216">
        <f t="shared" si="19"/>
        <v>2351783.1660000002</v>
      </c>
    </row>
    <row r="43" spans="1:26" ht="20.100000000000001" customHeight="1" x14ac:dyDescent="0.35">
      <c r="A43" s="285"/>
      <c r="B43" s="286"/>
      <c r="C43" s="287"/>
      <c r="D43" s="68"/>
      <c r="E43" s="68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4"/>
      <c r="T43" s="74"/>
      <c r="U43" s="73"/>
      <c r="V43" s="58">
        <f>SUM(T43:U43)*0.075</f>
        <v>0</v>
      </c>
      <c r="W43" s="58"/>
      <c r="X43" s="214"/>
    </row>
    <row r="44" spans="1:26" ht="20.100000000000001" customHeight="1" x14ac:dyDescent="0.35">
      <c r="A44" s="125" t="s">
        <v>95</v>
      </c>
      <c r="B44" s="123"/>
      <c r="C44" s="124"/>
      <c r="D44" s="75"/>
      <c r="E44" s="68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4"/>
      <c r="T44" s="74"/>
      <c r="U44" s="73"/>
      <c r="V44" s="58">
        <f>SUM(T44:U44)*0.075</f>
        <v>0</v>
      </c>
      <c r="W44" s="58"/>
      <c r="X44" s="214"/>
    </row>
    <row r="45" spans="1:26" ht="20.100000000000001" customHeight="1" x14ac:dyDescent="0.35">
      <c r="A45" s="257" t="s">
        <v>274</v>
      </c>
      <c r="B45" s="258"/>
      <c r="C45" s="259"/>
      <c r="D45" s="105" t="s">
        <v>275</v>
      </c>
      <c r="E45" s="60" t="s">
        <v>355</v>
      </c>
      <c r="F45" s="57">
        <f>F69</f>
        <v>79039.64</v>
      </c>
      <c r="G45" s="100">
        <v>0</v>
      </c>
      <c r="H45" s="57">
        <f>F45*300%</f>
        <v>237118.91999999998</v>
      </c>
      <c r="I45" s="57">
        <f>F45*7.5%</f>
        <v>5927.973</v>
      </c>
      <c r="J45" s="57">
        <v>80244.38</v>
      </c>
      <c r="K45" s="57">
        <f>F45*50%</f>
        <v>39519.82</v>
      </c>
      <c r="L45" s="57">
        <f>F45*350%</f>
        <v>276638.74</v>
      </c>
      <c r="M45" s="57">
        <v>0</v>
      </c>
      <c r="N45" s="57">
        <f>F45*100%</f>
        <v>79039.64</v>
      </c>
      <c r="O45" s="57">
        <v>150000</v>
      </c>
      <c r="P45" s="57">
        <f>F45*10%</f>
        <v>7903.9639999999999</v>
      </c>
      <c r="Q45" s="57">
        <v>20000</v>
      </c>
      <c r="R45" s="57">
        <v>0</v>
      </c>
      <c r="S45" s="58">
        <f>SUM(F45:R45)</f>
        <v>975433.07700000005</v>
      </c>
      <c r="T45" s="58"/>
      <c r="U45" s="57">
        <v>52776.63</v>
      </c>
      <c r="V45" s="58">
        <f>U45+T45</f>
        <v>52776.63</v>
      </c>
      <c r="W45" s="58">
        <v>922656.45</v>
      </c>
      <c r="X45" s="214">
        <f t="shared" ref="X45:X61" si="20">S45-V45</f>
        <v>922656.44700000004</v>
      </c>
    </row>
    <row r="46" spans="1:26" ht="20.100000000000001" customHeight="1" x14ac:dyDescent="0.35">
      <c r="A46" s="264" t="s">
        <v>31</v>
      </c>
      <c r="B46" s="264"/>
      <c r="C46" s="264"/>
      <c r="D46" s="55" t="s">
        <v>96</v>
      </c>
      <c r="E46" s="56" t="s">
        <v>357</v>
      </c>
      <c r="F46" s="57">
        <f>F70</f>
        <v>41157.69</v>
      </c>
      <c r="G46" s="100"/>
      <c r="H46" s="57">
        <f>F46*300%</f>
        <v>123473.07</v>
      </c>
      <c r="I46" s="57">
        <f>F46*7.5%</f>
        <v>3086.8267500000002</v>
      </c>
      <c r="J46" s="57">
        <f>J37</f>
        <v>40122.19</v>
      </c>
      <c r="K46" s="57">
        <f>F46*50%</f>
        <v>20578.845000000001</v>
      </c>
      <c r="L46" s="57">
        <f>F46*350%</f>
        <v>144051.91500000001</v>
      </c>
      <c r="M46" s="57">
        <v>0</v>
      </c>
      <c r="N46" s="57">
        <f t="shared" ref="N46:N60" si="21">F46*100%</f>
        <v>41157.69</v>
      </c>
      <c r="O46" s="57">
        <f>O37</f>
        <v>100000</v>
      </c>
      <c r="P46" s="57">
        <f t="shared" ref="P46:P60" si="22">F46*10%</f>
        <v>4115.7690000000002</v>
      </c>
      <c r="Q46" s="57">
        <v>20000</v>
      </c>
      <c r="R46" s="57">
        <v>0</v>
      </c>
      <c r="S46" s="58">
        <f t="shared" ref="S46:S61" si="23">SUM(F46:R46)</f>
        <v>537743.99575</v>
      </c>
      <c r="T46" s="58"/>
      <c r="U46" s="57">
        <v>21618.09</v>
      </c>
      <c r="V46" s="58">
        <f t="shared" ref="V46:V61" si="24">U46+T46</f>
        <v>21618.09</v>
      </c>
      <c r="W46" s="58">
        <v>516125.91</v>
      </c>
      <c r="X46" s="214">
        <f t="shared" si="20"/>
        <v>516125.90574999998</v>
      </c>
    </row>
    <row r="47" spans="1:26" ht="20.100000000000001" customHeight="1" x14ac:dyDescent="0.35">
      <c r="A47" s="257" t="s">
        <v>218</v>
      </c>
      <c r="B47" s="258"/>
      <c r="C47" s="259"/>
      <c r="D47" s="55" t="s">
        <v>228</v>
      </c>
      <c r="E47" s="56" t="s">
        <v>119</v>
      </c>
      <c r="F47" s="57">
        <v>33507.5</v>
      </c>
      <c r="G47" s="100"/>
      <c r="H47" s="57">
        <f t="shared" ref="H47:H60" si="25">F47*300%</f>
        <v>100522.5</v>
      </c>
      <c r="I47" s="57">
        <f t="shared" ref="I47:I60" si="26">F47*7.5%</f>
        <v>2513.0625</v>
      </c>
      <c r="J47" s="57">
        <f>J46</f>
        <v>40122.19</v>
      </c>
      <c r="K47" s="57">
        <f t="shared" ref="K47:K60" si="27">F47*50%</f>
        <v>16753.75</v>
      </c>
      <c r="L47" s="57">
        <f t="shared" ref="L47:L60" si="28">F47*350%</f>
        <v>117276.25</v>
      </c>
      <c r="M47" s="57">
        <v>0</v>
      </c>
      <c r="N47" s="57">
        <f t="shared" si="21"/>
        <v>33507.5</v>
      </c>
      <c r="O47" s="57">
        <v>100000</v>
      </c>
      <c r="P47" s="57">
        <f t="shared" si="22"/>
        <v>3350.75</v>
      </c>
      <c r="Q47" s="57">
        <v>20000</v>
      </c>
      <c r="R47" s="57">
        <v>0</v>
      </c>
      <c r="S47" s="58">
        <f t="shared" si="23"/>
        <v>467553.5025</v>
      </c>
      <c r="T47" s="58"/>
      <c r="U47" s="57">
        <v>15548.33</v>
      </c>
      <c r="V47" s="58">
        <f t="shared" si="24"/>
        <v>15548.33</v>
      </c>
      <c r="W47" s="58">
        <v>452005.17</v>
      </c>
      <c r="X47" s="214">
        <f t="shared" si="20"/>
        <v>452005.17249999999</v>
      </c>
    </row>
    <row r="48" spans="1:26" ht="20.100000000000001" customHeight="1" x14ac:dyDescent="0.35">
      <c r="A48" s="257" t="s">
        <v>205</v>
      </c>
      <c r="B48" s="258"/>
      <c r="C48" s="259"/>
      <c r="D48" s="55" t="s">
        <v>229</v>
      </c>
      <c r="E48" s="56" t="s">
        <v>359</v>
      </c>
      <c r="F48" s="57">
        <v>25854.1</v>
      </c>
      <c r="G48" s="100"/>
      <c r="H48" s="57">
        <f t="shared" si="25"/>
        <v>77562.299999999988</v>
      </c>
      <c r="I48" s="57">
        <f t="shared" si="26"/>
        <v>1939.0574999999999</v>
      </c>
      <c r="J48" s="57">
        <v>0</v>
      </c>
      <c r="K48" s="57">
        <f t="shared" si="27"/>
        <v>12927.05</v>
      </c>
      <c r="L48" s="57">
        <f t="shared" si="28"/>
        <v>90489.349999999991</v>
      </c>
      <c r="M48" s="57">
        <v>0</v>
      </c>
      <c r="N48" s="57">
        <f t="shared" si="21"/>
        <v>25854.1</v>
      </c>
      <c r="O48" s="57">
        <v>100000</v>
      </c>
      <c r="P48" s="57">
        <f t="shared" si="22"/>
        <v>2585.41</v>
      </c>
      <c r="Q48" s="57">
        <v>20000</v>
      </c>
      <c r="R48" s="57">
        <v>0</v>
      </c>
      <c r="S48" s="58">
        <f t="shared" si="23"/>
        <v>357211.36749999999</v>
      </c>
      <c r="T48" s="58">
        <v>116071</v>
      </c>
      <c r="U48" s="57">
        <v>8998.33</v>
      </c>
      <c r="V48" s="58">
        <f t="shared" si="24"/>
        <v>125069.33</v>
      </c>
      <c r="W48" s="58">
        <v>232142.04</v>
      </c>
      <c r="X48" s="214">
        <f t="shared" si="20"/>
        <v>232142.03749999998</v>
      </c>
    </row>
    <row r="49" spans="1:24" ht="19.5" customHeight="1" x14ac:dyDescent="0.35">
      <c r="A49" s="267" t="s">
        <v>188</v>
      </c>
      <c r="B49" s="268"/>
      <c r="C49" s="269"/>
      <c r="D49" s="55" t="s">
        <v>230</v>
      </c>
      <c r="E49" s="56" t="s">
        <v>359</v>
      </c>
      <c r="F49" s="57">
        <v>25854.1</v>
      </c>
      <c r="G49" s="100"/>
      <c r="H49" s="57">
        <f t="shared" si="25"/>
        <v>77562.299999999988</v>
      </c>
      <c r="I49" s="57">
        <f t="shared" si="26"/>
        <v>1939.0574999999999</v>
      </c>
      <c r="J49" s="57">
        <v>0</v>
      </c>
      <c r="K49" s="57">
        <f t="shared" si="27"/>
        <v>12927.05</v>
      </c>
      <c r="L49" s="57">
        <f t="shared" si="28"/>
        <v>90489.349999999991</v>
      </c>
      <c r="M49" s="57">
        <v>0</v>
      </c>
      <c r="N49" s="57">
        <f t="shared" si="21"/>
        <v>25854.1</v>
      </c>
      <c r="O49" s="57">
        <v>100000</v>
      </c>
      <c r="P49" s="57">
        <f t="shared" si="22"/>
        <v>2585.41</v>
      </c>
      <c r="Q49" s="57">
        <v>20000</v>
      </c>
      <c r="R49" s="57">
        <v>0</v>
      </c>
      <c r="S49" s="58">
        <f t="shared" si="23"/>
        <v>357211.36749999999</v>
      </c>
      <c r="T49" s="58"/>
      <c r="U49" s="57">
        <v>8998.33</v>
      </c>
      <c r="V49" s="58">
        <f t="shared" si="24"/>
        <v>8998.33</v>
      </c>
      <c r="W49" s="58">
        <v>348213.04</v>
      </c>
      <c r="X49" s="214">
        <f t="shared" si="20"/>
        <v>348213.03749999998</v>
      </c>
    </row>
    <row r="50" spans="1:24" ht="20.100000000000001" customHeight="1" x14ac:dyDescent="0.35">
      <c r="A50" s="257" t="s">
        <v>233</v>
      </c>
      <c r="B50" s="258"/>
      <c r="C50" s="259"/>
      <c r="D50" s="55" t="s">
        <v>128</v>
      </c>
      <c r="E50" s="56" t="s">
        <v>360</v>
      </c>
      <c r="F50" s="57">
        <v>23891.119999999999</v>
      </c>
      <c r="G50" s="100"/>
      <c r="H50" s="57">
        <f t="shared" si="25"/>
        <v>71673.36</v>
      </c>
      <c r="I50" s="57">
        <f t="shared" si="26"/>
        <v>1791.8339999999998</v>
      </c>
      <c r="J50" s="57">
        <v>0</v>
      </c>
      <c r="K50" s="57">
        <f t="shared" si="27"/>
        <v>11945.56</v>
      </c>
      <c r="L50" s="57">
        <f t="shared" si="28"/>
        <v>83618.92</v>
      </c>
      <c r="M50" s="57">
        <v>0</v>
      </c>
      <c r="N50" s="57">
        <f t="shared" si="21"/>
        <v>23891.119999999999</v>
      </c>
      <c r="O50" s="57">
        <v>80000</v>
      </c>
      <c r="P50" s="57">
        <f t="shared" si="22"/>
        <v>2389.1120000000001</v>
      </c>
      <c r="Q50" s="57">
        <v>15000</v>
      </c>
      <c r="R50" s="57">
        <v>0</v>
      </c>
      <c r="S50" s="58">
        <f t="shared" si="23"/>
        <v>314201.02600000001</v>
      </c>
      <c r="T50" s="58"/>
      <c r="U50" s="57">
        <v>7709.76</v>
      </c>
      <c r="V50" s="58">
        <f t="shared" si="24"/>
        <v>7709.76</v>
      </c>
      <c r="W50" s="58">
        <v>306491.27</v>
      </c>
      <c r="X50" s="214">
        <f t="shared" si="20"/>
        <v>306491.266</v>
      </c>
    </row>
    <row r="51" spans="1:24" ht="20.100000000000001" customHeight="1" x14ac:dyDescent="0.35">
      <c r="A51" s="257" t="s">
        <v>276</v>
      </c>
      <c r="B51" s="258"/>
      <c r="C51" s="259"/>
      <c r="D51" s="106" t="s">
        <v>128</v>
      </c>
      <c r="E51" s="56" t="s">
        <v>360</v>
      </c>
      <c r="F51" s="57">
        <v>23891.119999999999</v>
      </c>
      <c r="G51" s="100"/>
      <c r="H51" s="57">
        <f>F51*300%</f>
        <v>71673.36</v>
      </c>
      <c r="I51" s="57">
        <f>F51*7.5%</f>
        <v>1791.8339999999998</v>
      </c>
      <c r="J51" s="57">
        <v>0</v>
      </c>
      <c r="K51" s="57">
        <f>F51*50%</f>
        <v>11945.56</v>
      </c>
      <c r="L51" s="57">
        <f>F51*350%</f>
        <v>83618.92</v>
      </c>
      <c r="M51" s="57">
        <v>0</v>
      </c>
      <c r="N51" s="57">
        <f>F51*100%</f>
        <v>23891.119999999999</v>
      </c>
      <c r="O51" s="57">
        <v>80000</v>
      </c>
      <c r="P51" s="57">
        <f>F51*10%</f>
        <v>2389.1120000000001</v>
      </c>
      <c r="Q51" s="57">
        <v>15000</v>
      </c>
      <c r="R51" s="57">
        <v>0</v>
      </c>
      <c r="S51" s="58">
        <f t="shared" si="23"/>
        <v>314201.02600000001</v>
      </c>
      <c r="T51" s="58"/>
      <c r="U51" s="57">
        <v>7709.76</v>
      </c>
      <c r="V51" s="58">
        <f t="shared" si="24"/>
        <v>7709.76</v>
      </c>
      <c r="W51" s="58">
        <v>306491.27</v>
      </c>
      <c r="X51" s="214">
        <f t="shared" si="20"/>
        <v>306491.266</v>
      </c>
    </row>
    <row r="52" spans="1:24" ht="20.100000000000001" customHeight="1" x14ac:dyDescent="0.35">
      <c r="A52" s="257" t="s">
        <v>312</v>
      </c>
      <c r="B52" s="258"/>
      <c r="C52" s="135"/>
      <c r="D52" s="136" t="s">
        <v>377</v>
      </c>
      <c r="E52" s="56" t="s">
        <v>360</v>
      </c>
      <c r="F52" s="57">
        <v>23891.119999999999</v>
      </c>
      <c r="G52" s="100">
        <v>0</v>
      </c>
      <c r="H52" s="57">
        <f>F52*300%</f>
        <v>71673.36</v>
      </c>
      <c r="I52" s="57">
        <f>F52*7.5%</f>
        <v>1791.8339999999998</v>
      </c>
      <c r="J52" s="57">
        <v>0</v>
      </c>
      <c r="K52" s="57">
        <f>F52*50%</f>
        <v>11945.56</v>
      </c>
      <c r="L52" s="57">
        <f>F52*350%</f>
        <v>83618.92</v>
      </c>
      <c r="M52" s="57"/>
      <c r="N52" s="57">
        <f>F52*100%</f>
        <v>23891.119999999999</v>
      </c>
      <c r="O52" s="57">
        <v>80000</v>
      </c>
      <c r="P52" s="57">
        <f>F52*10%</f>
        <v>2389.1120000000001</v>
      </c>
      <c r="Q52" s="57">
        <v>15000</v>
      </c>
      <c r="R52" s="57">
        <v>50000</v>
      </c>
      <c r="S52" s="58">
        <f t="shared" si="23"/>
        <v>364201.02600000001</v>
      </c>
      <c r="T52" s="58"/>
      <c r="U52" s="57">
        <v>7709.76</v>
      </c>
      <c r="V52" s="58">
        <f>U52+T52</f>
        <v>7709.76</v>
      </c>
      <c r="W52" s="58">
        <v>540692.30000000005</v>
      </c>
      <c r="X52" s="214">
        <f t="shared" si="20"/>
        <v>356491.266</v>
      </c>
    </row>
    <row r="53" spans="1:24" ht="20.100000000000001" customHeight="1" x14ac:dyDescent="0.35">
      <c r="A53" s="294" t="s">
        <v>282</v>
      </c>
      <c r="B53" s="295"/>
      <c r="C53" s="296"/>
      <c r="D53" s="234" t="s">
        <v>128</v>
      </c>
      <c r="E53" s="235" t="s">
        <v>360</v>
      </c>
      <c r="F53" s="236">
        <v>23891.119999999999</v>
      </c>
      <c r="G53" s="237"/>
      <c r="H53" s="236">
        <f>F53*300%</f>
        <v>71673.36</v>
      </c>
      <c r="I53" s="236">
        <f>F53*7.5%</f>
        <v>1791.8339999999998</v>
      </c>
      <c r="J53" s="236">
        <v>0</v>
      </c>
      <c r="K53" s="236">
        <f>F53*50%</f>
        <v>11945.56</v>
      </c>
      <c r="L53" s="236">
        <f>F53*350%</f>
        <v>83618.92</v>
      </c>
      <c r="M53" s="236">
        <v>0</v>
      </c>
      <c r="N53" s="236">
        <f>F53*100%</f>
        <v>23891.119999999999</v>
      </c>
      <c r="O53" s="236">
        <v>80000</v>
      </c>
      <c r="P53" s="236">
        <f>F53*10%</f>
        <v>2389.1120000000001</v>
      </c>
      <c r="Q53" s="236">
        <v>15000</v>
      </c>
      <c r="R53" s="236">
        <v>0</v>
      </c>
      <c r="S53" s="238">
        <f t="shared" si="23"/>
        <v>314201.02600000001</v>
      </c>
      <c r="T53" s="238"/>
      <c r="U53" s="236">
        <v>7709.76</v>
      </c>
      <c r="V53" s="238">
        <f>U53+T53</f>
        <v>7709.76</v>
      </c>
      <c r="W53" s="238">
        <v>0</v>
      </c>
      <c r="X53" s="239">
        <v>0</v>
      </c>
    </row>
    <row r="54" spans="1:24" ht="20.100000000000001" customHeight="1" x14ac:dyDescent="0.35">
      <c r="A54" s="266" t="s">
        <v>24</v>
      </c>
      <c r="B54" s="266"/>
      <c r="C54" s="266"/>
      <c r="D54" s="55" t="s">
        <v>378</v>
      </c>
      <c r="E54" s="56" t="s">
        <v>80</v>
      </c>
      <c r="F54" s="57">
        <v>18732</v>
      </c>
      <c r="G54" s="100">
        <v>0</v>
      </c>
      <c r="H54" s="57">
        <f>F54*300%</f>
        <v>56196</v>
      </c>
      <c r="I54" s="57">
        <f>F54*7.5%</f>
        <v>1404.8999999999999</v>
      </c>
      <c r="J54" s="57">
        <v>0</v>
      </c>
      <c r="K54" s="57">
        <f>F54*50%</f>
        <v>9366</v>
      </c>
      <c r="L54" s="58">
        <f>F54*350%</f>
        <v>65562</v>
      </c>
      <c r="M54" s="57">
        <v>0</v>
      </c>
      <c r="N54" s="57">
        <f>F54*100%</f>
        <v>18732</v>
      </c>
      <c r="O54" s="57">
        <v>40000</v>
      </c>
      <c r="P54" s="57">
        <f>F54*10%</f>
        <v>1873.2</v>
      </c>
      <c r="Q54" s="57">
        <v>15000</v>
      </c>
      <c r="R54" s="57">
        <v>0</v>
      </c>
      <c r="S54" s="58">
        <f t="shared" si="23"/>
        <v>226866.1</v>
      </c>
      <c r="T54" s="58"/>
      <c r="U54" s="58">
        <v>3369.51</v>
      </c>
      <c r="V54" s="58">
        <f t="shared" si="24"/>
        <v>3369.51</v>
      </c>
      <c r="W54" s="58">
        <v>410362.69</v>
      </c>
      <c r="X54" s="214">
        <f t="shared" si="20"/>
        <v>223496.59</v>
      </c>
    </row>
    <row r="55" spans="1:24" ht="20.100000000000001" customHeight="1" x14ac:dyDescent="0.35">
      <c r="A55" s="65" t="s">
        <v>186</v>
      </c>
      <c r="B55" s="149" t="s">
        <v>186</v>
      </c>
      <c r="C55" s="67"/>
      <c r="D55" s="55" t="s">
        <v>187</v>
      </c>
      <c r="E55" s="56" t="s">
        <v>361</v>
      </c>
      <c r="F55" s="57">
        <v>17784</v>
      </c>
      <c r="G55" s="100"/>
      <c r="H55" s="57">
        <f t="shared" si="25"/>
        <v>53352</v>
      </c>
      <c r="I55" s="57">
        <f t="shared" si="26"/>
        <v>1333.8</v>
      </c>
      <c r="J55" s="57">
        <v>0</v>
      </c>
      <c r="K55" s="57">
        <f t="shared" si="27"/>
        <v>8892</v>
      </c>
      <c r="L55" s="57">
        <f t="shared" si="28"/>
        <v>62244</v>
      </c>
      <c r="M55" s="57">
        <v>0</v>
      </c>
      <c r="N55" s="57">
        <f t="shared" si="21"/>
        <v>17784</v>
      </c>
      <c r="O55" s="57">
        <v>40000</v>
      </c>
      <c r="P55" s="57">
        <f t="shared" si="22"/>
        <v>1778.4</v>
      </c>
      <c r="Q55" s="57">
        <v>10000</v>
      </c>
      <c r="R55" s="57">
        <v>0</v>
      </c>
      <c r="S55" s="58">
        <f t="shared" si="23"/>
        <v>213168.19999999998</v>
      </c>
      <c r="T55" s="58"/>
      <c r="U55" s="58">
        <v>3369.51</v>
      </c>
      <c r="V55" s="58">
        <f t="shared" si="24"/>
        <v>3369.51</v>
      </c>
      <c r="W55" s="58">
        <v>209798.69</v>
      </c>
      <c r="X55" s="214">
        <f t="shared" si="20"/>
        <v>209798.68999999997</v>
      </c>
    </row>
    <row r="56" spans="1:24" ht="20.100000000000001" customHeight="1" x14ac:dyDescent="0.35">
      <c r="A56" s="257" t="s">
        <v>198</v>
      </c>
      <c r="B56" s="258"/>
      <c r="C56" s="259"/>
      <c r="D56" s="55" t="s">
        <v>131</v>
      </c>
      <c r="E56" s="56" t="s">
        <v>361</v>
      </c>
      <c r="F56" s="57">
        <v>17784</v>
      </c>
      <c r="G56" s="100"/>
      <c r="H56" s="57">
        <f t="shared" si="25"/>
        <v>53352</v>
      </c>
      <c r="I56" s="57">
        <f t="shared" si="26"/>
        <v>1333.8</v>
      </c>
      <c r="J56" s="57">
        <v>0</v>
      </c>
      <c r="K56" s="57">
        <f t="shared" si="27"/>
        <v>8892</v>
      </c>
      <c r="L56" s="57">
        <f t="shared" si="28"/>
        <v>62244</v>
      </c>
      <c r="M56" s="57">
        <v>0</v>
      </c>
      <c r="N56" s="57">
        <f t="shared" si="21"/>
        <v>17784</v>
      </c>
      <c r="O56" s="57">
        <v>40000</v>
      </c>
      <c r="P56" s="57">
        <f t="shared" si="22"/>
        <v>1778.4</v>
      </c>
      <c r="Q56" s="57">
        <v>10000</v>
      </c>
      <c r="R56" s="57">
        <v>0</v>
      </c>
      <c r="S56" s="58">
        <f t="shared" si="23"/>
        <v>213168.19999999998</v>
      </c>
      <c r="T56" s="58"/>
      <c r="U56" s="58">
        <v>3369.51</v>
      </c>
      <c r="V56" s="58">
        <f t="shared" si="24"/>
        <v>3369.51</v>
      </c>
      <c r="W56" s="58">
        <v>209798.69</v>
      </c>
      <c r="X56" s="214">
        <f t="shared" si="20"/>
        <v>209798.68999999997</v>
      </c>
    </row>
    <row r="57" spans="1:24" ht="20.100000000000001" customHeight="1" x14ac:dyDescent="0.35">
      <c r="A57" s="129" t="s">
        <v>308</v>
      </c>
      <c r="B57" s="149" t="s">
        <v>308</v>
      </c>
      <c r="C57" s="132"/>
      <c r="D57" s="131" t="s">
        <v>309</v>
      </c>
      <c r="E57" s="56" t="s">
        <v>361</v>
      </c>
      <c r="F57" s="57">
        <v>17784</v>
      </c>
      <c r="G57" s="100"/>
      <c r="H57" s="57">
        <f>F57*300%</f>
        <v>53352</v>
      </c>
      <c r="I57" s="57">
        <f>F57*7.5%</f>
        <v>1333.8</v>
      </c>
      <c r="J57" s="57">
        <v>0</v>
      </c>
      <c r="K57" s="57">
        <f>F57*50%</f>
        <v>8892</v>
      </c>
      <c r="L57" s="57">
        <f>F57*350%</f>
        <v>62244</v>
      </c>
      <c r="M57" s="57"/>
      <c r="N57" s="57">
        <f>F57*100%</f>
        <v>17784</v>
      </c>
      <c r="O57" s="57">
        <v>40000</v>
      </c>
      <c r="P57" s="57">
        <f>F57*10%</f>
        <v>1778.4</v>
      </c>
      <c r="Q57" s="57">
        <v>10000</v>
      </c>
      <c r="R57" s="57"/>
      <c r="S57" s="58">
        <f t="shared" si="23"/>
        <v>213168.19999999998</v>
      </c>
      <c r="T57" s="58"/>
      <c r="U57" s="58">
        <v>3369.51</v>
      </c>
      <c r="V57" s="58">
        <f t="shared" si="24"/>
        <v>3369.51</v>
      </c>
      <c r="W57" s="58">
        <v>209798.69</v>
      </c>
      <c r="X57" s="214">
        <f t="shared" si="20"/>
        <v>209798.68999999997</v>
      </c>
    </row>
    <row r="58" spans="1:24" ht="20.100000000000001" customHeight="1" x14ac:dyDescent="0.35">
      <c r="A58" s="257" t="s">
        <v>201</v>
      </c>
      <c r="B58" s="258"/>
      <c r="C58" s="259"/>
      <c r="D58" s="55" t="s">
        <v>202</v>
      </c>
      <c r="E58" s="56" t="s">
        <v>362</v>
      </c>
      <c r="F58" s="57">
        <v>15188.67</v>
      </c>
      <c r="G58" s="100"/>
      <c r="H58" s="57">
        <f t="shared" si="25"/>
        <v>45566.01</v>
      </c>
      <c r="I58" s="57">
        <f t="shared" si="26"/>
        <v>1139.1502499999999</v>
      </c>
      <c r="J58" s="57">
        <v>0</v>
      </c>
      <c r="K58" s="57">
        <f t="shared" si="27"/>
        <v>7594.335</v>
      </c>
      <c r="L58" s="57">
        <f t="shared" si="28"/>
        <v>53160.345000000001</v>
      </c>
      <c r="M58" s="57">
        <v>0</v>
      </c>
      <c r="N58" s="57">
        <f t="shared" si="21"/>
        <v>15188.67</v>
      </c>
      <c r="O58" s="57">
        <v>40000</v>
      </c>
      <c r="P58" s="57">
        <f t="shared" si="22"/>
        <v>1518.8670000000002</v>
      </c>
      <c r="Q58" s="57">
        <v>10000</v>
      </c>
      <c r="R58" s="57">
        <v>0</v>
      </c>
      <c r="S58" s="58">
        <f t="shared" si="23"/>
        <v>189356.04725</v>
      </c>
      <c r="T58" s="58"/>
      <c r="U58" s="57">
        <v>2443.88</v>
      </c>
      <c r="V58" s="58">
        <f t="shared" si="24"/>
        <v>2443.88</v>
      </c>
      <c r="W58" s="58">
        <v>186912.17</v>
      </c>
      <c r="X58" s="214">
        <f t="shared" si="20"/>
        <v>186912.16725</v>
      </c>
    </row>
    <row r="59" spans="1:24" ht="20.100000000000001" customHeight="1" x14ac:dyDescent="0.35">
      <c r="A59" s="257" t="s">
        <v>210</v>
      </c>
      <c r="B59" s="258"/>
      <c r="C59" s="259"/>
      <c r="D59" s="55" t="s">
        <v>202</v>
      </c>
      <c r="E59" s="56" t="s">
        <v>362</v>
      </c>
      <c r="F59" s="57">
        <v>15188.67</v>
      </c>
      <c r="G59" s="100"/>
      <c r="H59" s="57">
        <f t="shared" si="25"/>
        <v>45566.01</v>
      </c>
      <c r="I59" s="57">
        <f t="shared" si="26"/>
        <v>1139.1502499999999</v>
      </c>
      <c r="J59" s="57">
        <v>0</v>
      </c>
      <c r="K59" s="57">
        <f t="shared" si="27"/>
        <v>7594.335</v>
      </c>
      <c r="L59" s="57">
        <f t="shared" si="28"/>
        <v>53160.345000000001</v>
      </c>
      <c r="M59" s="57">
        <v>0</v>
      </c>
      <c r="N59" s="57">
        <f t="shared" si="21"/>
        <v>15188.67</v>
      </c>
      <c r="O59" s="57">
        <v>40000</v>
      </c>
      <c r="P59" s="57">
        <f t="shared" si="22"/>
        <v>1518.8670000000002</v>
      </c>
      <c r="Q59" s="57">
        <v>10000</v>
      </c>
      <c r="R59" s="57">
        <v>0</v>
      </c>
      <c r="S59" s="58">
        <f t="shared" si="23"/>
        <v>189356.04725</v>
      </c>
      <c r="T59" s="58"/>
      <c r="U59" s="57">
        <v>2443.88</v>
      </c>
      <c r="V59" s="58">
        <f t="shared" si="24"/>
        <v>2443.88</v>
      </c>
      <c r="W59" s="58">
        <v>186912.17</v>
      </c>
      <c r="X59" s="214">
        <f t="shared" si="20"/>
        <v>186912.16725</v>
      </c>
    </row>
    <row r="60" spans="1:24" ht="20.100000000000001" customHeight="1" x14ac:dyDescent="0.35">
      <c r="A60" s="257" t="s">
        <v>208</v>
      </c>
      <c r="B60" s="258"/>
      <c r="C60" s="259"/>
      <c r="D60" s="55" t="s">
        <v>202</v>
      </c>
      <c r="E60" s="56" t="s">
        <v>362</v>
      </c>
      <c r="F60" s="57">
        <v>15188.67</v>
      </c>
      <c r="G60" s="100"/>
      <c r="H60" s="57">
        <f t="shared" si="25"/>
        <v>45566.01</v>
      </c>
      <c r="I60" s="57">
        <f t="shared" si="26"/>
        <v>1139.1502499999999</v>
      </c>
      <c r="J60" s="57">
        <v>0</v>
      </c>
      <c r="K60" s="57">
        <f t="shared" si="27"/>
        <v>7594.335</v>
      </c>
      <c r="L60" s="57">
        <f t="shared" si="28"/>
        <v>53160.345000000001</v>
      </c>
      <c r="M60" s="57"/>
      <c r="N60" s="57">
        <f t="shared" si="21"/>
        <v>15188.67</v>
      </c>
      <c r="O60" s="57">
        <v>40000</v>
      </c>
      <c r="P60" s="57">
        <f t="shared" si="22"/>
        <v>1518.8670000000002</v>
      </c>
      <c r="Q60" s="57">
        <v>10000</v>
      </c>
      <c r="R60" s="57">
        <v>0</v>
      </c>
      <c r="S60" s="58">
        <f t="shared" si="23"/>
        <v>189356.04725</v>
      </c>
      <c r="T60" s="58"/>
      <c r="U60" s="57">
        <v>2443.88</v>
      </c>
      <c r="V60" s="58">
        <f t="shared" si="24"/>
        <v>2443.88</v>
      </c>
      <c r="W60" s="58">
        <v>186912.17</v>
      </c>
      <c r="X60" s="214">
        <f t="shared" si="20"/>
        <v>186912.16725</v>
      </c>
    </row>
    <row r="61" spans="1:24" ht="20.100000000000001" customHeight="1" x14ac:dyDescent="0.35">
      <c r="A61" s="257" t="s">
        <v>280</v>
      </c>
      <c r="B61" s="258"/>
      <c r="C61" s="259"/>
      <c r="D61" s="106" t="s">
        <v>202</v>
      </c>
      <c r="E61" s="56" t="s">
        <v>362</v>
      </c>
      <c r="F61" s="57">
        <v>15188.67</v>
      </c>
      <c r="G61" s="100"/>
      <c r="H61" s="57">
        <f>F61*300%</f>
        <v>45566.01</v>
      </c>
      <c r="I61" s="57">
        <f>F61*7.5%</f>
        <v>1139.1502499999999</v>
      </c>
      <c r="J61" s="57">
        <v>0</v>
      </c>
      <c r="K61" s="57">
        <f>F61*50%</f>
        <v>7594.335</v>
      </c>
      <c r="L61" s="57">
        <f>F61*350%</f>
        <v>53160.345000000001</v>
      </c>
      <c r="M61" s="57"/>
      <c r="N61" s="57">
        <f>F61*100%</f>
        <v>15188.67</v>
      </c>
      <c r="O61" s="57">
        <v>40000</v>
      </c>
      <c r="P61" s="57">
        <f>F61*10%</f>
        <v>1518.8670000000002</v>
      </c>
      <c r="Q61" s="57">
        <v>10000</v>
      </c>
      <c r="R61" s="57"/>
      <c r="S61" s="58">
        <f t="shared" si="23"/>
        <v>189356.04725</v>
      </c>
      <c r="T61" s="58"/>
      <c r="U61" s="57">
        <v>2443.88</v>
      </c>
      <c r="V61" s="58">
        <f t="shared" si="24"/>
        <v>2443.88</v>
      </c>
      <c r="W61" s="58">
        <v>186912.17</v>
      </c>
      <c r="X61" s="214">
        <f t="shared" si="20"/>
        <v>186912.16725</v>
      </c>
    </row>
    <row r="62" spans="1:24" ht="20.100000000000001" customHeight="1" x14ac:dyDescent="0.35">
      <c r="A62" s="257" t="s">
        <v>163</v>
      </c>
      <c r="B62" s="258"/>
      <c r="C62" s="259"/>
      <c r="D62" s="227" t="s">
        <v>202</v>
      </c>
      <c r="E62" s="60" t="s">
        <v>203</v>
      </c>
      <c r="F62" s="57">
        <v>14736.14</v>
      </c>
      <c r="G62" s="100">
        <v>0</v>
      </c>
      <c r="H62" s="57">
        <f>F62*300%</f>
        <v>44208.42</v>
      </c>
      <c r="I62" s="57">
        <f>F62*7.5%</f>
        <v>1105.2104999999999</v>
      </c>
      <c r="J62" s="57">
        <v>0</v>
      </c>
      <c r="K62" s="57">
        <f>F62*50%</f>
        <v>7368.07</v>
      </c>
      <c r="L62" s="58">
        <f>F62*350%</f>
        <v>51576.49</v>
      </c>
      <c r="M62" s="57">
        <v>0</v>
      </c>
      <c r="N62" s="57">
        <f>F62*100%</f>
        <v>14736.14</v>
      </c>
      <c r="O62" s="57">
        <v>40000</v>
      </c>
      <c r="P62" s="57">
        <f>F62*10%</f>
        <v>1473.614</v>
      </c>
      <c r="Q62" s="57">
        <v>10000</v>
      </c>
      <c r="R62" s="57">
        <v>0</v>
      </c>
      <c r="S62" s="58">
        <f>SUM(F62:R62)</f>
        <v>185204.0845</v>
      </c>
      <c r="T62" s="58"/>
      <c r="U62" s="57">
        <v>2443.88</v>
      </c>
      <c r="V62" s="58">
        <v>2443.88</v>
      </c>
      <c r="W62" s="58">
        <v>182760.2</v>
      </c>
      <c r="X62" s="214">
        <f>S62-V62</f>
        <v>182760.20449999999</v>
      </c>
    </row>
    <row r="63" spans="1:24" ht="20.100000000000001" customHeight="1" x14ac:dyDescent="0.35">
      <c r="A63" s="257" t="s">
        <v>160</v>
      </c>
      <c r="B63" s="258"/>
      <c r="C63" s="259"/>
      <c r="D63" s="227" t="s">
        <v>202</v>
      </c>
      <c r="E63" s="60" t="s">
        <v>203</v>
      </c>
      <c r="F63" s="57">
        <v>14736.14</v>
      </c>
      <c r="G63" s="100">
        <v>0</v>
      </c>
      <c r="H63" s="57">
        <f>F63*300%</f>
        <v>44208.42</v>
      </c>
      <c r="I63" s="57">
        <f>F63*7.5%</f>
        <v>1105.2104999999999</v>
      </c>
      <c r="J63" s="57">
        <v>0</v>
      </c>
      <c r="K63" s="57">
        <f>F63*50%</f>
        <v>7368.07</v>
      </c>
      <c r="L63" s="58">
        <f>F63*350%</f>
        <v>51576.49</v>
      </c>
      <c r="M63" s="57">
        <v>0</v>
      </c>
      <c r="N63" s="57">
        <f>F63*100%</f>
        <v>14736.14</v>
      </c>
      <c r="O63" s="57">
        <v>40000</v>
      </c>
      <c r="P63" s="57">
        <f>F63*10%</f>
        <v>1473.614</v>
      </c>
      <c r="Q63" s="57">
        <v>10000</v>
      </c>
      <c r="R63" s="57">
        <v>0</v>
      </c>
      <c r="S63" s="58">
        <f>SUM(F63:R63)</f>
        <v>185204.0845</v>
      </c>
      <c r="T63" s="58"/>
      <c r="U63" s="57">
        <v>2443.88</v>
      </c>
      <c r="V63" s="58">
        <v>2443.88</v>
      </c>
      <c r="W63" s="58">
        <v>182760.2</v>
      </c>
      <c r="X63" s="214">
        <f>S63-V63</f>
        <v>182760.20449999999</v>
      </c>
    </row>
    <row r="64" spans="1:24" ht="20.100000000000001" customHeight="1" x14ac:dyDescent="0.35">
      <c r="A64" s="264" t="s">
        <v>45</v>
      </c>
      <c r="B64" s="264"/>
      <c r="C64" s="264"/>
      <c r="D64" s="227" t="s">
        <v>202</v>
      </c>
      <c r="E64" s="60" t="s">
        <v>203</v>
      </c>
      <c r="F64" s="57">
        <v>14736.14</v>
      </c>
      <c r="G64" s="100">
        <v>0</v>
      </c>
      <c r="H64" s="57">
        <f>F64*300%</f>
        <v>44208.42</v>
      </c>
      <c r="I64" s="57">
        <f>F64*7.5%</f>
        <v>1105.2104999999999</v>
      </c>
      <c r="J64" s="57">
        <v>0</v>
      </c>
      <c r="K64" s="57">
        <f>F64*50%</f>
        <v>7368.07</v>
      </c>
      <c r="L64" s="58">
        <f>F64*350%</f>
        <v>51576.49</v>
      </c>
      <c r="M64" s="57">
        <v>0</v>
      </c>
      <c r="N64" s="57">
        <f>F64*100%</f>
        <v>14736.14</v>
      </c>
      <c r="O64" s="57">
        <v>40000</v>
      </c>
      <c r="P64" s="57">
        <f>F64*10%</f>
        <v>1473.614</v>
      </c>
      <c r="Q64" s="57">
        <v>10000</v>
      </c>
      <c r="R64" s="57">
        <v>0</v>
      </c>
      <c r="S64" s="58">
        <f>SUM(F64:R64)</f>
        <v>185204.0845</v>
      </c>
      <c r="T64" s="58"/>
      <c r="U64" s="57">
        <v>2443.88</v>
      </c>
      <c r="V64" s="58">
        <v>2443.88</v>
      </c>
      <c r="W64" s="58">
        <v>182760.2</v>
      </c>
      <c r="X64" s="214">
        <f>S64-V64</f>
        <v>182760.20449999999</v>
      </c>
    </row>
    <row r="65" spans="1:24" ht="20.100000000000001" customHeight="1" x14ac:dyDescent="0.35">
      <c r="A65" s="257" t="s">
        <v>162</v>
      </c>
      <c r="B65" s="258"/>
      <c r="C65" s="259"/>
      <c r="D65" s="227" t="s">
        <v>202</v>
      </c>
      <c r="E65" s="60" t="s">
        <v>203</v>
      </c>
      <c r="F65" s="57">
        <v>14736.14</v>
      </c>
      <c r="G65" s="100">
        <v>0</v>
      </c>
      <c r="H65" s="57">
        <f>F65*300%</f>
        <v>44208.42</v>
      </c>
      <c r="I65" s="57">
        <f>F65*7.5%</f>
        <v>1105.2104999999999</v>
      </c>
      <c r="J65" s="57">
        <v>0</v>
      </c>
      <c r="K65" s="57">
        <f>F65*50%</f>
        <v>7368.07</v>
      </c>
      <c r="L65" s="58">
        <f>F65*350%</f>
        <v>51576.49</v>
      </c>
      <c r="M65" s="57">
        <v>0</v>
      </c>
      <c r="N65" s="57">
        <f>F65*100%</f>
        <v>14736.14</v>
      </c>
      <c r="O65" s="57">
        <v>40000</v>
      </c>
      <c r="P65" s="57">
        <f>F65*10%</f>
        <v>1473.614</v>
      </c>
      <c r="Q65" s="57">
        <v>10000</v>
      </c>
      <c r="R65" s="57">
        <v>0</v>
      </c>
      <c r="S65" s="58">
        <f>SUM(F65:R65)</f>
        <v>185204.0845</v>
      </c>
      <c r="T65" s="58"/>
      <c r="U65" s="57">
        <v>2443.88</v>
      </c>
      <c r="V65" s="58">
        <v>2443.88</v>
      </c>
      <c r="W65" s="58">
        <v>182760.2</v>
      </c>
      <c r="X65" s="214">
        <f>S65-V65</f>
        <v>182760.20449999999</v>
      </c>
    </row>
    <row r="66" spans="1:24" ht="20.100000000000001" customHeight="1" x14ac:dyDescent="0.35">
      <c r="A66" s="273" t="s">
        <v>20</v>
      </c>
      <c r="B66" s="273"/>
      <c r="C66" s="273"/>
      <c r="D66" s="68">
        <v>20</v>
      </c>
      <c r="E66" s="68"/>
      <c r="F66" s="73">
        <f>SUM(F45:F65)</f>
        <v>492760.75</v>
      </c>
      <c r="G66" s="73">
        <f t="shared" ref="G66:X66" si="29">SUM(G45:G65)</f>
        <v>0</v>
      </c>
      <c r="H66" s="73">
        <f t="shared" si="29"/>
        <v>1478282.2499999998</v>
      </c>
      <c r="I66" s="73">
        <f t="shared" si="29"/>
        <v>36957.056249999994</v>
      </c>
      <c r="J66" s="73">
        <f t="shared" si="29"/>
        <v>160488.76</v>
      </c>
      <c r="K66" s="73">
        <f t="shared" si="29"/>
        <v>246380.375</v>
      </c>
      <c r="L66" s="73">
        <f t="shared" si="29"/>
        <v>1724662.625</v>
      </c>
      <c r="M66" s="73">
        <f t="shared" si="29"/>
        <v>0</v>
      </c>
      <c r="N66" s="73">
        <f t="shared" si="29"/>
        <v>492760.75</v>
      </c>
      <c r="O66" s="73">
        <f t="shared" si="29"/>
        <v>1350000</v>
      </c>
      <c r="P66" s="73">
        <f t="shared" si="29"/>
        <v>49276.075000000004</v>
      </c>
      <c r="Q66" s="73">
        <f t="shared" si="29"/>
        <v>285000</v>
      </c>
      <c r="R66" s="73">
        <f t="shared" si="29"/>
        <v>50000</v>
      </c>
      <c r="S66" s="73">
        <f t="shared" si="29"/>
        <v>6366568.6412499994</v>
      </c>
      <c r="T66" s="73">
        <f t="shared" si="29"/>
        <v>116071</v>
      </c>
      <c r="U66" s="73">
        <f t="shared" si="29"/>
        <v>171807.83000000007</v>
      </c>
      <c r="V66" s="73">
        <f t="shared" si="29"/>
        <v>287878.83000000007</v>
      </c>
      <c r="W66" s="73">
        <f t="shared" si="29"/>
        <v>6143265.6900000013</v>
      </c>
      <c r="X66" s="73">
        <f t="shared" si="29"/>
        <v>5772198.5452499995</v>
      </c>
    </row>
    <row r="68" spans="1:24" ht="20.100000000000001" customHeight="1" x14ac:dyDescent="0.35">
      <c r="A68" s="248" t="s">
        <v>154</v>
      </c>
      <c r="B68" s="249"/>
      <c r="C68" s="250"/>
      <c r="D68" s="68"/>
      <c r="E68" s="68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4"/>
      <c r="T68" s="74"/>
      <c r="U68" s="73"/>
      <c r="V68" s="58"/>
      <c r="W68" s="58"/>
      <c r="X68" s="214"/>
    </row>
    <row r="69" spans="1:24" ht="20.100000000000001" customHeight="1" x14ac:dyDescent="0.35">
      <c r="A69" s="257" t="s">
        <v>150</v>
      </c>
      <c r="B69" s="258"/>
      <c r="C69" s="259"/>
      <c r="D69" s="59" t="s">
        <v>231</v>
      </c>
      <c r="E69" s="60" t="s">
        <v>355</v>
      </c>
      <c r="F69" s="57">
        <f>'17.9'!E4</f>
        <v>79039.64</v>
      </c>
      <c r="G69" s="100">
        <v>0</v>
      </c>
      <c r="H69" s="57">
        <f t="shared" ref="H69:H89" si="30">F69*300%</f>
        <v>237118.91999999998</v>
      </c>
      <c r="I69" s="57">
        <f t="shared" ref="I69:I75" si="31">F69*7.5%</f>
        <v>5927.973</v>
      </c>
      <c r="J69" s="57">
        <v>80244.38</v>
      </c>
      <c r="K69" s="57">
        <f t="shared" ref="K69:K89" si="32">F69*50%</f>
        <v>39519.82</v>
      </c>
      <c r="L69" s="57">
        <f t="shared" ref="L69:L89" si="33">F69*350%</f>
        <v>276638.74</v>
      </c>
      <c r="M69" s="57">
        <v>0</v>
      </c>
      <c r="N69" s="57">
        <f t="shared" ref="N69:N89" si="34">F69*100%</f>
        <v>79039.64</v>
      </c>
      <c r="O69" s="57">
        <v>0</v>
      </c>
      <c r="P69" s="57">
        <f t="shared" ref="P69:P89" si="35">F69*10%</f>
        <v>7903.9639999999999</v>
      </c>
      <c r="Q69" s="57">
        <v>20000</v>
      </c>
      <c r="R69" s="57">
        <v>0</v>
      </c>
      <c r="S69" s="58">
        <f t="shared" ref="S69:S124" si="36">SUM(F69:R69)</f>
        <v>825433.07700000005</v>
      </c>
      <c r="T69" s="58"/>
      <c r="U69" s="57">
        <v>52776.63</v>
      </c>
      <c r="V69" s="58">
        <f>U69+T69</f>
        <v>52776.63</v>
      </c>
      <c r="W69" s="58">
        <v>1573313.91</v>
      </c>
      <c r="X69" s="214">
        <f t="shared" ref="X69:X109" si="37">S69-V69</f>
        <v>772656.44700000004</v>
      </c>
    </row>
    <row r="70" spans="1:24" ht="20.100000000000001" customHeight="1" x14ac:dyDescent="0.35">
      <c r="A70" s="264" t="s">
        <v>34</v>
      </c>
      <c r="B70" s="264"/>
      <c r="C70" s="264"/>
      <c r="D70" s="59" t="s">
        <v>35</v>
      </c>
      <c r="E70" s="60" t="s">
        <v>357</v>
      </c>
      <c r="F70" s="57">
        <v>41157.69</v>
      </c>
      <c r="G70" s="100">
        <v>0</v>
      </c>
      <c r="H70" s="57">
        <f>F70*300%</f>
        <v>123473.07</v>
      </c>
      <c r="I70" s="57">
        <f t="shared" si="31"/>
        <v>3086.8267500000002</v>
      </c>
      <c r="J70" s="57">
        <f>J71</f>
        <v>40122.19</v>
      </c>
      <c r="K70" s="57">
        <f>F70*50%</f>
        <v>20578.845000000001</v>
      </c>
      <c r="L70" s="57">
        <f>F70*350%</f>
        <v>144051.91500000001</v>
      </c>
      <c r="M70" s="57">
        <v>0</v>
      </c>
      <c r="N70" s="57">
        <f>F70*100%</f>
        <v>41157.69</v>
      </c>
      <c r="O70" s="57">
        <v>0</v>
      </c>
      <c r="P70" s="57">
        <f>F70*10%</f>
        <v>4115.7690000000002</v>
      </c>
      <c r="Q70" s="57">
        <v>20000</v>
      </c>
      <c r="R70" s="57">
        <v>0</v>
      </c>
      <c r="S70" s="58">
        <f t="shared" si="36"/>
        <v>437743.99575</v>
      </c>
      <c r="T70" s="58"/>
      <c r="U70" s="57">
        <v>21618.09</v>
      </c>
      <c r="V70" s="58">
        <f t="shared" ref="V70:V109" si="38">U70+T70</f>
        <v>21618.09</v>
      </c>
      <c r="W70" s="58">
        <v>853869.91</v>
      </c>
      <c r="X70" s="214">
        <f t="shared" si="37"/>
        <v>416125.90574999998</v>
      </c>
    </row>
    <row r="71" spans="1:24" ht="20.100000000000001" customHeight="1" x14ac:dyDescent="0.35">
      <c r="A71" s="264" t="s">
        <v>36</v>
      </c>
      <c r="B71" s="264"/>
      <c r="C71" s="264"/>
      <c r="D71" s="59" t="s">
        <v>51</v>
      </c>
      <c r="E71" s="60" t="s">
        <v>357</v>
      </c>
      <c r="F71" s="57">
        <v>41157.69</v>
      </c>
      <c r="G71" s="100"/>
      <c r="H71" s="57">
        <f t="shared" si="30"/>
        <v>123473.07</v>
      </c>
      <c r="I71" s="57">
        <f t="shared" si="31"/>
        <v>3086.8267500000002</v>
      </c>
      <c r="J71" s="57">
        <v>40122.19</v>
      </c>
      <c r="K71" s="57">
        <f t="shared" si="32"/>
        <v>20578.845000000001</v>
      </c>
      <c r="L71" s="57">
        <f t="shared" si="33"/>
        <v>144051.91500000001</v>
      </c>
      <c r="M71" s="57">
        <v>0</v>
      </c>
      <c r="N71" s="57">
        <f t="shared" si="34"/>
        <v>41157.69</v>
      </c>
      <c r="O71" s="57">
        <v>0</v>
      </c>
      <c r="P71" s="57">
        <f t="shared" si="35"/>
        <v>4115.7690000000002</v>
      </c>
      <c r="Q71" s="57">
        <v>20000</v>
      </c>
      <c r="R71" s="57">
        <v>0</v>
      </c>
      <c r="S71" s="58">
        <f t="shared" si="36"/>
        <v>437743.99575</v>
      </c>
      <c r="T71" s="58"/>
      <c r="U71" s="57">
        <v>21618.09</v>
      </c>
      <c r="V71" s="58">
        <f t="shared" si="38"/>
        <v>21618.09</v>
      </c>
      <c r="W71" s="58">
        <v>416125.91</v>
      </c>
      <c r="X71" s="214">
        <f t="shared" si="37"/>
        <v>416125.90574999998</v>
      </c>
    </row>
    <row r="72" spans="1:24" ht="20.100000000000001" customHeight="1" x14ac:dyDescent="0.35">
      <c r="A72" s="257" t="s">
        <v>156</v>
      </c>
      <c r="B72" s="258"/>
      <c r="C72" s="259"/>
      <c r="D72" s="59" t="s">
        <v>157</v>
      </c>
      <c r="E72" s="60" t="s">
        <v>358</v>
      </c>
      <c r="F72" s="57">
        <v>32263.200000000001</v>
      </c>
      <c r="G72" s="100"/>
      <c r="H72" s="57">
        <f t="shared" si="30"/>
        <v>96789.6</v>
      </c>
      <c r="I72" s="57">
        <f t="shared" si="31"/>
        <v>2419.7399999999998</v>
      </c>
      <c r="J72" s="57">
        <f>J71</f>
        <v>40122.19</v>
      </c>
      <c r="K72" s="57">
        <f t="shared" si="32"/>
        <v>16131.6</v>
      </c>
      <c r="L72" s="57">
        <f>F72*350%</f>
        <v>112921.2</v>
      </c>
      <c r="M72" s="57">
        <v>0</v>
      </c>
      <c r="N72" s="57">
        <f t="shared" si="34"/>
        <v>32263.200000000001</v>
      </c>
      <c r="O72" s="57">
        <v>0</v>
      </c>
      <c r="P72" s="57">
        <f t="shared" si="35"/>
        <v>3226.32</v>
      </c>
      <c r="Q72" s="57">
        <v>20000</v>
      </c>
      <c r="R72" s="57">
        <v>0</v>
      </c>
      <c r="S72" s="58">
        <f t="shared" si="36"/>
        <v>356137.05000000005</v>
      </c>
      <c r="T72" s="58"/>
      <c r="U72" s="57">
        <v>15548.33</v>
      </c>
      <c r="V72" s="58">
        <f t="shared" si="38"/>
        <v>15548.33</v>
      </c>
      <c r="W72" s="58">
        <v>340588.72</v>
      </c>
      <c r="X72" s="214">
        <f t="shared" si="37"/>
        <v>340588.72000000003</v>
      </c>
    </row>
    <row r="73" spans="1:24" ht="20.100000000000001" customHeight="1" x14ac:dyDescent="0.35">
      <c r="A73" s="267" t="s">
        <v>180</v>
      </c>
      <c r="B73" s="268"/>
      <c r="C73" s="269"/>
      <c r="D73" s="59" t="s">
        <v>181</v>
      </c>
      <c r="E73" s="60" t="s">
        <v>358</v>
      </c>
      <c r="F73" s="57">
        <v>32263.200000000001</v>
      </c>
      <c r="G73" s="100">
        <v>0</v>
      </c>
      <c r="H73" s="57">
        <f t="shared" si="30"/>
        <v>96789.6</v>
      </c>
      <c r="I73" s="57">
        <f t="shared" si="31"/>
        <v>2419.7399999999998</v>
      </c>
      <c r="J73" s="57">
        <f>J15</f>
        <v>40122.19</v>
      </c>
      <c r="K73" s="57">
        <f t="shared" si="32"/>
        <v>16131.6</v>
      </c>
      <c r="L73" s="57">
        <f>F73*350%</f>
        <v>112921.2</v>
      </c>
      <c r="M73" s="57">
        <v>0</v>
      </c>
      <c r="N73" s="57">
        <f t="shared" si="34"/>
        <v>32263.200000000001</v>
      </c>
      <c r="O73" s="57">
        <v>0</v>
      </c>
      <c r="P73" s="57">
        <f t="shared" si="35"/>
        <v>3226.32</v>
      </c>
      <c r="Q73" s="57">
        <v>20000</v>
      </c>
      <c r="R73" s="57">
        <v>0</v>
      </c>
      <c r="S73" s="58">
        <f t="shared" si="36"/>
        <v>356137.05000000005</v>
      </c>
      <c r="T73" s="58"/>
      <c r="U73" s="57">
        <v>15548.33</v>
      </c>
      <c r="V73" s="58">
        <f t="shared" si="38"/>
        <v>15548.33</v>
      </c>
      <c r="W73" s="58">
        <v>696725.77</v>
      </c>
      <c r="X73" s="214">
        <f t="shared" si="37"/>
        <v>340588.72000000003</v>
      </c>
    </row>
    <row r="74" spans="1:24" ht="20.100000000000001" customHeight="1" x14ac:dyDescent="0.35">
      <c r="A74" s="264" t="s">
        <v>37</v>
      </c>
      <c r="B74" s="264"/>
      <c r="C74" s="264"/>
      <c r="D74" s="59" t="s">
        <v>352</v>
      </c>
      <c r="E74" s="60" t="s">
        <v>360</v>
      </c>
      <c r="F74" s="57">
        <v>23891.119999999999</v>
      </c>
      <c r="G74" s="100">
        <v>0</v>
      </c>
      <c r="H74" s="57">
        <f t="shared" si="30"/>
        <v>71673.36</v>
      </c>
      <c r="I74" s="57">
        <f t="shared" si="31"/>
        <v>1791.8339999999998</v>
      </c>
      <c r="J74" s="57">
        <v>0</v>
      </c>
      <c r="K74" s="57">
        <f t="shared" si="32"/>
        <v>11945.56</v>
      </c>
      <c r="L74" s="58">
        <f t="shared" si="33"/>
        <v>83618.92</v>
      </c>
      <c r="M74" s="57">
        <v>0</v>
      </c>
      <c r="N74" s="57">
        <f t="shared" si="34"/>
        <v>23891.119999999999</v>
      </c>
      <c r="O74" s="57">
        <v>0</v>
      </c>
      <c r="P74" s="57">
        <f t="shared" si="35"/>
        <v>2389.1120000000001</v>
      </c>
      <c r="Q74" s="57">
        <v>15000</v>
      </c>
      <c r="R74" s="57">
        <v>0</v>
      </c>
      <c r="S74" s="58">
        <f t="shared" si="36"/>
        <v>234201.02599999998</v>
      </c>
      <c r="T74" s="58"/>
      <c r="U74" s="57">
        <v>7709.76</v>
      </c>
      <c r="V74" s="58">
        <f t="shared" si="38"/>
        <v>7709.76</v>
      </c>
      <c r="W74" s="58">
        <v>460692.3</v>
      </c>
      <c r="X74" s="214">
        <f t="shared" si="37"/>
        <v>226491.26599999997</v>
      </c>
    </row>
    <row r="75" spans="1:24" ht="20.100000000000001" customHeight="1" x14ac:dyDescent="0.35">
      <c r="A75" s="257" t="s">
        <v>138</v>
      </c>
      <c r="B75" s="258"/>
      <c r="C75" s="259"/>
      <c r="D75" s="59" t="s">
        <v>139</v>
      </c>
      <c r="E75" s="60" t="s">
        <v>361</v>
      </c>
      <c r="F75" s="57">
        <v>17784</v>
      </c>
      <c r="G75" s="100"/>
      <c r="H75" s="57">
        <f t="shared" si="30"/>
        <v>53352</v>
      </c>
      <c r="I75" s="57">
        <f t="shared" si="31"/>
        <v>1333.8</v>
      </c>
      <c r="J75" s="57">
        <v>0</v>
      </c>
      <c r="K75" s="57">
        <f t="shared" si="32"/>
        <v>8892</v>
      </c>
      <c r="L75" s="58">
        <f t="shared" si="33"/>
        <v>62244</v>
      </c>
      <c r="M75" s="57">
        <v>0</v>
      </c>
      <c r="N75" s="57">
        <f t="shared" si="34"/>
        <v>17784</v>
      </c>
      <c r="O75" s="57">
        <v>0</v>
      </c>
      <c r="P75" s="57">
        <f t="shared" si="35"/>
        <v>1778.4</v>
      </c>
      <c r="Q75" s="57">
        <v>10000</v>
      </c>
      <c r="R75" s="57">
        <v>0</v>
      </c>
      <c r="S75" s="58">
        <f t="shared" si="36"/>
        <v>173168.19999999998</v>
      </c>
      <c r="T75" s="58"/>
      <c r="U75" s="57">
        <v>3369.51</v>
      </c>
      <c r="V75" s="58">
        <f t="shared" si="38"/>
        <v>3369.51</v>
      </c>
      <c r="W75" s="58">
        <v>169798.69</v>
      </c>
      <c r="X75" s="214">
        <f t="shared" si="37"/>
        <v>169798.68999999997</v>
      </c>
    </row>
    <row r="76" spans="1:24" ht="20.100000000000001" customHeight="1" x14ac:dyDescent="0.35">
      <c r="A76" s="257" t="s">
        <v>158</v>
      </c>
      <c r="B76" s="258"/>
      <c r="C76" s="259"/>
      <c r="D76" s="59" t="s">
        <v>165</v>
      </c>
      <c r="E76" s="60" t="s">
        <v>361</v>
      </c>
      <c r="F76" s="57">
        <v>17784</v>
      </c>
      <c r="G76" s="100"/>
      <c r="H76" s="57">
        <f t="shared" si="30"/>
        <v>53352</v>
      </c>
      <c r="I76" s="57">
        <f t="shared" ref="I76:I87" si="39">F76*7.5%</f>
        <v>1333.8</v>
      </c>
      <c r="J76" s="57">
        <v>0</v>
      </c>
      <c r="K76" s="57">
        <f t="shared" si="32"/>
        <v>8892</v>
      </c>
      <c r="L76" s="58">
        <f t="shared" si="33"/>
        <v>62244</v>
      </c>
      <c r="M76" s="57">
        <v>0</v>
      </c>
      <c r="N76" s="57">
        <f t="shared" si="34"/>
        <v>17784</v>
      </c>
      <c r="O76" s="57">
        <v>0</v>
      </c>
      <c r="P76" s="57">
        <f t="shared" si="35"/>
        <v>1778.4</v>
      </c>
      <c r="Q76" s="57">
        <v>10000</v>
      </c>
      <c r="R76" s="57">
        <v>0</v>
      </c>
      <c r="S76" s="58">
        <f t="shared" si="36"/>
        <v>173168.19999999998</v>
      </c>
      <c r="T76" s="58">
        <v>0</v>
      </c>
      <c r="U76" s="57">
        <v>3369.51</v>
      </c>
      <c r="V76" s="58">
        <f t="shared" si="38"/>
        <v>3369.51</v>
      </c>
      <c r="W76" s="58">
        <v>169798.69</v>
      </c>
      <c r="X76" s="214">
        <f t="shared" si="37"/>
        <v>169798.68999999997</v>
      </c>
    </row>
    <row r="77" spans="1:24" ht="20.100000000000001" customHeight="1" x14ac:dyDescent="0.35">
      <c r="A77" s="257" t="s">
        <v>159</v>
      </c>
      <c r="B77" s="258"/>
      <c r="C77" s="259"/>
      <c r="D77" s="59" t="s">
        <v>165</v>
      </c>
      <c r="E77" s="60" t="s">
        <v>361</v>
      </c>
      <c r="F77" s="57">
        <v>17784</v>
      </c>
      <c r="G77" s="100"/>
      <c r="H77" s="57">
        <f t="shared" si="30"/>
        <v>53352</v>
      </c>
      <c r="I77" s="57">
        <f t="shared" si="39"/>
        <v>1333.8</v>
      </c>
      <c r="J77" s="57">
        <v>0</v>
      </c>
      <c r="K77" s="57">
        <f t="shared" si="32"/>
        <v>8892</v>
      </c>
      <c r="L77" s="58">
        <f t="shared" si="33"/>
        <v>62244</v>
      </c>
      <c r="M77" s="57">
        <v>0</v>
      </c>
      <c r="N77" s="57">
        <f t="shared" si="34"/>
        <v>17784</v>
      </c>
      <c r="O77" s="57">
        <v>0</v>
      </c>
      <c r="P77" s="57">
        <f t="shared" si="35"/>
        <v>1778.4</v>
      </c>
      <c r="Q77" s="57">
        <v>10000</v>
      </c>
      <c r="R77" s="57">
        <v>0</v>
      </c>
      <c r="S77" s="58">
        <f t="shared" si="36"/>
        <v>173168.19999999998</v>
      </c>
      <c r="T77" s="58"/>
      <c r="U77" s="57">
        <v>3369.51</v>
      </c>
      <c r="V77" s="58">
        <f t="shared" si="38"/>
        <v>3369.51</v>
      </c>
      <c r="W77" s="58">
        <v>169798.69</v>
      </c>
      <c r="X77" s="214">
        <f t="shared" si="37"/>
        <v>169798.68999999997</v>
      </c>
    </row>
    <row r="78" spans="1:24" ht="20.100000000000001" customHeight="1" x14ac:dyDescent="0.35">
      <c r="A78" s="257" t="s">
        <v>169</v>
      </c>
      <c r="B78" s="258"/>
      <c r="C78" s="259"/>
      <c r="D78" s="59" t="s">
        <v>170</v>
      </c>
      <c r="E78" s="60" t="s">
        <v>361</v>
      </c>
      <c r="F78" s="57">
        <v>17784</v>
      </c>
      <c r="G78" s="100"/>
      <c r="H78" s="57">
        <f t="shared" si="30"/>
        <v>53352</v>
      </c>
      <c r="I78" s="57">
        <f t="shared" si="39"/>
        <v>1333.8</v>
      </c>
      <c r="J78" s="57">
        <v>0</v>
      </c>
      <c r="K78" s="57">
        <f t="shared" si="32"/>
        <v>8892</v>
      </c>
      <c r="L78" s="58">
        <f t="shared" si="33"/>
        <v>62244</v>
      </c>
      <c r="M78" s="57">
        <v>0</v>
      </c>
      <c r="N78" s="57">
        <f t="shared" si="34"/>
        <v>17784</v>
      </c>
      <c r="O78" s="57">
        <v>0</v>
      </c>
      <c r="P78" s="57">
        <f t="shared" si="35"/>
        <v>1778.4</v>
      </c>
      <c r="Q78" s="57">
        <v>10000</v>
      </c>
      <c r="R78" s="57">
        <v>0</v>
      </c>
      <c r="S78" s="58">
        <f t="shared" si="36"/>
        <v>173168.19999999998</v>
      </c>
      <c r="T78" s="58"/>
      <c r="U78" s="57">
        <v>3369.51</v>
      </c>
      <c r="V78" s="58">
        <f t="shared" si="38"/>
        <v>3369.51</v>
      </c>
      <c r="W78" s="58">
        <v>169798.69</v>
      </c>
      <c r="X78" s="214">
        <f t="shared" si="37"/>
        <v>169798.68999999997</v>
      </c>
    </row>
    <row r="79" spans="1:24" ht="19.5" customHeight="1" x14ac:dyDescent="0.35">
      <c r="A79" s="257" t="s">
        <v>174</v>
      </c>
      <c r="B79" s="258"/>
      <c r="C79" s="259"/>
      <c r="D79" s="59" t="s">
        <v>175</v>
      </c>
      <c r="E79" s="60" t="s">
        <v>361</v>
      </c>
      <c r="F79" s="57">
        <v>17784</v>
      </c>
      <c r="G79" s="100"/>
      <c r="H79" s="57">
        <f t="shared" si="30"/>
        <v>53352</v>
      </c>
      <c r="I79" s="57">
        <f t="shared" si="39"/>
        <v>1333.8</v>
      </c>
      <c r="J79" s="57">
        <v>0</v>
      </c>
      <c r="K79" s="57">
        <f t="shared" si="32"/>
        <v>8892</v>
      </c>
      <c r="L79" s="58">
        <f t="shared" si="33"/>
        <v>62244</v>
      </c>
      <c r="M79" s="57">
        <v>0</v>
      </c>
      <c r="N79" s="57">
        <f t="shared" si="34"/>
        <v>17784</v>
      </c>
      <c r="O79" s="57">
        <v>0</v>
      </c>
      <c r="P79" s="57">
        <f t="shared" si="35"/>
        <v>1778.4</v>
      </c>
      <c r="Q79" s="57">
        <v>10000</v>
      </c>
      <c r="R79" s="57">
        <v>0</v>
      </c>
      <c r="S79" s="58">
        <f t="shared" si="36"/>
        <v>173168.19999999998</v>
      </c>
      <c r="T79" s="58"/>
      <c r="U79" s="57">
        <v>3369.51</v>
      </c>
      <c r="V79" s="58">
        <f t="shared" si="38"/>
        <v>3369.51</v>
      </c>
      <c r="W79" s="58">
        <v>169798.69</v>
      </c>
      <c r="X79" s="214">
        <f t="shared" si="37"/>
        <v>169798.68999999997</v>
      </c>
    </row>
    <row r="80" spans="1:24" ht="20.100000000000001" customHeight="1" x14ac:dyDescent="0.35">
      <c r="A80" s="257" t="s">
        <v>191</v>
      </c>
      <c r="B80" s="258"/>
      <c r="C80" s="259"/>
      <c r="D80" s="59" t="s">
        <v>192</v>
      </c>
      <c r="E80" s="60" t="s">
        <v>361</v>
      </c>
      <c r="F80" s="57">
        <v>17784</v>
      </c>
      <c r="G80" s="100">
        <v>0</v>
      </c>
      <c r="H80" s="57">
        <f t="shared" si="30"/>
        <v>53352</v>
      </c>
      <c r="I80" s="57">
        <f t="shared" si="39"/>
        <v>1333.8</v>
      </c>
      <c r="J80" s="57">
        <v>0</v>
      </c>
      <c r="K80" s="57">
        <f t="shared" si="32"/>
        <v>8892</v>
      </c>
      <c r="L80" s="58">
        <f t="shared" si="33"/>
        <v>62244</v>
      </c>
      <c r="M80" s="57">
        <v>0</v>
      </c>
      <c r="N80" s="57">
        <f t="shared" si="34"/>
        <v>17784</v>
      </c>
      <c r="O80" s="57">
        <v>0</v>
      </c>
      <c r="P80" s="57">
        <f t="shared" si="35"/>
        <v>1778.4</v>
      </c>
      <c r="Q80" s="57">
        <v>10000</v>
      </c>
      <c r="R80" s="57">
        <v>0</v>
      </c>
      <c r="S80" s="58">
        <f t="shared" si="36"/>
        <v>173168.19999999998</v>
      </c>
      <c r="T80" s="58"/>
      <c r="U80" s="57">
        <v>3369.51</v>
      </c>
      <c r="V80" s="58">
        <f t="shared" si="38"/>
        <v>3369.51</v>
      </c>
      <c r="W80" s="58">
        <v>342966.89</v>
      </c>
      <c r="X80" s="214">
        <f t="shared" si="37"/>
        <v>169798.68999999997</v>
      </c>
    </row>
    <row r="81" spans="1:24" ht="20.100000000000001" customHeight="1" x14ac:dyDescent="0.35">
      <c r="A81" s="257" t="s">
        <v>161</v>
      </c>
      <c r="B81" s="258"/>
      <c r="C81" s="259"/>
      <c r="D81" s="59" t="s">
        <v>167</v>
      </c>
      <c r="E81" s="60" t="s">
        <v>363</v>
      </c>
      <c r="F81" s="57">
        <v>12732</v>
      </c>
      <c r="G81" s="100"/>
      <c r="H81" s="57">
        <f t="shared" si="30"/>
        <v>38196</v>
      </c>
      <c r="I81" s="57">
        <f t="shared" si="39"/>
        <v>954.9</v>
      </c>
      <c r="J81" s="57">
        <v>0</v>
      </c>
      <c r="K81" s="57">
        <f t="shared" si="32"/>
        <v>6366</v>
      </c>
      <c r="L81" s="58">
        <f t="shared" si="33"/>
        <v>44562</v>
      </c>
      <c r="M81" s="57">
        <v>0</v>
      </c>
      <c r="N81" s="57">
        <f t="shared" si="34"/>
        <v>12732</v>
      </c>
      <c r="O81" s="57">
        <v>0</v>
      </c>
      <c r="P81" s="57">
        <f t="shared" si="35"/>
        <v>1273.2</v>
      </c>
      <c r="Q81" s="57">
        <v>10000</v>
      </c>
      <c r="R81" s="57">
        <v>0</v>
      </c>
      <c r="S81" s="58">
        <f t="shared" si="36"/>
        <v>126816.09999999999</v>
      </c>
      <c r="T81" s="58"/>
      <c r="U81" s="57">
        <v>1484.37</v>
      </c>
      <c r="V81" s="58">
        <f t="shared" si="38"/>
        <v>1484.37</v>
      </c>
      <c r="W81" s="58">
        <v>125331.73</v>
      </c>
      <c r="X81" s="214">
        <f t="shared" si="37"/>
        <v>125331.73</v>
      </c>
    </row>
    <row r="82" spans="1:24" ht="20.100000000000001" customHeight="1" x14ac:dyDescent="0.35">
      <c r="A82" s="257" t="s">
        <v>164</v>
      </c>
      <c r="B82" s="258"/>
      <c r="C82" s="259"/>
      <c r="D82" s="59" t="s">
        <v>167</v>
      </c>
      <c r="E82" s="60" t="s">
        <v>363</v>
      </c>
      <c r="F82" s="57">
        <v>12732</v>
      </c>
      <c r="G82" s="100"/>
      <c r="H82" s="57">
        <f t="shared" si="30"/>
        <v>38196</v>
      </c>
      <c r="I82" s="57">
        <f t="shared" si="39"/>
        <v>954.9</v>
      </c>
      <c r="J82" s="57">
        <v>0</v>
      </c>
      <c r="K82" s="57">
        <f t="shared" si="32"/>
        <v>6366</v>
      </c>
      <c r="L82" s="58">
        <f t="shared" si="33"/>
        <v>44562</v>
      </c>
      <c r="M82" s="57">
        <v>0</v>
      </c>
      <c r="N82" s="57">
        <f t="shared" si="34"/>
        <v>12732</v>
      </c>
      <c r="O82" s="57">
        <v>0</v>
      </c>
      <c r="P82" s="57">
        <f t="shared" ref="P82:P87" si="40">F82*10%</f>
        <v>1273.2</v>
      </c>
      <c r="Q82" s="57">
        <v>10000</v>
      </c>
      <c r="R82" s="57">
        <v>0</v>
      </c>
      <c r="S82" s="58">
        <f t="shared" si="36"/>
        <v>126816.09999999999</v>
      </c>
      <c r="T82" s="58"/>
      <c r="U82" s="57">
        <v>1484.37</v>
      </c>
      <c r="V82" s="58">
        <f t="shared" si="38"/>
        <v>1484.37</v>
      </c>
      <c r="W82" s="58">
        <v>125331.73</v>
      </c>
      <c r="X82" s="214">
        <f t="shared" si="37"/>
        <v>125331.73</v>
      </c>
    </row>
    <row r="83" spans="1:24" ht="20.100000000000001" customHeight="1" x14ac:dyDescent="0.35">
      <c r="A83" s="267" t="s">
        <v>182</v>
      </c>
      <c r="B83" s="268"/>
      <c r="C83" s="269"/>
      <c r="D83" s="59" t="s">
        <v>183</v>
      </c>
      <c r="E83" s="60" t="s">
        <v>363</v>
      </c>
      <c r="F83" s="57">
        <v>12732</v>
      </c>
      <c r="G83" s="100">
        <v>0</v>
      </c>
      <c r="H83" s="57">
        <f t="shared" si="30"/>
        <v>38196</v>
      </c>
      <c r="I83" s="57">
        <f t="shared" si="39"/>
        <v>954.9</v>
      </c>
      <c r="J83" s="57">
        <v>0</v>
      </c>
      <c r="K83" s="57">
        <f t="shared" si="32"/>
        <v>6366</v>
      </c>
      <c r="L83" s="58">
        <f t="shared" si="33"/>
        <v>44562</v>
      </c>
      <c r="M83" s="57">
        <v>0</v>
      </c>
      <c r="N83" s="57">
        <f t="shared" si="34"/>
        <v>12732</v>
      </c>
      <c r="O83" s="57">
        <v>0</v>
      </c>
      <c r="P83" s="57">
        <f t="shared" si="40"/>
        <v>1273.2</v>
      </c>
      <c r="Q83" s="57">
        <v>10000</v>
      </c>
      <c r="R83" s="57">
        <v>0</v>
      </c>
      <c r="S83" s="58">
        <f t="shared" si="36"/>
        <v>126816.09999999999</v>
      </c>
      <c r="T83" s="58"/>
      <c r="U83" s="57">
        <v>1484.37</v>
      </c>
      <c r="V83" s="58">
        <f t="shared" si="38"/>
        <v>1484.37</v>
      </c>
      <c r="W83" s="58">
        <v>252147.83</v>
      </c>
      <c r="X83" s="214">
        <f t="shared" si="37"/>
        <v>125331.73</v>
      </c>
    </row>
    <row r="84" spans="1:24" ht="20.100000000000001" customHeight="1" x14ac:dyDescent="0.35">
      <c r="A84" s="257" t="s">
        <v>292</v>
      </c>
      <c r="B84" s="258"/>
      <c r="C84" s="259"/>
      <c r="D84" s="117" t="s">
        <v>183</v>
      </c>
      <c r="E84" s="60" t="s">
        <v>363</v>
      </c>
      <c r="F84" s="57">
        <v>12732</v>
      </c>
      <c r="G84" s="100">
        <v>0</v>
      </c>
      <c r="H84" s="57">
        <f t="shared" si="30"/>
        <v>38196</v>
      </c>
      <c r="I84" s="57">
        <f t="shared" si="39"/>
        <v>954.9</v>
      </c>
      <c r="J84" s="57"/>
      <c r="K84" s="57">
        <f t="shared" si="32"/>
        <v>6366</v>
      </c>
      <c r="L84" s="58">
        <f t="shared" si="33"/>
        <v>44562</v>
      </c>
      <c r="M84" s="57"/>
      <c r="N84" s="57">
        <f t="shared" si="34"/>
        <v>12732</v>
      </c>
      <c r="O84" s="57"/>
      <c r="P84" s="57">
        <f t="shared" si="40"/>
        <v>1273.2</v>
      </c>
      <c r="Q84" s="57">
        <v>10000</v>
      </c>
      <c r="R84" s="57"/>
      <c r="S84" s="58">
        <f t="shared" si="36"/>
        <v>126816.09999999999</v>
      </c>
      <c r="T84" s="58"/>
      <c r="U84" s="57">
        <v>1484.37</v>
      </c>
      <c r="V84" s="58">
        <f t="shared" si="38"/>
        <v>1484.37</v>
      </c>
      <c r="W84" s="58">
        <v>252147.83</v>
      </c>
      <c r="X84" s="214">
        <f t="shared" si="37"/>
        <v>125331.73</v>
      </c>
    </row>
    <row r="85" spans="1:24" ht="20.100000000000001" customHeight="1" x14ac:dyDescent="0.35">
      <c r="A85" s="257" t="s">
        <v>293</v>
      </c>
      <c r="B85" s="258"/>
      <c r="C85" s="259"/>
      <c r="D85" s="117" t="s">
        <v>183</v>
      </c>
      <c r="E85" s="60" t="s">
        <v>363</v>
      </c>
      <c r="F85" s="57">
        <v>12732</v>
      </c>
      <c r="G85" s="100">
        <v>0</v>
      </c>
      <c r="H85" s="57">
        <f t="shared" si="30"/>
        <v>38196</v>
      </c>
      <c r="I85" s="57">
        <f t="shared" si="39"/>
        <v>954.9</v>
      </c>
      <c r="J85" s="57"/>
      <c r="K85" s="57">
        <f t="shared" si="32"/>
        <v>6366</v>
      </c>
      <c r="L85" s="58">
        <f t="shared" si="33"/>
        <v>44562</v>
      </c>
      <c r="M85" s="57"/>
      <c r="N85" s="57">
        <f t="shared" si="34"/>
        <v>12732</v>
      </c>
      <c r="O85" s="57"/>
      <c r="P85" s="57">
        <f t="shared" si="40"/>
        <v>1273.2</v>
      </c>
      <c r="Q85" s="57">
        <v>10000</v>
      </c>
      <c r="R85" s="57"/>
      <c r="S85" s="58">
        <f t="shared" si="36"/>
        <v>126816.09999999999</v>
      </c>
      <c r="T85" s="58"/>
      <c r="U85" s="57">
        <v>1484.37</v>
      </c>
      <c r="V85" s="58">
        <f t="shared" si="38"/>
        <v>1484.37</v>
      </c>
      <c r="W85" s="58">
        <v>252147.83</v>
      </c>
      <c r="X85" s="214">
        <f t="shared" si="37"/>
        <v>125331.73</v>
      </c>
    </row>
    <row r="86" spans="1:24" ht="20.100000000000001" customHeight="1" x14ac:dyDescent="0.35">
      <c r="A86" s="257" t="s">
        <v>171</v>
      </c>
      <c r="B86" s="258"/>
      <c r="C86" s="259"/>
      <c r="D86" s="59" t="s">
        <v>172</v>
      </c>
      <c r="E86" s="60" t="s">
        <v>363</v>
      </c>
      <c r="F86" s="57">
        <v>12732</v>
      </c>
      <c r="G86" s="100"/>
      <c r="H86" s="57">
        <f t="shared" si="30"/>
        <v>38196</v>
      </c>
      <c r="I86" s="57">
        <f t="shared" si="39"/>
        <v>954.9</v>
      </c>
      <c r="J86" s="57">
        <v>0</v>
      </c>
      <c r="K86" s="57">
        <f t="shared" si="32"/>
        <v>6366</v>
      </c>
      <c r="L86" s="58">
        <f t="shared" si="33"/>
        <v>44562</v>
      </c>
      <c r="M86" s="57">
        <v>0</v>
      </c>
      <c r="N86" s="57">
        <f t="shared" si="34"/>
        <v>12732</v>
      </c>
      <c r="O86" s="57">
        <v>0</v>
      </c>
      <c r="P86" s="57">
        <f t="shared" si="40"/>
        <v>1273.2</v>
      </c>
      <c r="Q86" s="57">
        <v>10000</v>
      </c>
      <c r="R86" s="57">
        <v>0</v>
      </c>
      <c r="S86" s="58">
        <f t="shared" si="36"/>
        <v>126816.09999999999</v>
      </c>
      <c r="T86" s="58"/>
      <c r="U86" s="57">
        <v>1484.37</v>
      </c>
      <c r="V86" s="58">
        <f t="shared" si="38"/>
        <v>1484.37</v>
      </c>
      <c r="W86" s="58">
        <v>125331.73</v>
      </c>
      <c r="X86" s="214">
        <f t="shared" si="37"/>
        <v>125331.73</v>
      </c>
    </row>
    <row r="87" spans="1:24" ht="20.100000000000001" customHeight="1" x14ac:dyDescent="0.35">
      <c r="A87" s="270" t="s">
        <v>176</v>
      </c>
      <c r="B87" s="271"/>
      <c r="C87" s="272"/>
      <c r="D87" s="240" t="s">
        <v>177</v>
      </c>
      <c r="E87" s="241" t="s">
        <v>363</v>
      </c>
      <c r="F87" s="236">
        <v>12732</v>
      </c>
      <c r="G87" s="237"/>
      <c r="H87" s="236">
        <f t="shared" si="30"/>
        <v>38196</v>
      </c>
      <c r="I87" s="236">
        <f t="shared" si="39"/>
        <v>954.9</v>
      </c>
      <c r="J87" s="236">
        <v>0</v>
      </c>
      <c r="K87" s="236">
        <f t="shared" si="32"/>
        <v>6366</v>
      </c>
      <c r="L87" s="238">
        <f t="shared" si="33"/>
        <v>44562</v>
      </c>
      <c r="M87" s="236">
        <v>0</v>
      </c>
      <c r="N87" s="236">
        <f t="shared" si="34"/>
        <v>12732</v>
      </c>
      <c r="O87" s="236">
        <v>0</v>
      </c>
      <c r="P87" s="236">
        <f t="shared" si="40"/>
        <v>1273.2</v>
      </c>
      <c r="Q87" s="236">
        <v>10000</v>
      </c>
      <c r="R87" s="236">
        <v>0</v>
      </c>
      <c r="S87" s="238">
        <f t="shared" si="36"/>
        <v>126816.09999999999</v>
      </c>
      <c r="T87" s="238"/>
      <c r="U87" s="236">
        <v>1484.37</v>
      </c>
      <c r="V87" s="238">
        <f t="shared" si="38"/>
        <v>1484.37</v>
      </c>
      <c r="W87" s="238">
        <v>0</v>
      </c>
      <c r="X87" s="239">
        <v>0</v>
      </c>
    </row>
    <row r="88" spans="1:24" ht="20.100000000000001" customHeight="1" x14ac:dyDescent="0.35">
      <c r="A88" s="264" t="s">
        <v>6</v>
      </c>
      <c r="B88" s="264"/>
      <c r="C88" s="264"/>
      <c r="D88" s="59" t="s">
        <v>39</v>
      </c>
      <c r="E88" s="60" t="s">
        <v>364</v>
      </c>
      <c r="F88" s="57">
        <v>13492.21</v>
      </c>
      <c r="G88" s="100"/>
      <c r="H88" s="57">
        <f t="shared" si="30"/>
        <v>40476.629999999997</v>
      </c>
      <c r="I88" s="57">
        <f>F88*7.5%</f>
        <v>1011.9157499999999</v>
      </c>
      <c r="J88" s="57">
        <v>0</v>
      </c>
      <c r="K88" s="57">
        <f t="shared" si="32"/>
        <v>6746.1049999999996</v>
      </c>
      <c r="L88" s="58">
        <f t="shared" si="33"/>
        <v>47222.735000000001</v>
      </c>
      <c r="M88" s="57">
        <v>0</v>
      </c>
      <c r="N88" s="57">
        <f t="shared" si="34"/>
        <v>13492.21</v>
      </c>
      <c r="O88" s="57">
        <v>0</v>
      </c>
      <c r="P88" s="57">
        <f t="shared" si="35"/>
        <v>1349.221</v>
      </c>
      <c r="Q88" s="57">
        <v>10000</v>
      </c>
      <c r="R88" s="57">
        <v>0</v>
      </c>
      <c r="S88" s="58">
        <f t="shared" si="36"/>
        <v>133791.02675000002</v>
      </c>
      <c r="T88" s="58"/>
      <c r="U88" s="57">
        <v>1484.37</v>
      </c>
      <c r="V88" s="58">
        <f t="shared" si="38"/>
        <v>1484.37</v>
      </c>
      <c r="W88" s="58">
        <v>132306.66</v>
      </c>
      <c r="X88" s="214">
        <f t="shared" si="37"/>
        <v>132306.65675000002</v>
      </c>
    </row>
    <row r="89" spans="1:24" ht="20.100000000000001" customHeight="1" x14ac:dyDescent="0.35">
      <c r="A89" s="257" t="s">
        <v>7</v>
      </c>
      <c r="B89" s="258"/>
      <c r="C89" s="259"/>
      <c r="D89" s="55" t="s">
        <v>30</v>
      </c>
      <c r="E89" s="60" t="s">
        <v>364</v>
      </c>
      <c r="F89" s="57">
        <v>13492.21</v>
      </c>
      <c r="G89" s="100"/>
      <c r="H89" s="57">
        <f t="shared" si="30"/>
        <v>40476.629999999997</v>
      </c>
      <c r="I89" s="57">
        <f>F89*7.5%</f>
        <v>1011.9157499999999</v>
      </c>
      <c r="J89" s="57">
        <v>0</v>
      </c>
      <c r="K89" s="57">
        <f t="shared" si="32"/>
        <v>6746.1049999999996</v>
      </c>
      <c r="L89" s="58">
        <f t="shared" si="33"/>
        <v>47222.735000000001</v>
      </c>
      <c r="M89" s="57">
        <v>0</v>
      </c>
      <c r="N89" s="57">
        <f t="shared" si="34"/>
        <v>13492.21</v>
      </c>
      <c r="O89" s="57">
        <v>0</v>
      </c>
      <c r="P89" s="57">
        <f t="shared" si="35"/>
        <v>1349.221</v>
      </c>
      <c r="Q89" s="57">
        <f>Q91</f>
        <v>10000</v>
      </c>
      <c r="R89" s="57">
        <f>R91</f>
        <v>0</v>
      </c>
      <c r="S89" s="58">
        <f t="shared" si="36"/>
        <v>133791.02675000002</v>
      </c>
      <c r="T89" s="58"/>
      <c r="U89" s="57">
        <v>1484.37</v>
      </c>
      <c r="V89" s="58">
        <f t="shared" si="38"/>
        <v>1484.37</v>
      </c>
      <c r="W89" s="58">
        <v>132306.66</v>
      </c>
      <c r="X89" s="214">
        <f t="shared" si="37"/>
        <v>132306.65675000002</v>
      </c>
    </row>
    <row r="90" spans="1:24" ht="20.100000000000001" customHeight="1" x14ac:dyDescent="0.35">
      <c r="A90" s="264" t="s">
        <v>62</v>
      </c>
      <c r="B90" s="264"/>
      <c r="C90" s="264"/>
      <c r="D90" s="59" t="s">
        <v>30</v>
      </c>
      <c r="E90" s="60" t="s">
        <v>203</v>
      </c>
      <c r="F90" s="58">
        <v>14736.14</v>
      </c>
      <c r="G90" s="100"/>
      <c r="H90" s="57">
        <f t="shared" ref="H90:H95" si="41">F90*300%</f>
        <v>44208.42</v>
      </c>
      <c r="I90" s="57">
        <f t="shared" ref="I90:I95" si="42">F90*7.5%</f>
        <v>1105.2104999999999</v>
      </c>
      <c r="J90" s="58">
        <v>0</v>
      </c>
      <c r="K90" s="57">
        <f t="shared" ref="K90:K95" si="43">F90*50%</f>
        <v>7368.07</v>
      </c>
      <c r="L90" s="58">
        <f t="shared" ref="L90:L95" si="44">F90*350%</f>
        <v>51576.49</v>
      </c>
      <c r="M90" s="57">
        <v>0</v>
      </c>
      <c r="N90" s="57">
        <f t="shared" ref="N90:N95" si="45">F90*100%</f>
        <v>14736.14</v>
      </c>
      <c r="O90" s="57">
        <v>0</v>
      </c>
      <c r="P90" s="57">
        <f t="shared" ref="P90:P95" si="46">F90*10%</f>
        <v>1473.614</v>
      </c>
      <c r="Q90" s="57">
        <v>10000</v>
      </c>
      <c r="R90" s="57">
        <v>0</v>
      </c>
      <c r="S90" s="58">
        <f t="shared" si="36"/>
        <v>145204.0845</v>
      </c>
      <c r="T90" s="58"/>
      <c r="U90" s="57">
        <v>1484.37</v>
      </c>
      <c r="V90" s="58">
        <f t="shared" si="38"/>
        <v>1484.37</v>
      </c>
      <c r="W90" s="58">
        <v>143719.71</v>
      </c>
      <c r="X90" s="214">
        <f t="shared" si="37"/>
        <v>143719.7145</v>
      </c>
    </row>
    <row r="91" spans="1:24" ht="20.100000000000001" customHeight="1" x14ac:dyDescent="0.35">
      <c r="A91" s="264" t="s">
        <v>19</v>
      </c>
      <c r="B91" s="264"/>
      <c r="C91" s="264"/>
      <c r="D91" s="59" t="s">
        <v>30</v>
      </c>
      <c r="E91" s="60" t="s">
        <v>203</v>
      </c>
      <c r="F91" s="58">
        <v>14736.14</v>
      </c>
      <c r="G91" s="100"/>
      <c r="H91" s="57">
        <f t="shared" si="41"/>
        <v>44208.42</v>
      </c>
      <c r="I91" s="57">
        <f t="shared" si="42"/>
        <v>1105.2104999999999</v>
      </c>
      <c r="J91" s="58">
        <v>0</v>
      </c>
      <c r="K91" s="57">
        <f t="shared" si="43"/>
        <v>7368.07</v>
      </c>
      <c r="L91" s="58">
        <f t="shared" si="44"/>
        <v>51576.49</v>
      </c>
      <c r="M91" s="57">
        <v>0</v>
      </c>
      <c r="N91" s="57">
        <f t="shared" si="45"/>
        <v>14736.14</v>
      </c>
      <c r="O91" s="57">
        <v>0</v>
      </c>
      <c r="P91" s="57">
        <f t="shared" si="46"/>
        <v>1473.614</v>
      </c>
      <c r="Q91" s="57">
        <v>10000</v>
      </c>
      <c r="R91" s="57">
        <v>0</v>
      </c>
      <c r="S91" s="58">
        <f t="shared" si="36"/>
        <v>145204.0845</v>
      </c>
      <c r="T91" s="58"/>
      <c r="U91" s="57">
        <v>1484.37</v>
      </c>
      <c r="V91" s="58">
        <f t="shared" si="38"/>
        <v>1484.37</v>
      </c>
      <c r="W91" s="58">
        <v>143719.71</v>
      </c>
      <c r="X91" s="214">
        <f t="shared" si="37"/>
        <v>143719.7145</v>
      </c>
    </row>
    <row r="92" spans="1:24" ht="20.100000000000001" customHeight="1" x14ac:dyDescent="0.35">
      <c r="A92" s="257" t="s">
        <v>264</v>
      </c>
      <c r="B92" s="258"/>
      <c r="C92" s="259"/>
      <c r="D92" s="94" t="s">
        <v>30</v>
      </c>
      <c r="E92" s="60" t="s">
        <v>364</v>
      </c>
      <c r="F92" s="58">
        <v>13492.21</v>
      </c>
      <c r="G92" s="100"/>
      <c r="H92" s="57">
        <f t="shared" si="41"/>
        <v>40476.629999999997</v>
      </c>
      <c r="I92" s="57">
        <f t="shared" si="42"/>
        <v>1011.9157499999999</v>
      </c>
      <c r="J92" s="58">
        <v>0</v>
      </c>
      <c r="K92" s="57">
        <f t="shared" si="43"/>
        <v>6746.1049999999996</v>
      </c>
      <c r="L92" s="58">
        <f t="shared" si="44"/>
        <v>47222.735000000001</v>
      </c>
      <c r="M92" s="57">
        <v>0</v>
      </c>
      <c r="N92" s="57">
        <f t="shared" si="45"/>
        <v>13492.21</v>
      </c>
      <c r="O92" s="57">
        <v>0</v>
      </c>
      <c r="P92" s="57">
        <f t="shared" si="46"/>
        <v>1349.221</v>
      </c>
      <c r="Q92" s="57">
        <v>10000</v>
      </c>
      <c r="R92" s="57">
        <v>0</v>
      </c>
      <c r="S92" s="58">
        <f t="shared" si="36"/>
        <v>133791.02675000002</v>
      </c>
      <c r="T92" s="58"/>
      <c r="U92" s="57">
        <v>1484.37</v>
      </c>
      <c r="V92" s="58">
        <f t="shared" si="38"/>
        <v>1484.37</v>
      </c>
      <c r="W92" s="58">
        <v>132306.66</v>
      </c>
      <c r="X92" s="214">
        <f t="shared" si="37"/>
        <v>132306.65675000002</v>
      </c>
    </row>
    <row r="93" spans="1:24" ht="20.100000000000001" customHeight="1" x14ac:dyDescent="0.35">
      <c r="A93" s="223"/>
      <c r="B93" s="224" t="s">
        <v>369</v>
      </c>
      <c r="C93" s="225"/>
      <c r="D93" s="226" t="s">
        <v>30</v>
      </c>
      <c r="E93" s="60" t="s">
        <v>79</v>
      </c>
      <c r="F93" s="58">
        <v>13112.2</v>
      </c>
      <c r="G93" s="100">
        <v>0</v>
      </c>
      <c r="H93" s="57">
        <f t="shared" si="41"/>
        <v>39336.600000000006</v>
      </c>
      <c r="I93" s="57">
        <f t="shared" si="42"/>
        <v>983.41499999999996</v>
      </c>
      <c r="J93" s="58"/>
      <c r="K93" s="57">
        <f t="shared" si="43"/>
        <v>6556.1</v>
      </c>
      <c r="L93" s="58">
        <f t="shared" si="44"/>
        <v>45892.700000000004</v>
      </c>
      <c r="M93" s="57"/>
      <c r="N93" s="57">
        <f t="shared" si="45"/>
        <v>13112.2</v>
      </c>
      <c r="O93" s="57"/>
      <c r="P93" s="57">
        <f t="shared" si="46"/>
        <v>1311.2200000000003</v>
      </c>
      <c r="Q93" s="57">
        <v>10000</v>
      </c>
      <c r="R93" s="57"/>
      <c r="S93" s="58">
        <f t="shared" si="36"/>
        <v>130304.43500000001</v>
      </c>
      <c r="T93" s="58"/>
      <c r="U93" s="57">
        <v>1484.37</v>
      </c>
      <c r="V93" s="58">
        <f t="shared" si="38"/>
        <v>1484.37</v>
      </c>
      <c r="W93" s="58">
        <v>380820.07</v>
      </c>
      <c r="X93" s="214">
        <f t="shared" si="37"/>
        <v>128820.06500000002</v>
      </c>
    </row>
    <row r="94" spans="1:24" ht="20.100000000000001" customHeight="1" x14ac:dyDescent="0.35">
      <c r="A94" s="257" t="s">
        <v>40</v>
      </c>
      <c r="B94" s="258"/>
      <c r="C94" s="259"/>
      <c r="D94" s="59" t="s">
        <v>14</v>
      </c>
      <c r="E94" s="60" t="s">
        <v>365</v>
      </c>
      <c r="F94" s="79">
        <v>4689.38</v>
      </c>
      <c r="G94" s="98"/>
      <c r="H94" s="57">
        <f t="shared" si="41"/>
        <v>14068.14</v>
      </c>
      <c r="I94" s="57">
        <f t="shared" si="42"/>
        <v>351.70350000000002</v>
      </c>
      <c r="J94" s="79">
        <v>0</v>
      </c>
      <c r="K94" s="57">
        <f t="shared" si="43"/>
        <v>2344.69</v>
      </c>
      <c r="L94" s="58">
        <f t="shared" si="44"/>
        <v>16412.830000000002</v>
      </c>
      <c r="M94" s="57">
        <v>0</v>
      </c>
      <c r="N94" s="57">
        <f t="shared" si="45"/>
        <v>4689.38</v>
      </c>
      <c r="O94" s="57">
        <v>0</v>
      </c>
      <c r="P94" s="57">
        <f t="shared" si="46"/>
        <v>468.93800000000005</v>
      </c>
      <c r="Q94" s="79">
        <v>5000</v>
      </c>
      <c r="R94" s="57">
        <v>0</v>
      </c>
      <c r="S94" s="58">
        <f t="shared" si="36"/>
        <v>48025.061499999996</v>
      </c>
      <c r="T94" s="58">
        <v>10791.06</v>
      </c>
      <c r="U94" s="58">
        <v>236.04</v>
      </c>
      <c r="V94" s="58">
        <f t="shared" si="38"/>
        <v>11027.1</v>
      </c>
      <c r="W94" s="58">
        <v>36997.96</v>
      </c>
      <c r="X94" s="214">
        <f t="shared" si="37"/>
        <v>36997.961499999998</v>
      </c>
    </row>
    <row r="95" spans="1:24" ht="20.100000000000001" customHeight="1" x14ac:dyDescent="0.35">
      <c r="A95" s="264" t="s">
        <v>17</v>
      </c>
      <c r="B95" s="264"/>
      <c r="C95" s="264"/>
      <c r="D95" s="59" t="s">
        <v>14</v>
      </c>
      <c r="E95" s="60" t="s">
        <v>365</v>
      </c>
      <c r="F95" s="79">
        <v>4689.38</v>
      </c>
      <c r="G95" s="98"/>
      <c r="H95" s="57">
        <f t="shared" si="41"/>
        <v>14068.14</v>
      </c>
      <c r="I95" s="57">
        <f t="shared" si="42"/>
        <v>351.70350000000002</v>
      </c>
      <c r="J95" s="79">
        <v>0</v>
      </c>
      <c r="K95" s="57">
        <f t="shared" si="43"/>
        <v>2344.69</v>
      </c>
      <c r="L95" s="58">
        <f t="shared" si="44"/>
        <v>16412.830000000002</v>
      </c>
      <c r="M95" s="57">
        <v>0</v>
      </c>
      <c r="N95" s="57">
        <f t="shared" si="45"/>
        <v>4689.38</v>
      </c>
      <c r="O95" s="57">
        <v>0</v>
      </c>
      <c r="P95" s="57">
        <f t="shared" si="46"/>
        <v>468.93800000000005</v>
      </c>
      <c r="Q95" s="79">
        <v>5000</v>
      </c>
      <c r="R95" s="57">
        <v>0</v>
      </c>
      <c r="S95" s="58">
        <f t="shared" si="36"/>
        <v>48025.061499999996</v>
      </c>
      <c r="T95" s="58"/>
      <c r="U95" s="58">
        <v>236.04</v>
      </c>
      <c r="V95" s="58">
        <f t="shared" si="38"/>
        <v>236.04</v>
      </c>
      <c r="W95" s="58">
        <v>47789.02</v>
      </c>
      <c r="X95" s="214">
        <f t="shared" si="37"/>
        <v>47789.021499999995</v>
      </c>
    </row>
    <row r="96" spans="1:24" ht="20.100000000000001" customHeight="1" x14ac:dyDescent="0.35">
      <c r="A96" s="264" t="s">
        <v>41</v>
      </c>
      <c r="B96" s="264"/>
      <c r="C96" s="264"/>
      <c r="D96" s="59" t="s">
        <v>14</v>
      </c>
      <c r="E96" s="60" t="s">
        <v>365</v>
      </c>
      <c r="F96" s="79">
        <v>4689.38</v>
      </c>
      <c r="G96" s="98"/>
      <c r="H96" s="57">
        <f t="shared" ref="H96:H104" si="47">F96*300%</f>
        <v>14068.14</v>
      </c>
      <c r="I96" s="57">
        <f t="shared" ref="I96:I104" si="48">F96*7.5%</f>
        <v>351.70350000000002</v>
      </c>
      <c r="J96" s="57">
        <v>0</v>
      </c>
      <c r="K96" s="57">
        <f t="shared" ref="K96:K104" si="49">F96*50%</f>
        <v>2344.69</v>
      </c>
      <c r="L96" s="58">
        <f t="shared" ref="L96:L104" si="50">F96*350%</f>
        <v>16412.830000000002</v>
      </c>
      <c r="M96" s="57">
        <v>0</v>
      </c>
      <c r="N96" s="57">
        <f t="shared" ref="N96:N104" si="51">F96*100%</f>
        <v>4689.38</v>
      </c>
      <c r="O96" s="57">
        <v>0</v>
      </c>
      <c r="P96" s="57">
        <f t="shared" ref="P96:P104" si="52">F96*10%</f>
        <v>468.93800000000005</v>
      </c>
      <c r="Q96" s="57">
        <v>5000</v>
      </c>
      <c r="R96" s="57">
        <v>0</v>
      </c>
      <c r="S96" s="58">
        <f t="shared" si="36"/>
        <v>48025.061499999996</v>
      </c>
      <c r="T96" s="58"/>
      <c r="U96" s="58">
        <v>236.04</v>
      </c>
      <c r="V96" s="58">
        <f t="shared" si="38"/>
        <v>236.04</v>
      </c>
      <c r="W96" s="58">
        <v>47789.02</v>
      </c>
      <c r="X96" s="214">
        <f t="shared" si="37"/>
        <v>47789.021499999995</v>
      </c>
    </row>
    <row r="97" spans="1:24" ht="20.100000000000001" customHeight="1" x14ac:dyDescent="0.35">
      <c r="A97" s="264" t="s">
        <v>42</v>
      </c>
      <c r="B97" s="264"/>
      <c r="C97" s="264"/>
      <c r="D97" s="59" t="s">
        <v>14</v>
      </c>
      <c r="E97" s="60" t="s">
        <v>365</v>
      </c>
      <c r="F97" s="79">
        <v>4689.38</v>
      </c>
      <c r="G97" s="98"/>
      <c r="H97" s="57">
        <f t="shared" si="47"/>
        <v>14068.14</v>
      </c>
      <c r="I97" s="57">
        <f t="shared" si="48"/>
        <v>351.70350000000002</v>
      </c>
      <c r="J97" s="57">
        <v>0</v>
      </c>
      <c r="K97" s="57">
        <f t="shared" si="49"/>
        <v>2344.69</v>
      </c>
      <c r="L97" s="58">
        <f t="shared" si="50"/>
        <v>16412.830000000002</v>
      </c>
      <c r="M97" s="57">
        <v>0</v>
      </c>
      <c r="N97" s="57">
        <f t="shared" si="51"/>
        <v>4689.38</v>
      </c>
      <c r="O97" s="57">
        <v>0</v>
      </c>
      <c r="P97" s="57">
        <f t="shared" si="52"/>
        <v>468.93800000000005</v>
      </c>
      <c r="Q97" s="57">
        <v>5000</v>
      </c>
      <c r="R97" s="57">
        <v>0</v>
      </c>
      <c r="S97" s="58">
        <f t="shared" si="36"/>
        <v>48025.061499999996</v>
      </c>
      <c r="T97" s="58"/>
      <c r="U97" s="58">
        <v>236.04</v>
      </c>
      <c r="V97" s="58">
        <f t="shared" si="38"/>
        <v>236.04</v>
      </c>
      <c r="W97" s="58">
        <v>47789.02</v>
      </c>
      <c r="X97" s="214">
        <f t="shared" si="37"/>
        <v>47789.021499999995</v>
      </c>
    </row>
    <row r="98" spans="1:24" ht="20.100000000000001" customHeight="1" x14ac:dyDescent="0.35">
      <c r="A98" s="264" t="s">
        <v>43</v>
      </c>
      <c r="B98" s="264"/>
      <c r="C98" s="264"/>
      <c r="D98" s="59" t="s">
        <v>14</v>
      </c>
      <c r="E98" s="60" t="s">
        <v>365</v>
      </c>
      <c r="F98" s="79">
        <v>4689.38</v>
      </c>
      <c r="G98" s="98"/>
      <c r="H98" s="57">
        <f t="shared" si="47"/>
        <v>14068.14</v>
      </c>
      <c r="I98" s="57">
        <f t="shared" si="48"/>
        <v>351.70350000000002</v>
      </c>
      <c r="J98" s="57">
        <v>0</v>
      </c>
      <c r="K98" s="57">
        <f t="shared" si="49"/>
        <v>2344.69</v>
      </c>
      <c r="L98" s="58">
        <f t="shared" si="50"/>
        <v>16412.830000000002</v>
      </c>
      <c r="M98" s="57">
        <v>0</v>
      </c>
      <c r="N98" s="57">
        <f t="shared" si="51"/>
        <v>4689.38</v>
      </c>
      <c r="O98" s="57">
        <v>0</v>
      </c>
      <c r="P98" s="57">
        <f t="shared" si="52"/>
        <v>468.93800000000005</v>
      </c>
      <c r="Q98" s="57">
        <v>5000</v>
      </c>
      <c r="R98" s="57">
        <v>0</v>
      </c>
      <c r="S98" s="58">
        <f t="shared" si="36"/>
        <v>48025.061499999996</v>
      </c>
      <c r="T98" s="58"/>
      <c r="U98" s="58">
        <v>236.04</v>
      </c>
      <c r="V98" s="58">
        <f t="shared" si="38"/>
        <v>236.04</v>
      </c>
      <c r="W98" s="58">
        <v>47789.02</v>
      </c>
      <c r="X98" s="214">
        <f t="shared" si="37"/>
        <v>47789.021499999995</v>
      </c>
    </row>
    <row r="99" spans="1:24" ht="20.100000000000001" customHeight="1" x14ac:dyDescent="0.35">
      <c r="A99" s="264" t="s">
        <v>44</v>
      </c>
      <c r="B99" s="264"/>
      <c r="C99" s="264"/>
      <c r="D99" s="59" t="s">
        <v>14</v>
      </c>
      <c r="E99" s="60" t="s">
        <v>365</v>
      </c>
      <c r="F99" s="79">
        <v>4689.38</v>
      </c>
      <c r="G99" s="98"/>
      <c r="H99" s="57">
        <f t="shared" si="47"/>
        <v>14068.14</v>
      </c>
      <c r="I99" s="57">
        <f t="shared" si="48"/>
        <v>351.70350000000002</v>
      </c>
      <c r="J99" s="57">
        <v>0</v>
      </c>
      <c r="K99" s="57">
        <f t="shared" si="49"/>
        <v>2344.69</v>
      </c>
      <c r="L99" s="58">
        <f t="shared" si="50"/>
        <v>16412.830000000002</v>
      </c>
      <c r="M99" s="57">
        <v>0</v>
      </c>
      <c r="N99" s="57">
        <f t="shared" si="51"/>
        <v>4689.38</v>
      </c>
      <c r="O99" s="57">
        <v>0</v>
      </c>
      <c r="P99" s="57">
        <f t="shared" si="52"/>
        <v>468.93800000000005</v>
      </c>
      <c r="Q99" s="57">
        <v>5000</v>
      </c>
      <c r="R99" s="57">
        <v>0</v>
      </c>
      <c r="S99" s="58">
        <f t="shared" si="36"/>
        <v>48025.061499999996</v>
      </c>
      <c r="T99" s="58"/>
      <c r="U99" s="58">
        <v>236.04</v>
      </c>
      <c r="V99" s="58">
        <f t="shared" si="38"/>
        <v>236.04</v>
      </c>
      <c r="W99" s="58">
        <v>47789.02</v>
      </c>
      <c r="X99" s="214">
        <f t="shared" si="37"/>
        <v>47789.021499999995</v>
      </c>
    </row>
    <row r="100" spans="1:24" ht="20.100000000000001" customHeight="1" x14ac:dyDescent="0.35">
      <c r="A100" s="257" t="s">
        <v>18</v>
      </c>
      <c r="B100" s="258"/>
      <c r="C100" s="259"/>
      <c r="D100" s="55" t="s">
        <v>14</v>
      </c>
      <c r="E100" s="60" t="s">
        <v>365</v>
      </c>
      <c r="F100" s="79">
        <v>4689.38</v>
      </c>
      <c r="G100" s="98"/>
      <c r="H100" s="57">
        <f>F100*300%</f>
        <v>14068.14</v>
      </c>
      <c r="I100" s="57">
        <f>F100*7.5%</f>
        <v>351.70350000000002</v>
      </c>
      <c r="J100" s="79">
        <v>0</v>
      </c>
      <c r="K100" s="57">
        <f>F100*50%</f>
        <v>2344.69</v>
      </c>
      <c r="L100" s="58">
        <f>F100*350%</f>
        <v>16412.830000000002</v>
      </c>
      <c r="M100" s="57">
        <v>0</v>
      </c>
      <c r="N100" s="57">
        <f>F100*100%</f>
        <v>4689.38</v>
      </c>
      <c r="O100" s="57">
        <v>0</v>
      </c>
      <c r="P100" s="57">
        <f>F100*10%</f>
        <v>468.93800000000005</v>
      </c>
      <c r="Q100" s="79">
        <v>5000</v>
      </c>
      <c r="R100" s="57">
        <v>0</v>
      </c>
      <c r="S100" s="58">
        <f t="shared" si="36"/>
        <v>48025.061499999996</v>
      </c>
      <c r="T100" s="58"/>
      <c r="U100" s="58">
        <v>236.04</v>
      </c>
      <c r="V100" s="58">
        <f t="shared" si="38"/>
        <v>236.04</v>
      </c>
      <c r="W100" s="58">
        <v>47789.02</v>
      </c>
      <c r="X100" s="214">
        <f t="shared" si="37"/>
        <v>47789.021499999995</v>
      </c>
    </row>
    <row r="101" spans="1:24" ht="20.100000000000001" customHeight="1" x14ac:dyDescent="0.35">
      <c r="A101" s="264" t="s">
        <v>63</v>
      </c>
      <c r="B101" s="264"/>
      <c r="C101" s="264"/>
      <c r="D101" s="59" t="s">
        <v>14</v>
      </c>
      <c r="E101" s="60" t="s">
        <v>366</v>
      </c>
      <c r="F101" s="57">
        <v>4248.51</v>
      </c>
      <c r="G101" s="98"/>
      <c r="H101" s="57">
        <f t="shared" si="47"/>
        <v>12745.53</v>
      </c>
      <c r="I101" s="57">
        <f t="shared" si="48"/>
        <v>318.63825000000003</v>
      </c>
      <c r="J101" s="57">
        <v>0</v>
      </c>
      <c r="K101" s="57">
        <f t="shared" si="49"/>
        <v>2124.2550000000001</v>
      </c>
      <c r="L101" s="58">
        <f t="shared" si="50"/>
        <v>14869.785</v>
      </c>
      <c r="M101" s="57">
        <v>0</v>
      </c>
      <c r="N101" s="57">
        <f t="shared" si="51"/>
        <v>4248.51</v>
      </c>
      <c r="O101" s="57">
        <v>0</v>
      </c>
      <c r="P101" s="57">
        <f t="shared" si="52"/>
        <v>424.85100000000006</v>
      </c>
      <c r="Q101" s="57">
        <v>5000</v>
      </c>
      <c r="R101" s="57">
        <v>0</v>
      </c>
      <c r="S101" s="58">
        <f t="shared" si="36"/>
        <v>43980.07925000001</v>
      </c>
      <c r="T101" s="58"/>
      <c r="U101" s="58">
        <v>236.04</v>
      </c>
      <c r="V101" s="58">
        <f t="shared" si="38"/>
        <v>236.04</v>
      </c>
      <c r="W101" s="58">
        <v>43744.04</v>
      </c>
      <c r="X101" s="214">
        <f t="shared" si="37"/>
        <v>43744.039250000009</v>
      </c>
    </row>
    <row r="102" spans="1:24" ht="20.100000000000001" customHeight="1" x14ac:dyDescent="0.35">
      <c r="A102" s="264" t="s">
        <v>64</v>
      </c>
      <c r="B102" s="264"/>
      <c r="C102" s="264"/>
      <c r="D102" s="59" t="s">
        <v>14</v>
      </c>
      <c r="E102" s="60" t="s">
        <v>366</v>
      </c>
      <c r="F102" s="57">
        <v>4248.51</v>
      </c>
      <c r="G102" s="98"/>
      <c r="H102" s="57">
        <f t="shared" si="47"/>
        <v>12745.53</v>
      </c>
      <c r="I102" s="57">
        <f t="shared" si="48"/>
        <v>318.63825000000003</v>
      </c>
      <c r="J102" s="57">
        <v>0</v>
      </c>
      <c r="K102" s="57">
        <f t="shared" si="49"/>
        <v>2124.2550000000001</v>
      </c>
      <c r="L102" s="58">
        <f t="shared" si="50"/>
        <v>14869.785</v>
      </c>
      <c r="M102" s="57">
        <v>0</v>
      </c>
      <c r="N102" s="57">
        <f t="shared" si="51"/>
        <v>4248.51</v>
      </c>
      <c r="O102" s="57">
        <v>0</v>
      </c>
      <c r="P102" s="57">
        <f t="shared" si="52"/>
        <v>424.85100000000006</v>
      </c>
      <c r="Q102" s="57">
        <v>5000</v>
      </c>
      <c r="R102" s="57">
        <v>0</v>
      </c>
      <c r="S102" s="58">
        <f t="shared" si="36"/>
        <v>43980.07925000001</v>
      </c>
      <c r="T102" s="58"/>
      <c r="U102" s="58">
        <v>236.04</v>
      </c>
      <c r="V102" s="58">
        <f t="shared" si="38"/>
        <v>236.04</v>
      </c>
      <c r="W102" s="58">
        <v>43744.04</v>
      </c>
      <c r="X102" s="214">
        <f t="shared" si="37"/>
        <v>43744.039250000009</v>
      </c>
    </row>
    <row r="103" spans="1:24" ht="20.100000000000001" customHeight="1" x14ac:dyDescent="0.35">
      <c r="A103" s="257" t="s">
        <v>219</v>
      </c>
      <c r="B103" s="258"/>
      <c r="C103" s="259"/>
      <c r="D103" s="59" t="s">
        <v>14</v>
      </c>
      <c r="E103" s="60" t="s">
        <v>366</v>
      </c>
      <c r="F103" s="57">
        <v>4248.51</v>
      </c>
      <c r="G103" s="98"/>
      <c r="H103" s="57">
        <f t="shared" si="47"/>
        <v>12745.53</v>
      </c>
      <c r="I103" s="57">
        <f t="shared" si="48"/>
        <v>318.63825000000003</v>
      </c>
      <c r="J103" s="57">
        <v>0</v>
      </c>
      <c r="K103" s="57">
        <f t="shared" si="49"/>
        <v>2124.2550000000001</v>
      </c>
      <c r="L103" s="58">
        <f t="shared" si="50"/>
        <v>14869.785</v>
      </c>
      <c r="M103" s="57">
        <v>0</v>
      </c>
      <c r="N103" s="57">
        <f t="shared" si="51"/>
        <v>4248.51</v>
      </c>
      <c r="O103" s="57">
        <v>0</v>
      </c>
      <c r="P103" s="57">
        <f t="shared" si="52"/>
        <v>424.85100000000006</v>
      </c>
      <c r="Q103" s="57">
        <v>5000</v>
      </c>
      <c r="S103" s="58">
        <f t="shared" si="36"/>
        <v>43980.07925000001</v>
      </c>
      <c r="T103" s="58"/>
      <c r="U103" s="58">
        <v>236.04</v>
      </c>
      <c r="V103" s="58">
        <f t="shared" si="38"/>
        <v>236.04</v>
      </c>
      <c r="W103" s="58">
        <v>43744.04</v>
      </c>
      <c r="X103" s="214">
        <f t="shared" si="37"/>
        <v>43744.039250000009</v>
      </c>
    </row>
    <row r="104" spans="1:24" ht="20.100000000000001" customHeight="1" x14ac:dyDescent="0.35">
      <c r="A104" s="257" t="s">
        <v>263</v>
      </c>
      <c r="B104" s="258"/>
      <c r="C104" s="259"/>
      <c r="D104" s="94" t="s">
        <v>14</v>
      </c>
      <c r="E104" s="60" t="s">
        <v>366</v>
      </c>
      <c r="F104" s="57">
        <v>4248.51</v>
      </c>
      <c r="G104" s="98"/>
      <c r="H104" s="57">
        <f t="shared" si="47"/>
        <v>12745.53</v>
      </c>
      <c r="I104" s="57">
        <f t="shared" si="48"/>
        <v>318.63825000000003</v>
      </c>
      <c r="J104" s="57">
        <v>0</v>
      </c>
      <c r="K104" s="57">
        <f t="shared" si="49"/>
        <v>2124.2550000000001</v>
      </c>
      <c r="L104" s="58">
        <f t="shared" si="50"/>
        <v>14869.785</v>
      </c>
      <c r="M104" s="57">
        <v>0</v>
      </c>
      <c r="N104" s="57">
        <f t="shared" si="51"/>
        <v>4248.51</v>
      </c>
      <c r="O104" s="57">
        <v>0</v>
      </c>
      <c r="P104" s="57">
        <f t="shared" si="52"/>
        <v>424.85100000000006</v>
      </c>
      <c r="Q104" s="57">
        <v>5000</v>
      </c>
      <c r="R104" s="57">
        <v>0</v>
      </c>
      <c r="S104" s="58">
        <f t="shared" si="36"/>
        <v>43980.07925000001</v>
      </c>
      <c r="T104" s="58"/>
      <c r="U104" s="58">
        <v>236.04</v>
      </c>
      <c r="V104" s="58">
        <f t="shared" si="38"/>
        <v>236.04</v>
      </c>
      <c r="W104" s="58">
        <v>43744.04</v>
      </c>
      <c r="X104" s="214">
        <f t="shared" si="37"/>
        <v>43744.039250000009</v>
      </c>
    </row>
    <row r="105" spans="1:24" ht="20.100000000000001" customHeight="1" x14ac:dyDescent="0.35">
      <c r="A105" s="257" t="s">
        <v>277</v>
      </c>
      <c r="B105" s="258"/>
      <c r="C105" s="259"/>
      <c r="D105" s="105" t="s">
        <v>14</v>
      </c>
      <c r="E105" s="60" t="s">
        <v>366</v>
      </c>
      <c r="F105" s="57">
        <v>4248.51</v>
      </c>
      <c r="G105" s="98"/>
      <c r="H105" s="57">
        <f>F105*300%</f>
        <v>12745.53</v>
      </c>
      <c r="I105" s="57">
        <f>F105*7.5%</f>
        <v>318.63825000000003</v>
      </c>
      <c r="J105" s="57">
        <v>0</v>
      </c>
      <c r="K105" s="57">
        <f>F105*50%</f>
        <v>2124.2550000000001</v>
      </c>
      <c r="L105" s="58">
        <f>F105*350%</f>
        <v>14869.785</v>
      </c>
      <c r="M105" s="57">
        <v>0</v>
      </c>
      <c r="N105" s="57">
        <f>F105*100%</f>
        <v>4248.51</v>
      </c>
      <c r="O105" s="57">
        <v>0</v>
      </c>
      <c r="P105" s="57">
        <f>F105*10%</f>
        <v>424.85100000000006</v>
      </c>
      <c r="Q105" s="57">
        <v>5000</v>
      </c>
      <c r="R105" s="57">
        <v>0</v>
      </c>
      <c r="S105" s="58">
        <f t="shared" si="36"/>
        <v>43980.07925000001</v>
      </c>
      <c r="T105" s="58"/>
      <c r="U105" s="58">
        <v>236.04</v>
      </c>
      <c r="V105" s="58">
        <f t="shared" si="38"/>
        <v>236.04</v>
      </c>
      <c r="W105" s="58">
        <v>43744.04</v>
      </c>
      <c r="X105" s="214">
        <f t="shared" si="37"/>
        <v>43744.039250000009</v>
      </c>
    </row>
    <row r="106" spans="1:24" ht="20.100000000000001" customHeight="1" x14ac:dyDescent="0.35">
      <c r="A106" s="257" t="s">
        <v>278</v>
      </c>
      <c r="B106" s="258"/>
      <c r="C106" s="259"/>
      <c r="D106" s="105" t="s">
        <v>14</v>
      </c>
      <c r="E106" s="60" t="s">
        <v>366</v>
      </c>
      <c r="F106" s="57">
        <v>4248.51</v>
      </c>
      <c r="G106" s="98"/>
      <c r="H106" s="57">
        <f>F106*300%</f>
        <v>12745.53</v>
      </c>
      <c r="I106" s="57">
        <f>F106*7.5%</f>
        <v>318.63825000000003</v>
      </c>
      <c r="J106" s="57">
        <v>0</v>
      </c>
      <c r="K106" s="57">
        <f>F106*50%</f>
        <v>2124.2550000000001</v>
      </c>
      <c r="L106" s="58">
        <f>F106*350%</f>
        <v>14869.785</v>
      </c>
      <c r="M106" s="57">
        <v>0</v>
      </c>
      <c r="N106" s="57">
        <f>F106*100%</f>
        <v>4248.51</v>
      </c>
      <c r="O106" s="57">
        <v>0</v>
      </c>
      <c r="P106" s="57">
        <f>F106*10%</f>
        <v>424.85100000000006</v>
      </c>
      <c r="Q106" s="57">
        <v>5000</v>
      </c>
      <c r="S106" s="58">
        <f t="shared" si="36"/>
        <v>43980.07925000001</v>
      </c>
      <c r="T106" s="58"/>
      <c r="U106" s="58">
        <v>236.04</v>
      </c>
      <c r="V106" s="58">
        <f t="shared" si="38"/>
        <v>236.04</v>
      </c>
      <c r="W106" s="58">
        <v>43744.04</v>
      </c>
      <c r="X106" s="214">
        <f t="shared" si="37"/>
        <v>43744.039250000009</v>
      </c>
    </row>
    <row r="107" spans="1:24" ht="20.100000000000001" customHeight="1" x14ac:dyDescent="0.35">
      <c r="A107" s="257" t="s">
        <v>279</v>
      </c>
      <c r="B107" s="258"/>
      <c r="C107" s="259"/>
      <c r="D107" s="105" t="s">
        <v>14</v>
      </c>
      <c r="E107" s="60" t="s">
        <v>366</v>
      </c>
      <c r="F107" s="57">
        <v>4248.51</v>
      </c>
      <c r="G107" s="98"/>
      <c r="H107" s="57">
        <f>F107*300%</f>
        <v>12745.53</v>
      </c>
      <c r="I107" s="57">
        <f>F107*7.5%</f>
        <v>318.63825000000003</v>
      </c>
      <c r="J107" s="57">
        <v>0</v>
      </c>
      <c r="K107" s="57">
        <f>F107*50%</f>
        <v>2124.2550000000001</v>
      </c>
      <c r="L107" s="58">
        <f>F107*350%</f>
        <v>14869.785</v>
      </c>
      <c r="M107" s="57">
        <v>0</v>
      </c>
      <c r="N107" s="57">
        <f>F107*100%</f>
        <v>4248.51</v>
      </c>
      <c r="O107" s="57">
        <v>0</v>
      </c>
      <c r="P107" s="57">
        <f>F107*10%</f>
        <v>424.85100000000006</v>
      </c>
      <c r="Q107" s="57">
        <v>5000</v>
      </c>
      <c r="R107" s="57">
        <v>0</v>
      </c>
      <c r="S107" s="58">
        <f t="shared" si="36"/>
        <v>43980.07925000001</v>
      </c>
      <c r="T107" s="58"/>
      <c r="U107" s="58">
        <v>236.04</v>
      </c>
      <c r="V107" s="58">
        <f t="shared" si="38"/>
        <v>236.04</v>
      </c>
      <c r="W107" s="58">
        <v>43744.04</v>
      </c>
      <c r="X107" s="214">
        <f t="shared" si="37"/>
        <v>43744.039250000009</v>
      </c>
    </row>
    <row r="108" spans="1:24" ht="20.100000000000001" customHeight="1" x14ac:dyDescent="0.35">
      <c r="A108" s="261" t="s">
        <v>310</v>
      </c>
      <c r="B108" s="262"/>
      <c r="C108" s="130"/>
      <c r="D108" s="128" t="s">
        <v>14</v>
      </c>
      <c r="E108" s="60" t="s">
        <v>366</v>
      </c>
      <c r="F108" s="57">
        <v>4248.51</v>
      </c>
      <c r="G108" s="98">
        <v>0</v>
      </c>
      <c r="H108" s="57">
        <f>F108*300%</f>
        <v>12745.53</v>
      </c>
      <c r="I108" s="57">
        <f>F108*7.5%</f>
        <v>318.63825000000003</v>
      </c>
      <c r="J108" s="57">
        <v>0</v>
      </c>
      <c r="K108" s="57">
        <f>F108*50%</f>
        <v>2124.2550000000001</v>
      </c>
      <c r="L108" s="58">
        <f>F108*350%</f>
        <v>14869.785</v>
      </c>
      <c r="M108" s="57">
        <v>0</v>
      </c>
      <c r="N108" s="57">
        <f>F107*100%</f>
        <v>4248.51</v>
      </c>
      <c r="O108" s="57"/>
      <c r="P108" s="57">
        <f>F108*10%</f>
        <v>424.85100000000006</v>
      </c>
      <c r="Q108" s="57">
        <v>5000</v>
      </c>
      <c r="R108" s="57"/>
      <c r="S108" s="58">
        <f t="shared" si="36"/>
        <v>43980.07925000001</v>
      </c>
      <c r="T108" s="58"/>
      <c r="U108" s="58">
        <v>236.04</v>
      </c>
      <c r="V108" s="58">
        <f t="shared" si="38"/>
        <v>236.04</v>
      </c>
      <c r="W108" s="58">
        <v>127744.04</v>
      </c>
      <c r="X108" s="214">
        <f t="shared" si="37"/>
        <v>43744.039250000009</v>
      </c>
    </row>
    <row r="109" spans="1:24" ht="20.100000000000001" customHeight="1" x14ac:dyDescent="0.35">
      <c r="A109" s="138" t="s">
        <v>318</v>
      </c>
      <c r="B109" s="176" t="s">
        <v>318</v>
      </c>
      <c r="C109" s="141"/>
      <c r="D109" s="143" t="s">
        <v>14</v>
      </c>
      <c r="E109" s="60" t="s">
        <v>366</v>
      </c>
      <c r="F109" s="57">
        <v>4248.51</v>
      </c>
      <c r="G109" s="98"/>
      <c r="H109" s="57">
        <f>F109*300%</f>
        <v>12745.53</v>
      </c>
      <c r="I109" s="57">
        <f>F109*7.5%</f>
        <v>318.63825000000003</v>
      </c>
      <c r="J109" s="57"/>
      <c r="K109" s="57">
        <f>F109*50%</f>
        <v>2124.2550000000001</v>
      </c>
      <c r="L109" s="58">
        <f>F109*350%</f>
        <v>14869.785</v>
      </c>
      <c r="M109" s="57"/>
      <c r="N109" s="57">
        <f>F109*100%</f>
        <v>4248.51</v>
      </c>
      <c r="O109" s="57"/>
      <c r="P109" s="57">
        <f>F109*10%</f>
        <v>424.85100000000006</v>
      </c>
      <c r="Q109" s="57">
        <v>5000</v>
      </c>
      <c r="R109" s="57"/>
      <c r="S109" s="58">
        <f t="shared" si="36"/>
        <v>43980.07925000001</v>
      </c>
      <c r="T109" s="58"/>
      <c r="U109" s="58">
        <v>236.04</v>
      </c>
      <c r="V109" s="58">
        <f t="shared" si="38"/>
        <v>236.04</v>
      </c>
      <c r="W109" s="58">
        <v>43744.04</v>
      </c>
      <c r="X109" s="214">
        <f t="shared" si="37"/>
        <v>43744.039250000009</v>
      </c>
    </row>
    <row r="110" spans="1:24" ht="20.100000000000001" customHeight="1" x14ac:dyDescent="0.35">
      <c r="A110" s="107"/>
      <c r="B110" s="108"/>
      <c r="C110" s="109"/>
      <c r="D110" s="80" t="s">
        <v>385</v>
      </c>
      <c r="E110" s="60"/>
      <c r="F110" s="73">
        <f t="shared" ref="F110:X110" si="53">SUM(F69:F109)</f>
        <v>599723.90000000026</v>
      </c>
      <c r="G110" s="73">
        <f t="shared" si="53"/>
        <v>0</v>
      </c>
      <c r="H110" s="73">
        <f t="shared" si="53"/>
        <v>1799171.6999999993</v>
      </c>
      <c r="I110" s="73">
        <f t="shared" si="53"/>
        <v>44979.292500000061</v>
      </c>
      <c r="J110" s="73">
        <f t="shared" si="53"/>
        <v>240733.14</v>
      </c>
      <c r="K110" s="73">
        <f t="shared" si="53"/>
        <v>299861.95000000013</v>
      </c>
      <c r="L110" s="73">
        <f t="shared" si="53"/>
        <v>2099033.6500000004</v>
      </c>
      <c r="M110" s="73">
        <f t="shared" si="53"/>
        <v>0</v>
      </c>
      <c r="N110" s="73">
        <f t="shared" si="53"/>
        <v>599723.90000000026</v>
      </c>
      <c r="O110" s="73">
        <f t="shared" si="53"/>
        <v>0</v>
      </c>
      <c r="P110" s="73">
        <f t="shared" si="53"/>
        <v>59972.390000000021</v>
      </c>
      <c r="Q110" s="73">
        <f t="shared" si="53"/>
        <v>385000</v>
      </c>
      <c r="R110" s="73">
        <f t="shared" si="53"/>
        <v>0</v>
      </c>
      <c r="S110" s="73">
        <f t="shared" si="53"/>
        <v>6128199.9225000031</v>
      </c>
      <c r="T110" s="73">
        <f t="shared" si="53"/>
        <v>10791.06</v>
      </c>
      <c r="U110" s="73">
        <f t="shared" si="53"/>
        <v>178109.74000000014</v>
      </c>
      <c r="V110" s="73">
        <f t="shared" si="53"/>
        <v>188900.80000000013</v>
      </c>
      <c r="W110" s="73">
        <f t="shared" si="53"/>
        <v>8532323.4500000011</v>
      </c>
      <c r="X110" s="216">
        <f t="shared" si="53"/>
        <v>5813967.3925000019</v>
      </c>
    </row>
    <row r="111" spans="1:24" ht="20.100000000000001" customHeight="1" x14ac:dyDescent="0.35">
      <c r="A111" s="107"/>
      <c r="B111" s="108"/>
      <c r="C111" s="109"/>
      <c r="D111" s="110"/>
      <c r="E111" s="60"/>
      <c r="F111" s="57"/>
      <c r="G111" s="57"/>
      <c r="H111" s="57"/>
      <c r="I111" s="57"/>
      <c r="J111" s="57"/>
      <c r="K111" s="57"/>
      <c r="L111" s="58"/>
      <c r="M111" s="57"/>
      <c r="N111" s="57"/>
      <c r="O111" s="57"/>
      <c r="P111" s="57"/>
      <c r="Q111" s="57"/>
      <c r="R111" s="57"/>
      <c r="S111" s="58"/>
      <c r="T111" s="58"/>
      <c r="U111" s="57"/>
      <c r="V111" s="58"/>
      <c r="W111" s="58"/>
      <c r="X111" s="214"/>
    </row>
    <row r="112" spans="1:24" ht="20.100000000000001" customHeight="1" x14ac:dyDescent="0.35">
      <c r="A112" s="248" t="s">
        <v>281</v>
      </c>
      <c r="B112" s="249"/>
      <c r="C112" s="250"/>
      <c r="D112" s="110"/>
      <c r="E112" s="60"/>
      <c r="F112" s="57"/>
      <c r="G112" s="57"/>
      <c r="H112" s="57"/>
      <c r="I112" s="57"/>
      <c r="J112" s="57"/>
      <c r="K112" s="57"/>
      <c r="L112" s="58"/>
      <c r="M112" s="57"/>
      <c r="N112" s="57"/>
      <c r="O112" s="57"/>
      <c r="P112" s="57"/>
      <c r="Q112" s="57"/>
      <c r="R112" s="57"/>
      <c r="S112" s="58"/>
      <c r="T112" s="58"/>
      <c r="U112" s="57"/>
      <c r="V112" s="58"/>
      <c r="W112" s="58"/>
      <c r="X112" s="214"/>
    </row>
    <row r="113" spans="1:24" ht="20.100000000000001" customHeight="1" x14ac:dyDescent="0.35">
      <c r="A113" s="266" t="s">
        <v>85</v>
      </c>
      <c r="B113" s="266"/>
      <c r="C113" s="266"/>
      <c r="D113" s="59" t="s">
        <v>89</v>
      </c>
      <c r="E113" s="60" t="s">
        <v>221</v>
      </c>
      <c r="F113" s="57">
        <v>90000</v>
      </c>
      <c r="G113" s="100"/>
      <c r="H113" s="57">
        <v>0</v>
      </c>
      <c r="I113" s="57">
        <v>0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7">
        <v>0</v>
      </c>
      <c r="P113" s="57">
        <v>0</v>
      </c>
      <c r="Q113" s="57">
        <v>0</v>
      </c>
      <c r="R113" s="57">
        <v>0</v>
      </c>
      <c r="S113" s="58">
        <f t="shared" si="36"/>
        <v>90000</v>
      </c>
      <c r="T113" s="58"/>
      <c r="U113" s="57">
        <v>0</v>
      </c>
      <c r="V113" s="58">
        <v>0</v>
      </c>
      <c r="W113" s="58">
        <v>90000</v>
      </c>
      <c r="X113" s="214">
        <f t="shared" ref="X113:X124" si="54">S113-V113</f>
        <v>90000</v>
      </c>
    </row>
    <row r="114" spans="1:24" ht="20.100000000000001" customHeight="1" x14ac:dyDescent="0.35">
      <c r="A114" s="266" t="s">
        <v>98</v>
      </c>
      <c r="B114" s="266"/>
      <c r="C114" s="266"/>
      <c r="D114" s="59" t="s">
        <v>89</v>
      </c>
      <c r="E114" s="60" t="s">
        <v>221</v>
      </c>
      <c r="F114" s="57">
        <v>90000</v>
      </c>
      <c r="G114" s="100"/>
      <c r="H114" s="57">
        <v>0</v>
      </c>
      <c r="I114" s="57">
        <v>0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7">
        <v>0</v>
      </c>
      <c r="P114" s="57">
        <v>0</v>
      </c>
      <c r="Q114" s="57">
        <v>0</v>
      </c>
      <c r="R114" s="57">
        <v>0</v>
      </c>
      <c r="S114" s="58">
        <f t="shared" si="36"/>
        <v>90000</v>
      </c>
      <c r="T114" s="58"/>
      <c r="U114" s="57">
        <v>0</v>
      </c>
      <c r="V114" s="58">
        <v>0</v>
      </c>
      <c r="W114" s="58">
        <v>90000</v>
      </c>
      <c r="X114" s="214">
        <f t="shared" si="54"/>
        <v>90000</v>
      </c>
    </row>
    <row r="115" spans="1:24" ht="20.100000000000001" customHeight="1" x14ac:dyDescent="0.35">
      <c r="A115" s="266" t="s">
        <v>86</v>
      </c>
      <c r="B115" s="266"/>
      <c r="C115" s="266"/>
      <c r="D115" s="59" t="s">
        <v>90</v>
      </c>
      <c r="E115" s="60" t="s">
        <v>221</v>
      </c>
      <c r="F115" s="57">
        <v>45000</v>
      </c>
      <c r="G115" s="100"/>
      <c r="H115" s="57">
        <v>0</v>
      </c>
      <c r="I115" s="57">
        <v>0</v>
      </c>
      <c r="J115" s="57">
        <v>0</v>
      </c>
      <c r="K115" s="57">
        <v>0</v>
      </c>
      <c r="L115" s="57">
        <v>0</v>
      </c>
      <c r="M115" s="57">
        <v>0</v>
      </c>
      <c r="N115" s="57">
        <v>0</v>
      </c>
      <c r="O115" s="57">
        <v>0</v>
      </c>
      <c r="P115" s="57">
        <v>0</v>
      </c>
      <c r="Q115" s="57">
        <v>0</v>
      </c>
      <c r="R115" s="57">
        <v>0</v>
      </c>
      <c r="S115" s="58">
        <f t="shared" si="36"/>
        <v>45000</v>
      </c>
      <c r="T115" s="58"/>
      <c r="U115" s="57">
        <v>0</v>
      </c>
      <c r="V115" s="58">
        <v>0</v>
      </c>
      <c r="W115" s="58">
        <v>45000</v>
      </c>
      <c r="X115" s="214">
        <f t="shared" si="54"/>
        <v>45000</v>
      </c>
    </row>
    <row r="116" spans="1:24" ht="20.100000000000001" customHeight="1" x14ac:dyDescent="0.35">
      <c r="A116" s="266" t="s">
        <v>87</v>
      </c>
      <c r="B116" s="266"/>
      <c r="C116" s="266"/>
      <c r="D116" s="59" t="s">
        <v>90</v>
      </c>
      <c r="E116" s="60" t="s">
        <v>221</v>
      </c>
      <c r="F116" s="57">
        <v>45000</v>
      </c>
      <c r="G116" s="100"/>
      <c r="H116" s="57">
        <v>0</v>
      </c>
      <c r="I116" s="57">
        <v>0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57">
        <v>0</v>
      </c>
      <c r="P116" s="57">
        <v>0</v>
      </c>
      <c r="Q116" s="57">
        <v>0</v>
      </c>
      <c r="R116" s="57">
        <v>0</v>
      </c>
      <c r="S116" s="58">
        <f t="shared" si="36"/>
        <v>45000</v>
      </c>
      <c r="T116" s="58"/>
      <c r="U116" s="57">
        <v>0</v>
      </c>
      <c r="V116" s="58">
        <v>0</v>
      </c>
      <c r="W116" s="58">
        <v>45000</v>
      </c>
      <c r="X116" s="214">
        <f t="shared" si="54"/>
        <v>45000</v>
      </c>
    </row>
    <row r="117" spans="1:24" ht="20.100000000000001" customHeight="1" x14ac:dyDescent="0.35">
      <c r="A117" s="266" t="s">
        <v>88</v>
      </c>
      <c r="B117" s="266"/>
      <c r="C117" s="266"/>
      <c r="D117" s="126" t="s">
        <v>89</v>
      </c>
      <c r="E117" s="101">
        <v>0</v>
      </c>
      <c r="F117" s="57">
        <v>90000</v>
      </c>
      <c r="G117" s="100"/>
      <c r="H117" s="57">
        <v>0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57">
        <v>0</v>
      </c>
      <c r="P117" s="57">
        <v>0</v>
      </c>
      <c r="Q117" s="57">
        <v>0</v>
      </c>
      <c r="R117" s="57">
        <v>0</v>
      </c>
      <c r="S117" s="58">
        <f t="shared" si="36"/>
        <v>90000</v>
      </c>
      <c r="T117" s="58"/>
      <c r="U117" s="57">
        <v>0</v>
      </c>
      <c r="V117" s="58">
        <v>0</v>
      </c>
      <c r="W117" s="58">
        <v>90000</v>
      </c>
      <c r="X117" s="214">
        <f t="shared" si="54"/>
        <v>90000</v>
      </c>
    </row>
    <row r="118" spans="1:24" ht="20.100000000000001" customHeight="1" x14ac:dyDescent="0.35">
      <c r="A118" s="261" t="s">
        <v>294</v>
      </c>
      <c r="B118" s="262"/>
      <c r="C118" s="265"/>
      <c r="D118" s="118" t="s">
        <v>90</v>
      </c>
      <c r="E118" s="101">
        <v>0</v>
      </c>
      <c r="F118" s="57">
        <v>45000</v>
      </c>
      <c r="G118" s="100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8">
        <f t="shared" si="36"/>
        <v>45000</v>
      </c>
      <c r="T118" s="58"/>
      <c r="U118" s="57">
        <v>0</v>
      </c>
      <c r="V118" s="58">
        <v>0</v>
      </c>
      <c r="W118" s="58">
        <v>45000</v>
      </c>
      <c r="X118" s="214">
        <f t="shared" si="54"/>
        <v>45000</v>
      </c>
    </row>
    <row r="119" spans="1:24" ht="20.100000000000001" customHeight="1" x14ac:dyDescent="0.35">
      <c r="A119" s="261" t="s">
        <v>295</v>
      </c>
      <c r="B119" s="262"/>
      <c r="C119" s="265"/>
      <c r="D119" s="120" t="s">
        <v>89</v>
      </c>
      <c r="E119" s="60" t="s">
        <v>221</v>
      </c>
      <c r="F119" s="57">
        <v>90000</v>
      </c>
      <c r="G119" s="100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8">
        <f t="shared" si="36"/>
        <v>90000</v>
      </c>
      <c r="T119" s="58"/>
      <c r="U119" s="57">
        <v>0</v>
      </c>
      <c r="V119" s="58">
        <v>0</v>
      </c>
      <c r="W119" s="58">
        <v>90000</v>
      </c>
      <c r="X119" s="214">
        <f t="shared" si="54"/>
        <v>90000</v>
      </c>
    </row>
    <row r="120" spans="1:24" ht="20.100000000000001" customHeight="1" x14ac:dyDescent="0.35">
      <c r="A120" s="261" t="s">
        <v>304</v>
      </c>
      <c r="B120" s="262"/>
      <c r="C120" s="127"/>
      <c r="D120" s="126" t="s">
        <v>305</v>
      </c>
      <c r="E120" s="60"/>
      <c r="F120" s="57">
        <v>45000</v>
      </c>
      <c r="G120" s="100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8">
        <f t="shared" si="36"/>
        <v>45000</v>
      </c>
      <c r="T120" s="58"/>
      <c r="U120" s="57">
        <v>0</v>
      </c>
      <c r="V120" s="58">
        <v>0</v>
      </c>
      <c r="W120" s="58">
        <v>45000</v>
      </c>
      <c r="X120" s="214">
        <f t="shared" si="54"/>
        <v>45000</v>
      </c>
    </row>
    <row r="121" spans="1:24" ht="20.100000000000001" customHeight="1" x14ac:dyDescent="0.35">
      <c r="A121" s="261" t="s">
        <v>311</v>
      </c>
      <c r="B121" s="262"/>
      <c r="C121" s="130"/>
      <c r="D121" s="128" t="s">
        <v>305</v>
      </c>
      <c r="E121" s="60"/>
      <c r="F121" s="57">
        <v>45000</v>
      </c>
      <c r="G121" s="100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8">
        <f t="shared" si="36"/>
        <v>45000</v>
      </c>
      <c r="T121" s="58"/>
      <c r="U121" s="57">
        <v>0</v>
      </c>
      <c r="V121" s="58">
        <v>0</v>
      </c>
      <c r="W121" s="58">
        <v>45000</v>
      </c>
      <c r="X121" s="214">
        <f t="shared" si="54"/>
        <v>45000</v>
      </c>
    </row>
    <row r="122" spans="1:24" ht="20.100000000000001" customHeight="1" x14ac:dyDescent="0.35">
      <c r="A122" s="228"/>
      <c r="B122" s="229" t="s">
        <v>370</v>
      </c>
      <c r="C122" s="230"/>
      <c r="D122" s="231" t="s">
        <v>305</v>
      </c>
      <c r="E122" s="60"/>
      <c r="F122" s="57">
        <v>45000</v>
      </c>
      <c r="G122" s="100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232"/>
      <c r="S122" s="58">
        <f t="shared" si="36"/>
        <v>45000</v>
      </c>
      <c r="T122" s="58"/>
      <c r="U122" s="57"/>
      <c r="V122" s="58"/>
      <c r="W122" s="58">
        <v>45000</v>
      </c>
      <c r="X122" s="214">
        <f t="shared" si="54"/>
        <v>45000</v>
      </c>
    </row>
    <row r="123" spans="1:24" ht="20.100000000000001" customHeight="1" x14ac:dyDescent="0.35">
      <c r="A123" s="257" t="s">
        <v>286</v>
      </c>
      <c r="B123" s="258"/>
      <c r="C123" s="259"/>
      <c r="D123" s="114" t="s">
        <v>14</v>
      </c>
      <c r="E123" s="222">
        <v>0</v>
      </c>
      <c r="F123" s="57">
        <v>45000</v>
      </c>
      <c r="G123" s="98"/>
      <c r="H123" s="57">
        <v>0</v>
      </c>
      <c r="I123" s="57">
        <v>0</v>
      </c>
      <c r="J123" s="57">
        <v>0</v>
      </c>
      <c r="K123" s="57">
        <v>0</v>
      </c>
      <c r="L123" s="58">
        <v>0</v>
      </c>
      <c r="M123" s="57">
        <v>0</v>
      </c>
      <c r="N123" s="57">
        <v>0</v>
      </c>
      <c r="O123" s="57">
        <v>0</v>
      </c>
      <c r="P123" s="57">
        <v>0</v>
      </c>
      <c r="Q123" s="57">
        <v>0</v>
      </c>
      <c r="S123" s="58">
        <f>SUM(F123:R123)</f>
        <v>45000</v>
      </c>
      <c r="T123" s="58"/>
      <c r="U123" s="58">
        <v>0</v>
      </c>
      <c r="V123" s="58">
        <f>U123+T123</f>
        <v>0</v>
      </c>
      <c r="W123" s="58">
        <v>45000</v>
      </c>
      <c r="X123" s="214">
        <f>S123-V123</f>
        <v>45000</v>
      </c>
    </row>
    <row r="124" spans="1:24" ht="20.100000000000001" customHeight="1" x14ac:dyDescent="0.35">
      <c r="A124" s="139" t="s">
        <v>319</v>
      </c>
      <c r="B124" s="150" t="s">
        <v>319</v>
      </c>
      <c r="C124" s="140"/>
      <c r="D124" s="143" t="s">
        <v>90</v>
      </c>
      <c r="E124" s="60"/>
      <c r="F124" s="57">
        <v>45000</v>
      </c>
      <c r="G124" s="100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8">
        <f t="shared" si="36"/>
        <v>45000</v>
      </c>
      <c r="T124" s="58"/>
      <c r="U124" s="57">
        <v>0</v>
      </c>
      <c r="V124" s="58">
        <v>0</v>
      </c>
      <c r="W124" s="58">
        <v>45000</v>
      </c>
      <c r="X124" s="214">
        <f t="shared" si="54"/>
        <v>45000</v>
      </c>
    </row>
    <row r="125" spans="1:24" ht="20.100000000000001" customHeight="1" x14ac:dyDescent="0.35">
      <c r="A125" s="248" t="s">
        <v>20</v>
      </c>
      <c r="B125" s="249"/>
      <c r="C125" s="250"/>
      <c r="D125" s="80" t="s">
        <v>348</v>
      </c>
      <c r="E125" s="80"/>
      <c r="F125" s="73">
        <f t="shared" ref="F125:S125" si="55">SUM(F113:F124)</f>
        <v>720000</v>
      </c>
      <c r="G125" s="73">
        <f t="shared" si="55"/>
        <v>0</v>
      </c>
      <c r="H125" s="73">
        <f t="shared" si="55"/>
        <v>0</v>
      </c>
      <c r="I125" s="73">
        <f t="shared" si="55"/>
        <v>0</v>
      </c>
      <c r="J125" s="73">
        <f t="shared" si="55"/>
        <v>0</v>
      </c>
      <c r="K125" s="73">
        <f t="shared" si="55"/>
        <v>0</v>
      </c>
      <c r="L125" s="73">
        <f t="shared" si="55"/>
        <v>0</v>
      </c>
      <c r="M125" s="73">
        <f t="shared" si="55"/>
        <v>0</v>
      </c>
      <c r="N125" s="73">
        <f t="shared" si="55"/>
        <v>0</v>
      </c>
      <c r="O125" s="73">
        <f t="shared" si="55"/>
        <v>0</v>
      </c>
      <c r="P125" s="73">
        <f t="shared" si="55"/>
        <v>0</v>
      </c>
      <c r="Q125" s="73">
        <f t="shared" si="55"/>
        <v>0</v>
      </c>
      <c r="R125" s="73">
        <f t="shared" si="55"/>
        <v>0</v>
      </c>
      <c r="S125" s="73">
        <f t="shared" si="55"/>
        <v>720000</v>
      </c>
      <c r="T125" s="73">
        <f>SUM(T113:T119)</f>
        <v>0</v>
      </c>
      <c r="U125" s="57">
        <v>0</v>
      </c>
      <c r="V125" s="58">
        <v>0</v>
      </c>
      <c r="W125" s="73">
        <f>SUM(W113:W124)</f>
        <v>720000</v>
      </c>
      <c r="X125" s="216">
        <f>SUM(X113:X124)</f>
        <v>720000</v>
      </c>
    </row>
    <row r="126" spans="1:24" ht="20.100000000000001" customHeight="1" x14ac:dyDescent="0.35">
      <c r="A126" s="76"/>
      <c r="B126" s="77"/>
      <c r="C126" s="78"/>
      <c r="D126" s="80"/>
      <c r="E126" s="80"/>
      <c r="F126" s="73"/>
      <c r="G126" s="73"/>
      <c r="H126" s="73"/>
      <c r="I126" s="73"/>
      <c r="J126" s="73"/>
      <c r="K126" s="73"/>
      <c r="L126" s="73"/>
      <c r="M126" s="73"/>
      <c r="N126" s="73"/>
      <c r="O126" s="57"/>
      <c r="P126" s="73"/>
      <c r="Q126" s="73"/>
      <c r="R126" s="73"/>
      <c r="S126" s="73"/>
      <c r="T126" s="73"/>
      <c r="U126" s="57"/>
      <c r="V126" s="58"/>
      <c r="W126" s="58"/>
      <c r="X126" s="214"/>
    </row>
    <row r="127" spans="1:24" ht="20.100000000000001" customHeight="1" x14ac:dyDescent="0.35">
      <c r="A127" s="248" t="s">
        <v>322</v>
      </c>
      <c r="B127" s="249"/>
      <c r="C127" s="250"/>
      <c r="D127" s="59"/>
      <c r="E127" s="60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>
        <v>0</v>
      </c>
      <c r="V127" s="58">
        <v>0</v>
      </c>
      <c r="W127" s="58"/>
      <c r="X127" s="214"/>
    </row>
    <row r="128" spans="1:24" ht="20.100000000000001" customHeight="1" x14ac:dyDescent="0.35">
      <c r="A128" s="138" t="s">
        <v>320</v>
      </c>
      <c r="B128" s="176" t="s">
        <v>400</v>
      </c>
      <c r="C128" s="142"/>
      <c r="D128" s="143" t="s">
        <v>321</v>
      </c>
      <c r="E128" s="60"/>
      <c r="F128" s="57">
        <v>652580.21</v>
      </c>
      <c r="G128" s="100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>
        <f>SUM(F128:R128)</f>
        <v>652580.21</v>
      </c>
      <c r="T128" s="57"/>
      <c r="U128" s="57"/>
      <c r="V128" s="58"/>
      <c r="W128" s="58">
        <v>630962.12</v>
      </c>
      <c r="X128" s="214">
        <v>0</v>
      </c>
    </row>
    <row r="129" spans="1:25" ht="20.100000000000001" customHeight="1" x14ac:dyDescent="0.35">
      <c r="A129" s="244"/>
      <c r="B129" s="245" t="s">
        <v>399</v>
      </c>
      <c r="C129" s="243"/>
      <c r="D129" s="246" t="s">
        <v>321</v>
      </c>
      <c r="E129" s="60"/>
      <c r="F129" s="57">
        <v>652580.21</v>
      </c>
      <c r="G129" s="100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>
        <f>SUM(F129:R129)</f>
        <v>652580.21</v>
      </c>
      <c r="T129" s="57"/>
      <c r="U129" s="57">
        <f>21618.09</f>
        <v>21618.09</v>
      </c>
      <c r="V129" s="58">
        <f>U129+T129</f>
        <v>21618.09</v>
      </c>
      <c r="W129" s="58"/>
      <c r="X129" s="214">
        <f t="shared" ref="X129:X139" si="56">S129-V129</f>
        <v>630962.12</v>
      </c>
    </row>
    <row r="130" spans="1:25" ht="20.100000000000001" customHeight="1" x14ac:dyDescent="0.35">
      <c r="A130" s="175"/>
      <c r="B130" s="176" t="s">
        <v>343</v>
      </c>
      <c r="C130" s="178"/>
      <c r="D130" s="179" t="s">
        <v>131</v>
      </c>
      <c r="E130" s="60" t="s">
        <v>166</v>
      </c>
      <c r="F130" s="57">
        <v>124800</v>
      </c>
      <c r="G130" s="100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>
        <f t="shared" ref="S130:S139" si="57">SUM(F130:R130)</f>
        <v>124800</v>
      </c>
      <c r="T130" s="57"/>
      <c r="U130" s="57"/>
      <c r="V130" s="58"/>
      <c r="W130" s="58">
        <v>124800</v>
      </c>
      <c r="X130" s="214">
        <f t="shared" si="56"/>
        <v>124800</v>
      </c>
    </row>
    <row r="131" spans="1:25" ht="20.100000000000001" customHeight="1" x14ac:dyDescent="0.35">
      <c r="A131" s="257" t="s">
        <v>222</v>
      </c>
      <c r="B131" s="258"/>
      <c r="C131" s="259"/>
      <c r="D131" s="59" t="s">
        <v>139</v>
      </c>
      <c r="E131" s="60" t="s">
        <v>166</v>
      </c>
      <c r="F131" s="57">
        <f>168602.08*60%</f>
        <v>101161.24799999999</v>
      </c>
      <c r="G131" s="100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>
        <f t="shared" si="57"/>
        <v>101161.24799999999</v>
      </c>
      <c r="T131" s="57"/>
      <c r="U131" s="57">
        <v>0</v>
      </c>
      <c r="V131" s="58"/>
      <c r="W131" s="58">
        <v>101161.25</v>
      </c>
      <c r="X131" s="214">
        <f t="shared" si="56"/>
        <v>101161.24799999999</v>
      </c>
    </row>
    <row r="132" spans="1:25" ht="20.100000000000001" customHeight="1" x14ac:dyDescent="0.35">
      <c r="A132" s="257" t="s">
        <v>223</v>
      </c>
      <c r="B132" s="258"/>
      <c r="C132" s="259"/>
      <c r="D132" s="59" t="s">
        <v>225</v>
      </c>
      <c r="E132" s="60" t="s">
        <v>166</v>
      </c>
      <c r="F132" s="57">
        <f>168602.08*60%</f>
        <v>101161.24799999999</v>
      </c>
      <c r="G132" s="100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>
        <f t="shared" si="57"/>
        <v>101161.24799999999</v>
      </c>
      <c r="T132" s="57"/>
      <c r="U132" s="57">
        <v>0</v>
      </c>
      <c r="V132" s="58"/>
      <c r="W132" s="58">
        <v>101161.25</v>
      </c>
      <c r="X132" s="214">
        <f t="shared" si="56"/>
        <v>101161.24799999999</v>
      </c>
    </row>
    <row r="133" spans="1:25" ht="20.100000000000001" customHeight="1" x14ac:dyDescent="0.35">
      <c r="A133" s="257" t="s">
        <v>271</v>
      </c>
      <c r="B133" s="258"/>
      <c r="C133" s="259"/>
      <c r="D133" s="105" t="s">
        <v>272</v>
      </c>
      <c r="E133" s="60" t="s">
        <v>50</v>
      </c>
      <c r="F133" s="57">
        <v>206832.42</v>
      </c>
      <c r="G133" s="100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>
        <f t="shared" si="57"/>
        <v>206832.42</v>
      </c>
      <c r="T133" s="57"/>
      <c r="U133" s="57">
        <v>0</v>
      </c>
      <c r="V133" s="58"/>
      <c r="W133" s="58">
        <v>206832.42</v>
      </c>
      <c r="X133" s="214">
        <f t="shared" si="56"/>
        <v>206832.42</v>
      </c>
    </row>
    <row r="134" spans="1:25" ht="20.100000000000001" customHeight="1" x14ac:dyDescent="0.35">
      <c r="A134" s="257" t="s">
        <v>236</v>
      </c>
      <c r="B134" s="258"/>
      <c r="C134" s="259"/>
      <c r="D134" s="105" t="s">
        <v>273</v>
      </c>
      <c r="E134" s="60" t="s">
        <v>50</v>
      </c>
      <c r="F134" s="57">
        <f>344720.6*60%</f>
        <v>206832.36</v>
      </c>
      <c r="G134" s="100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>
        <f t="shared" si="57"/>
        <v>206832.36</v>
      </c>
      <c r="T134" s="57"/>
      <c r="U134" s="57">
        <v>0</v>
      </c>
      <c r="V134" s="58"/>
      <c r="W134" s="58">
        <v>206832.42</v>
      </c>
      <c r="X134" s="214">
        <f t="shared" si="56"/>
        <v>206832.36</v>
      </c>
    </row>
    <row r="135" spans="1:25" ht="20.100000000000001" customHeight="1" x14ac:dyDescent="0.35">
      <c r="A135" s="257" t="s">
        <v>290</v>
      </c>
      <c r="B135" s="258"/>
      <c r="C135" s="259"/>
      <c r="D135" s="117" t="s">
        <v>291</v>
      </c>
      <c r="E135" s="60" t="s">
        <v>166</v>
      </c>
      <c r="F135" s="57">
        <v>101161.25</v>
      </c>
      <c r="G135" s="100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>
        <f t="shared" si="57"/>
        <v>101161.25</v>
      </c>
      <c r="T135" s="57"/>
      <c r="U135" s="57">
        <v>0</v>
      </c>
      <c r="V135" s="58"/>
      <c r="W135" s="58">
        <v>101161.25</v>
      </c>
      <c r="X135" s="214">
        <f t="shared" si="56"/>
        <v>101161.25</v>
      </c>
    </row>
    <row r="136" spans="1:25" ht="20.100000000000001" customHeight="1" x14ac:dyDescent="0.35">
      <c r="A136" s="257" t="s">
        <v>288</v>
      </c>
      <c r="B136" s="258"/>
      <c r="C136" s="259"/>
      <c r="D136" s="117" t="s">
        <v>289</v>
      </c>
      <c r="E136" s="60" t="s">
        <v>166</v>
      </c>
      <c r="F136" s="57">
        <v>125161.25</v>
      </c>
      <c r="G136" s="100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>
        <f t="shared" si="57"/>
        <v>125161.25</v>
      </c>
      <c r="T136" s="57"/>
      <c r="U136" s="57">
        <v>0</v>
      </c>
      <c r="V136" s="58"/>
      <c r="W136" s="58">
        <v>125161.25</v>
      </c>
      <c r="X136" s="214">
        <f t="shared" si="56"/>
        <v>125161.25</v>
      </c>
    </row>
    <row r="137" spans="1:25" ht="20.100000000000001" customHeight="1" x14ac:dyDescent="0.35">
      <c r="A137" s="257" t="s">
        <v>298</v>
      </c>
      <c r="B137" s="258"/>
      <c r="C137" s="122"/>
      <c r="D137" s="121" t="s">
        <v>301</v>
      </c>
      <c r="E137" s="60" t="s">
        <v>185</v>
      </c>
      <c r="F137" s="57">
        <f>314201.03*60%</f>
        <v>188520.61800000002</v>
      </c>
      <c r="G137" s="100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>
        <f t="shared" si="57"/>
        <v>188520.61800000002</v>
      </c>
      <c r="T137" s="57"/>
      <c r="U137" s="57">
        <v>0</v>
      </c>
      <c r="V137" s="58"/>
      <c r="W137" s="58">
        <v>188520.62</v>
      </c>
      <c r="X137" s="214">
        <f t="shared" si="56"/>
        <v>188520.61800000002</v>
      </c>
    </row>
    <row r="138" spans="1:25" ht="20.100000000000001" customHeight="1" x14ac:dyDescent="0.35">
      <c r="A138" s="175"/>
      <c r="B138" s="176" t="s">
        <v>346</v>
      </c>
      <c r="C138" s="177"/>
      <c r="D138" s="179" t="s">
        <v>345</v>
      </c>
      <c r="E138" s="60" t="s">
        <v>185</v>
      </c>
      <c r="F138" s="57">
        <f>129800.75*60%</f>
        <v>77880.45</v>
      </c>
      <c r="G138" s="100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>
        <f t="shared" si="57"/>
        <v>77880.45</v>
      </c>
      <c r="T138" s="57"/>
      <c r="U138" s="57"/>
      <c r="V138" s="58"/>
      <c r="W138" s="58">
        <v>77880.45</v>
      </c>
      <c r="X138" s="214">
        <f t="shared" si="56"/>
        <v>77880.45</v>
      </c>
    </row>
    <row r="139" spans="1:25" ht="20.100000000000001" customHeight="1" x14ac:dyDescent="0.35">
      <c r="A139" s="257" t="s">
        <v>299</v>
      </c>
      <c r="B139" s="258"/>
      <c r="C139" s="122"/>
      <c r="D139" s="121" t="s">
        <v>302</v>
      </c>
      <c r="E139" s="60" t="s">
        <v>166</v>
      </c>
      <c r="F139" s="57">
        <f>168602.08*60%</f>
        <v>101161.24799999999</v>
      </c>
      <c r="G139" s="100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>
        <f t="shared" si="57"/>
        <v>101161.24799999999</v>
      </c>
      <c r="T139" s="57"/>
      <c r="U139" s="57">
        <v>0</v>
      </c>
      <c r="V139" s="58"/>
      <c r="W139" s="58">
        <v>101161.25</v>
      </c>
      <c r="X139" s="214">
        <f t="shared" si="56"/>
        <v>101161.24799999999</v>
      </c>
    </row>
    <row r="140" spans="1:25" ht="20.100000000000001" customHeight="1" x14ac:dyDescent="0.35">
      <c r="A140" s="65"/>
      <c r="B140" s="66"/>
      <c r="C140" s="67"/>
      <c r="D140" s="80" t="s">
        <v>386</v>
      </c>
      <c r="E140" s="60"/>
      <c r="F140" s="73">
        <f t="shared" ref="F140:R140" si="58">SUM(F128:F139)</f>
        <v>2639832.5119999996</v>
      </c>
      <c r="G140" s="73">
        <f t="shared" si="58"/>
        <v>0</v>
      </c>
      <c r="H140" s="73">
        <f t="shared" si="58"/>
        <v>0</v>
      </c>
      <c r="I140" s="73">
        <f t="shared" si="58"/>
        <v>0</v>
      </c>
      <c r="J140" s="73">
        <f t="shared" si="58"/>
        <v>0</v>
      </c>
      <c r="K140" s="73">
        <f t="shared" si="58"/>
        <v>0</v>
      </c>
      <c r="L140" s="73">
        <f t="shared" si="58"/>
        <v>0</v>
      </c>
      <c r="M140" s="73">
        <f t="shared" si="58"/>
        <v>0</v>
      </c>
      <c r="N140" s="73">
        <f t="shared" si="58"/>
        <v>0</v>
      </c>
      <c r="O140" s="73">
        <f t="shared" si="58"/>
        <v>0</v>
      </c>
      <c r="P140" s="73">
        <f t="shared" si="58"/>
        <v>0</v>
      </c>
      <c r="Q140" s="73">
        <f t="shared" si="58"/>
        <v>0</v>
      </c>
      <c r="R140" s="73">
        <f t="shared" si="58"/>
        <v>0</v>
      </c>
      <c r="S140" s="73">
        <f t="shared" ref="S140:X140" si="59">SUM(S128:S139)</f>
        <v>2639832.5119999996</v>
      </c>
      <c r="T140" s="73">
        <f t="shared" si="59"/>
        <v>0</v>
      </c>
      <c r="U140" s="145">
        <f t="shared" si="59"/>
        <v>21618.09</v>
      </c>
      <c r="V140" s="145">
        <f t="shared" si="59"/>
        <v>21618.09</v>
      </c>
      <c r="W140" s="73">
        <f t="shared" si="59"/>
        <v>1965634.28</v>
      </c>
      <c r="X140" s="216">
        <f t="shared" si="59"/>
        <v>1965634.2120000001</v>
      </c>
    </row>
    <row r="141" spans="1:25" ht="20.100000000000001" customHeight="1" x14ac:dyDescent="0.35">
      <c r="A141" s="76"/>
      <c r="B141" s="77"/>
      <c r="C141" s="78"/>
      <c r="D141" s="80"/>
      <c r="E141" s="80"/>
      <c r="F141" s="73"/>
      <c r="G141" s="73"/>
      <c r="H141" s="73"/>
      <c r="I141" s="73"/>
      <c r="J141" s="73"/>
      <c r="K141" s="73"/>
      <c r="L141" s="73"/>
      <c r="M141" s="73"/>
      <c r="N141" s="73"/>
      <c r="O141" s="57"/>
      <c r="P141" s="73"/>
      <c r="Q141" s="73"/>
      <c r="R141" s="73"/>
      <c r="S141" s="73"/>
      <c r="T141" s="73"/>
      <c r="U141" s="73"/>
      <c r="V141" s="58"/>
      <c r="W141" s="58"/>
      <c r="X141" s="214"/>
    </row>
    <row r="142" spans="1:25" ht="20.100000000000001" customHeight="1" x14ac:dyDescent="0.35">
      <c r="A142" s="260" t="s">
        <v>8</v>
      </c>
      <c r="B142" s="260"/>
      <c r="C142" s="260"/>
      <c r="D142" s="81"/>
      <c r="E142" s="82"/>
      <c r="F142" s="83">
        <f t="shared" ref="F142:X142" si="60">F140+F125+F110+F66+F42+F32</f>
        <v>5321822.9020000007</v>
      </c>
      <c r="G142" s="83">
        <f t="shared" si="60"/>
        <v>0</v>
      </c>
      <c r="H142" s="83">
        <f t="shared" si="60"/>
        <v>5725482.4199999999</v>
      </c>
      <c r="I142" s="83">
        <f t="shared" si="60"/>
        <v>183259.25300000006</v>
      </c>
      <c r="J142" s="83">
        <f t="shared" si="60"/>
        <v>962932.56</v>
      </c>
      <c r="K142" s="83">
        <f t="shared" si="60"/>
        <v>972970.76000000024</v>
      </c>
      <c r="L142" s="83">
        <f t="shared" si="60"/>
        <v>6786721.9900000002</v>
      </c>
      <c r="M142" s="83">
        <f t="shared" si="60"/>
        <v>40122.19</v>
      </c>
      <c r="N142" s="83">
        <f t="shared" si="60"/>
        <v>1921868.2100000004</v>
      </c>
      <c r="O142" s="83">
        <f t="shared" si="60"/>
        <v>2130000</v>
      </c>
      <c r="P142" s="83">
        <f t="shared" si="60"/>
        <v>196199.04400000002</v>
      </c>
      <c r="Q142" s="83">
        <f t="shared" si="60"/>
        <v>1090000</v>
      </c>
      <c r="R142" s="83">
        <f t="shared" si="60"/>
        <v>175235</v>
      </c>
      <c r="S142" s="83">
        <f t="shared" si="60"/>
        <v>25506614.329000004</v>
      </c>
      <c r="T142" s="83">
        <f t="shared" si="60"/>
        <v>225238.86666666667</v>
      </c>
      <c r="U142" s="83">
        <f t="shared" si="60"/>
        <v>763137.2100000002</v>
      </c>
      <c r="V142" s="83">
        <f t="shared" si="60"/>
        <v>988376.07666666689</v>
      </c>
      <c r="W142" s="83">
        <f t="shared" si="60"/>
        <v>26520568.630000003</v>
      </c>
      <c r="X142" s="217">
        <f t="shared" si="60"/>
        <v>23264036.356333338</v>
      </c>
      <c r="Y142" s="221"/>
    </row>
    <row r="143" spans="1:25" ht="20.100000000000001" customHeight="1" x14ac:dyDescent="0.35">
      <c r="A143" s="251"/>
      <c r="B143" s="252"/>
      <c r="C143" s="253"/>
      <c r="D143" s="84"/>
      <c r="E143" s="85"/>
      <c r="F143" s="86"/>
      <c r="G143" s="137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218"/>
    </row>
    <row r="144" spans="1:25" ht="20.100000000000001" customHeight="1" x14ac:dyDescent="0.35">
      <c r="A144" s="254"/>
      <c r="B144" s="255"/>
      <c r="C144" s="256"/>
      <c r="D144" s="263" t="s">
        <v>9</v>
      </c>
      <c r="E144" s="263"/>
      <c r="F144" s="263"/>
      <c r="G144" s="263"/>
      <c r="H144" s="263"/>
      <c r="I144" s="263"/>
      <c r="J144" s="263"/>
      <c r="K144" s="247" t="s">
        <v>91</v>
      </c>
      <c r="L144" s="247"/>
      <c r="M144" s="247"/>
      <c r="N144" s="247"/>
      <c r="O144" s="87"/>
      <c r="P144" s="247" t="s">
        <v>92</v>
      </c>
      <c r="Q144" s="247"/>
      <c r="R144" s="247"/>
      <c r="S144" s="247"/>
      <c r="T144" s="90"/>
      <c r="U144" s="88"/>
      <c r="V144" s="88"/>
      <c r="W144" s="88"/>
      <c r="X144" s="133"/>
    </row>
    <row r="145" spans="1:24" ht="20.100000000000001" customHeight="1" x14ac:dyDescent="0.35">
      <c r="A145" s="254"/>
      <c r="B145" s="255"/>
      <c r="C145" s="256"/>
      <c r="D145" s="263"/>
      <c r="E145" s="263"/>
      <c r="F145" s="263"/>
      <c r="G145" s="263"/>
      <c r="H145" s="263"/>
      <c r="I145" s="263"/>
      <c r="J145" s="263"/>
      <c r="K145" s="247"/>
      <c r="L145" s="247"/>
      <c r="M145" s="247"/>
      <c r="N145" s="247"/>
      <c r="O145" s="87"/>
      <c r="P145" s="247"/>
      <c r="Q145" s="247"/>
      <c r="R145" s="247"/>
      <c r="S145" s="247"/>
      <c r="T145" s="90"/>
      <c r="U145" s="88"/>
      <c r="V145" s="88"/>
      <c r="W145" s="88"/>
      <c r="X145" s="133"/>
    </row>
    <row r="146" spans="1:24" ht="20.100000000000001" customHeight="1" x14ac:dyDescent="0.35">
      <c r="A146" s="62"/>
      <c r="B146" s="63"/>
      <c r="C146" s="64"/>
      <c r="D146" s="42"/>
      <c r="E146" s="54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219"/>
    </row>
    <row r="150" spans="1:24" ht="20.100000000000001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0.100000000000001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0.100000000000001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0.100000000000001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0.100000000000001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0.100000000000001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0.100000000000001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0.100000000000001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20.100000000000001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20.100000000000001" customHeight="1" x14ac:dyDescent="0.3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</sheetData>
  <mergeCells count="129">
    <mergeCell ref="T5:V5"/>
    <mergeCell ref="A63:C63"/>
    <mergeCell ref="A26:C26"/>
    <mergeCell ref="A74:C74"/>
    <mergeCell ref="A43:C43"/>
    <mergeCell ref="A47:C47"/>
    <mergeCell ref="A46:C46"/>
    <mergeCell ref="A10:C10"/>
    <mergeCell ref="A49:C49"/>
    <mergeCell ref="A72:C72"/>
    <mergeCell ref="A30:C30"/>
    <mergeCell ref="F5:S5"/>
    <mergeCell ref="A6:C6"/>
    <mergeCell ref="A5:C5"/>
    <mergeCell ref="A7:C7"/>
    <mergeCell ref="A32:C32"/>
    <mergeCell ref="A59:C59"/>
    <mergeCell ref="A56:C56"/>
    <mergeCell ref="A60:C60"/>
    <mergeCell ref="A42:C42"/>
    <mergeCell ref="A48:C48"/>
    <mergeCell ref="A31:B31"/>
    <mergeCell ref="A53:C53"/>
    <mergeCell ref="A45:C45"/>
    <mergeCell ref="A54:C54"/>
    <mergeCell ref="A39:C39"/>
    <mergeCell ref="A34:C34"/>
    <mergeCell ref="A51:C51"/>
    <mergeCell ref="A50:C50"/>
    <mergeCell ref="A52:B52"/>
    <mergeCell ref="A38:C38"/>
    <mergeCell ref="A61:C61"/>
    <mergeCell ref="A33:C33"/>
    <mergeCell ref="A35:C35"/>
    <mergeCell ref="A36:C36"/>
    <mergeCell ref="A37:C37"/>
    <mergeCell ref="A58:C58"/>
    <mergeCell ref="A41:C41"/>
    <mergeCell ref="A3:E3"/>
    <mergeCell ref="A9:C9"/>
    <mergeCell ref="A13:C13"/>
    <mergeCell ref="A27:C27"/>
    <mergeCell ref="A11:C11"/>
    <mergeCell ref="A8:C8"/>
    <mergeCell ref="A21:C21"/>
    <mergeCell ref="A12:B12"/>
    <mergeCell ref="A29:C29"/>
    <mergeCell ref="A15:C15"/>
    <mergeCell ref="A19:C19"/>
    <mergeCell ref="A17:C17"/>
    <mergeCell ref="A16:C16"/>
    <mergeCell ref="A20:C20"/>
    <mergeCell ref="A28:C28"/>
    <mergeCell ref="A18:C18"/>
    <mergeCell ref="A14:C14"/>
    <mergeCell ref="A22:C22"/>
    <mergeCell ref="A106:C106"/>
    <mergeCell ref="A107:C107"/>
    <mergeCell ref="A82:C82"/>
    <mergeCell ref="A88:C88"/>
    <mergeCell ref="A95:C95"/>
    <mergeCell ref="A85:C85"/>
    <mergeCell ref="A86:C86"/>
    <mergeCell ref="A71:C71"/>
    <mergeCell ref="A75:C75"/>
    <mergeCell ref="A80:C80"/>
    <mergeCell ref="A83:C83"/>
    <mergeCell ref="A89:C89"/>
    <mergeCell ref="A94:C94"/>
    <mergeCell ref="A100:C100"/>
    <mergeCell ref="A99:C99"/>
    <mergeCell ref="A77:C77"/>
    <mergeCell ref="A62:C62"/>
    <mergeCell ref="A84:C84"/>
    <mergeCell ref="A78:C78"/>
    <mergeCell ref="A81:C81"/>
    <mergeCell ref="A76:C76"/>
    <mergeCell ref="A73:C73"/>
    <mergeCell ref="A87:C87"/>
    <mergeCell ref="A90:C90"/>
    <mergeCell ref="A102:C102"/>
    <mergeCell ref="A96:C96"/>
    <mergeCell ref="A91:C91"/>
    <mergeCell ref="A64:C64"/>
    <mergeCell ref="A70:C70"/>
    <mergeCell ref="A66:C66"/>
    <mergeCell ref="A79:C79"/>
    <mergeCell ref="A69:C69"/>
    <mergeCell ref="A65:C65"/>
    <mergeCell ref="A68:C68"/>
    <mergeCell ref="A121:B121"/>
    <mergeCell ref="E144:J145"/>
    <mergeCell ref="D144:D145"/>
    <mergeCell ref="A134:C134"/>
    <mergeCell ref="A127:C127"/>
    <mergeCell ref="A131:C131"/>
    <mergeCell ref="A92:C92"/>
    <mergeCell ref="A123:C123"/>
    <mergeCell ref="A97:C97"/>
    <mergeCell ref="A103:C103"/>
    <mergeCell ref="A101:C101"/>
    <mergeCell ref="A98:C98"/>
    <mergeCell ref="A108:B108"/>
    <mergeCell ref="A119:C119"/>
    <mergeCell ref="A104:C104"/>
    <mergeCell ref="A115:C115"/>
    <mergeCell ref="A117:C117"/>
    <mergeCell ref="A116:C116"/>
    <mergeCell ref="A114:C114"/>
    <mergeCell ref="A113:C113"/>
    <mergeCell ref="A112:C112"/>
    <mergeCell ref="A120:B120"/>
    <mergeCell ref="A118:C118"/>
    <mergeCell ref="A105:C105"/>
    <mergeCell ref="Q144:S145"/>
    <mergeCell ref="A125:C125"/>
    <mergeCell ref="A143:C143"/>
    <mergeCell ref="A144:C144"/>
    <mergeCell ref="A145:C145"/>
    <mergeCell ref="A139:B139"/>
    <mergeCell ref="P144:P145"/>
    <mergeCell ref="A133:C133"/>
    <mergeCell ref="A135:C135"/>
    <mergeCell ref="A132:C132"/>
    <mergeCell ref="L144:N145"/>
    <mergeCell ref="K144:K145"/>
    <mergeCell ref="A142:C142"/>
    <mergeCell ref="A136:C136"/>
    <mergeCell ref="A137:B137"/>
  </mergeCells>
  <phoneticPr fontId="0" type="noConversion"/>
  <pageMargins left="0" right="0" top="0.17" bottom="0.06" header="0.13" footer="0.01"/>
  <pageSetup paperSize="9" scale="3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opLeftCell="A19" workbookViewId="0">
      <selection activeCell="B24" sqref="B24"/>
    </sheetView>
  </sheetViews>
  <sheetFormatPr defaultRowHeight="13.2" x14ac:dyDescent="0.25"/>
  <cols>
    <col min="4" max="4" width="26.44140625" customWidth="1"/>
    <col min="5" max="5" width="25.88671875" customWidth="1"/>
  </cols>
  <sheetData>
    <row r="1" spans="1:5" ht="18" x14ac:dyDescent="0.35">
      <c r="A1" s="1" t="s">
        <v>335</v>
      </c>
      <c r="B1" s="297" t="s">
        <v>334</v>
      </c>
      <c r="C1" s="297"/>
      <c r="D1" s="297"/>
      <c r="E1" s="1" t="s">
        <v>240</v>
      </c>
    </row>
    <row r="2" spans="1:5" ht="18" x14ac:dyDescent="0.35">
      <c r="A2" s="3">
        <v>1</v>
      </c>
      <c r="B2" s="220" t="s">
        <v>242</v>
      </c>
      <c r="C2" s="220"/>
      <c r="D2" s="220"/>
      <c r="E2" s="101">
        <v>120000</v>
      </c>
    </row>
    <row r="3" spans="1:5" ht="18" x14ac:dyDescent="0.35">
      <c r="A3" s="3">
        <v>2</v>
      </c>
      <c r="B3" s="220" t="s">
        <v>150</v>
      </c>
      <c r="C3" s="220"/>
      <c r="D3" s="220"/>
      <c r="E3" s="101">
        <v>120000</v>
      </c>
    </row>
    <row r="4" spans="1:5" ht="18" x14ac:dyDescent="0.35">
      <c r="A4" s="3">
        <v>3</v>
      </c>
      <c r="B4" s="220" t="s">
        <v>274</v>
      </c>
      <c r="C4" s="220"/>
      <c r="D4" s="220"/>
      <c r="E4" s="101">
        <v>120000</v>
      </c>
    </row>
    <row r="5" spans="1:5" ht="18" x14ac:dyDescent="0.35">
      <c r="A5" s="3">
        <v>4</v>
      </c>
      <c r="B5" s="220" t="s">
        <v>81</v>
      </c>
      <c r="C5" s="220"/>
      <c r="D5" s="220"/>
      <c r="E5" s="101">
        <v>60000</v>
      </c>
    </row>
    <row r="6" spans="1:5" ht="18" x14ac:dyDescent="0.35">
      <c r="A6" s="3">
        <v>5</v>
      </c>
      <c r="B6" s="220" t="s">
        <v>31</v>
      </c>
      <c r="C6" s="220"/>
      <c r="D6" s="220"/>
      <c r="E6" s="101">
        <v>60000</v>
      </c>
    </row>
    <row r="7" spans="1:5" ht="18" x14ac:dyDescent="0.35">
      <c r="A7" s="3">
        <v>6</v>
      </c>
      <c r="B7" s="220" t="s">
        <v>12</v>
      </c>
      <c r="C7" s="220"/>
      <c r="D7" s="220"/>
      <c r="E7" s="101">
        <v>60000</v>
      </c>
    </row>
    <row r="8" spans="1:5" ht="18" x14ac:dyDescent="0.35">
      <c r="A8" s="3">
        <v>7</v>
      </c>
      <c r="B8" s="220" t="s">
        <v>34</v>
      </c>
      <c r="C8" s="220"/>
      <c r="D8" s="220"/>
      <c r="E8" s="101">
        <v>60000</v>
      </c>
    </row>
    <row r="9" spans="1:5" ht="18" x14ac:dyDescent="0.35">
      <c r="A9" s="3">
        <v>8</v>
      </c>
      <c r="B9" s="220" t="s">
        <v>36</v>
      </c>
      <c r="C9" s="220"/>
      <c r="D9" s="220"/>
      <c r="E9" s="101">
        <v>60000</v>
      </c>
    </row>
    <row r="10" spans="1:5" ht="18" x14ac:dyDescent="0.35">
      <c r="A10" s="3">
        <v>9</v>
      </c>
      <c r="B10" s="220" t="s">
        <v>224</v>
      </c>
      <c r="C10" s="220"/>
      <c r="D10" s="220"/>
      <c r="E10" s="101">
        <v>30000</v>
      </c>
    </row>
    <row r="11" spans="1:5" ht="18" x14ac:dyDescent="0.35">
      <c r="A11" s="3">
        <v>10</v>
      </c>
      <c r="B11" s="298" t="s">
        <v>180</v>
      </c>
      <c r="C11" s="299"/>
      <c r="D11" s="300"/>
      <c r="E11" s="101">
        <v>30000</v>
      </c>
    </row>
    <row r="12" spans="1:5" ht="18" x14ac:dyDescent="0.35">
      <c r="A12" s="3">
        <v>11</v>
      </c>
      <c r="B12" s="220" t="s">
        <v>37</v>
      </c>
      <c r="C12" s="220"/>
      <c r="D12" s="220"/>
      <c r="E12" s="101">
        <v>30000</v>
      </c>
    </row>
    <row r="13" spans="1:5" ht="18" x14ac:dyDescent="0.35">
      <c r="A13" s="3">
        <v>12</v>
      </c>
      <c r="B13" s="220" t="s">
        <v>218</v>
      </c>
      <c r="C13" s="220"/>
      <c r="D13" s="220"/>
      <c r="E13" s="101">
        <v>30000</v>
      </c>
    </row>
    <row r="14" spans="1:5" ht="18" x14ac:dyDescent="0.35">
      <c r="A14" s="3">
        <v>13</v>
      </c>
      <c r="B14" s="220" t="s">
        <v>233</v>
      </c>
      <c r="C14" s="220"/>
      <c r="D14" s="220"/>
      <c r="E14" s="101">
        <v>30000</v>
      </c>
    </row>
    <row r="15" spans="1:5" ht="18" x14ac:dyDescent="0.35">
      <c r="A15" s="3">
        <v>14</v>
      </c>
      <c r="B15" s="298" t="s">
        <v>394</v>
      </c>
      <c r="C15" s="299"/>
      <c r="D15" s="300"/>
      <c r="E15" s="101">
        <v>30000</v>
      </c>
    </row>
    <row r="16" spans="1:5" ht="18" x14ac:dyDescent="0.35">
      <c r="A16" s="3">
        <v>15</v>
      </c>
      <c r="B16" s="220" t="s">
        <v>24</v>
      </c>
      <c r="C16" s="220"/>
      <c r="D16" s="220"/>
      <c r="E16" s="101">
        <v>30000</v>
      </c>
    </row>
    <row r="17" spans="1:5" ht="18" x14ac:dyDescent="0.35">
      <c r="A17" s="3">
        <v>16</v>
      </c>
      <c r="B17" s="220" t="s">
        <v>216</v>
      </c>
      <c r="C17" s="220"/>
      <c r="D17" s="220"/>
      <c r="E17" s="101">
        <v>20000</v>
      </c>
    </row>
    <row r="18" spans="1:5" ht="18" x14ac:dyDescent="0.35">
      <c r="A18" s="3">
        <v>17</v>
      </c>
      <c r="B18" s="220" t="s">
        <v>182</v>
      </c>
      <c r="C18" s="220"/>
      <c r="D18" s="220"/>
      <c r="E18" s="101">
        <v>20000</v>
      </c>
    </row>
    <row r="19" spans="1:5" ht="18" x14ac:dyDescent="0.35">
      <c r="A19" s="3">
        <v>18</v>
      </c>
      <c r="B19" s="220" t="s">
        <v>292</v>
      </c>
      <c r="C19" s="220"/>
      <c r="D19" s="220"/>
      <c r="E19" s="101">
        <v>20000</v>
      </c>
    </row>
    <row r="20" spans="1:5" ht="18" x14ac:dyDescent="0.35">
      <c r="A20" s="3">
        <v>19</v>
      </c>
      <c r="B20" s="220" t="s">
        <v>293</v>
      </c>
      <c r="C20" s="220"/>
      <c r="D20" s="220"/>
      <c r="E20" s="101">
        <v>20000</v>
      </c>
    </row>
    <row r="21" spans="1:5" ht="18" x14ac:dyDescent="0.35">
      <c r="A21" s="3">
        <v>20</v>
      </c>
      <c r="B21" s="220" t="s">
        <v>6</v>
      </c>
      <c r="C21" s="220"/>
      <c r="D21" s="220"/>
      <c r="E21" s="101">
        <v>20000</v>
      </c>
    </row>
    <row r="22" spans="1:5" ht="18" x14ac:dyDescent="0.35">
      <c r="A22" s="3">
        <v>21</v>
      </c>
      <c r="B22" s="220" t="s">
        <v>17</v>
      </c>
      <c r="C22" s="220"/>
      <c r="D22" s="220"/>
      <c r="E22" s="101">
        <v>10000</v>
      </c>
    </row>
    <row r="23" spans="1:5" ht="18" x14ac:dyDescent="0.35">
      <c r="A23" s="3">
        <v>22</v>
      </c>
      <c r="B23" s="298" t="s">
        <v>395</v>
      </c>
      <c r="C23" s="299"/>
      <c r="D23" s="300"/>
      <c r="E23" s="101">
        <v>20000</v>
      </c>
    </row>
    <row r="24" spans="1:5" ht="18" x14ac:dyDescent="0.35">
      <c r="A24" s="3"/>
      <c r="B24" s="220"/>
      <c r="C24" s="220"/>
      <c r="D24" s="220"/>
      <c r="E24" s="19">
        <f>SUM(E2:E23)</f>
        <v>1000000</v>
      </c>
    </row>
    <row r="26" spans="1:5" x14ac:dyDescent="0.25">
      <c r="E26" s="242"/>
    </row>
    <row r="27" spans="1:5" x14ac:dyDescent="0.25">
      <c r="E27" s="242"/>
    </row>
    <row r="28" spans="1:5" x14ac:dyDescent="0.25">
      <c r="E28" s="242"/>
    </row>
    <row r="29" spans="1:5" x14ac:dyDescent="0.25">
      <c r="E29" s="242"/>
    </row>
    <row r="30" spans="1:5" x14ac:dyDescent="0.25">
      <c r="E30" s="242"/>
    </row>
    <row r="31" spans="1:5" x14ac:dyDescent="0.25">
      <c r="E31" s="242"/>
    </row>
  </sheetData>
  <mergeCells count="4">
    <mergeCell ref="B1:D1"/>
    <mergeCell ref="B11:D11"/>
    <mergeCell ref="B15:D15"/>
    <mergeCell ref="B23:D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topLeftCell="A13" workbookViewId="0">
      <selection activeCell="A49" sqref="A49:H49"/>
    </sheetView>
  </sheetViews>
  <sheetFormatPr defaultRowHeight="13.2" x14ac:dyDescent="0.25"/>
  <cols>
    <col min="1" max="1" width="4.5546875" customWidth="1"/>
    <col min="4" max="4" width="9.5546875" customWidth="1"/>
    <col min="5" max="5" width="19" customWidth="1"/>
    <col min="6" max="6" width="28.44140625" customWidth="1"/>
    <col min="7" max="7" width="18.109375" customWidth="1"/>
    <col min="8" max="8" width="20.33203125" customWidth="1"/>
    <col min="9" max="9" width="12.44140625" customWidth="1"/>
    <col min="10" max="10" width="12.88671875" customWidth="1"/>
  </cols>
  <sheetData>
    <row r="1" spans="1:8" ht="20.399999999999999" x14ac:dyDescent="0.35">
      <c r="A1" s="307" t="s">
        <v>76</v>
      </c>
      <c r="B1" s="307"/>
      <c r="C1" s="307"/>
      <c r="D1" s="307"/>
      <c r="E1" s="307"/>
      <c r="F1" s="307"/>
      <c r="G1" s="307"/>
      <c r="H1" s="307"/>
    </row>
    <row r="2" spans="1:8" ht="14.25" customHeight="1" x14ac:dyDescent="0.35">
      <c r="A2" s="209"/>
      <c r="B2" s="209"/>
      <c r="C2" s="209"/>
      <c r="D2" s="209"/>
      <c r="E2" s="209"/>
      <c r="F2" s="209"/>
      <c r="G2" s="209"/>
      <c r="H2" s="209"/>
    </row>
    <row r="3" spans="1:8" ht="12.75" customHeight="1" x14ac:dyDescent="0.35">
      <c r="A3" s="1"/>
      <c r="B3" s="1"/>
      <c r="C3" s="1"/>
      <c r="D3" s="1"/>
      <c r="E3" s="1"/>
      <c r="F3" s="1"/>
      <c r="G3" s="1"/>
      <c r="H3" s="22"/>
    </row>
    <row r="4" spans="1:8" ht="20.399999999999999" x14ac:dyDescent="0.35">
      <c r="A4" s="308" t="s">
        <v>10</v>
      </c>
      <c r="B4" s="308"/>
      <c r="C4" s="308"/>
      <c r="D4" s="308"/>
      <c r="E4" s="308"/>
      <c r="F4" s="308"/>
      <c r="G4" s="308"/>
      <c r="H4" s="308"/>
    </row>
    <row r="5" spans="1:8" ht="15" customHeight="1" x14ac:dyDescent="0.35">
      <c r="A5" s="1"/>
      <c r="B5" s="1"/>
      <c r="C5" s="1"/>
      <c r="D5" s="1"/>
      <c r="E5" s="1"/>
      <c r="F5" s="1"/>
      <c r="G5" s="1"/>
      <c r="H5" s="1"/>
    </row>
    <row r="6" spans="1:8" ht="18" x14ac:dyDescent="0.35">
      <c r="A6" s="208" t="s">
        <v>267</v>
      </c>
      <c r="B6" s="208"/>
      <c r="C6" s="208"/>
      <c r="D6" s="208"/>
      <c r="E6" s="208"/>
      <c r="F6" s="208"/>
      <c r="G6" s="1"/>
      <c r="H6" s="1"/>
    </row>
    <row r="7" spans="1:8" ht="18" x14ac:dyDescent="0.35">
      <c r="A7" s="302" t="s">
        <v>268</v>
      </c>
      <c r="B7" s="302"/>
      <c r="C7" s="302"/>
      <c r="D7" s="302"/>
      <c r="E7" s="302"/>
      <c r="F7" s="302"/>
      <c r="G7" s="1"/>
      <c r="H7" s="1"/>
    </row>
    <row r="8" spans="1:8" ht="18" x14ac:dyDescent="0.35">
      <c r="A8" s="302" t="s">
        <v>269</v>
      </c>
      <c r="B8" s="302"/>
      <c r="C8" s="302"/>
      <c r="D8" s="302"/>
      <c r="E8" s="302"/>
      <c r="F8" s="302"/>
      <c r="G8" s="1"/>
      <c r="H8" s="1"/>
    </row>
    <row r="9" spans="1:8" ht="18" x14ac:dyDescent="0.35">
      <c r="A9" s="302" t="s">
        <v>383</v>
      </c>
      <c r="B9" s="302"/>
      <c r="C9" s="302"/>
      <c r="D9" s="302"/>
      <c r="E9" s="302"/>
      <c r="F9" s="1"/>
      <c r="G9" s="1"/>
      <c r="H9" s="1"/>
    </row>
    <row r="10" spans="1:8" ht="18" x14ac:dyDescent="0.35">
      <c r="A10" s="1"/>
      <c r="B10" s="1"/>
      <c r="C10" s="1"/>
      <c r="D10" s="1"/>
      <c r="E10" s="1"/>
      <c r="F10" s="1"/>
      <c r="G10" s="1"/>
      <c r="H10" s="1"/>
    </row>
    <row r="11" spans="1:8" ht="20.399999999999999" x14ac:dyDescent="0.35">
      <c r="A11" s="312" t="s">
        <v>371</v>
      </c>
      <c r="B11" s="312"/>
      <c r="C11" s="312"/>
      <c r="D11" s="312"/>
      <c r="E11" s="312"/>
      <c r="F11" s="312"/>
      <c r="G11" s="1"/>
      <c r="H11" s="1"/>
    </row>
    <row r="12" spans="1:8" ht="23.25" customHeight="1" x14ac:dyDescent="0.35">
      <c r="A12" s="1"/>
      <c r="B12" s="1"/>
      <c r="C12" s="1"/>
      <c r="D12" s="1"/>
      <c r="E12" s="1"/>
      <c r="F12" s="1"/>
      <c r="G12" s="1"/>
      <c r="H12" s="1"/>
    </row>
    <row r="13" spans="1:8" ht="22.5" customHeight="1" x14ac:dyDescent="0.35">
      <c r="A13" s="302" t="s">
        <v>372</v>
      </c>
      <c r="B13" s="302"/>
      <c r="C13" s="302"/>
      <c r="D13" s="302"/>
      <c r="E13" s="302"/>
      <c r="F13" s="302"/>
      <c r="G13" s="302"/>
      <c r="H13" s="302"/>
    </row>
    <row r="14" spans="1:8" ht="13.2" customHeight="1" x14ac:dyDescent="0.35">
      <c r="A14" s="9"/>
      <c r="B14" s="9"/>
      <c r="C14" s="9"/>
      <c r="D14" s="9"/>
      <c r="E14" s="9"/>
      <c r="F14" s="9"/>
      <c r="G14" s="9"/>
      <c r="H14" s="9"/>
    </row>
    <row r="15" spans="1:8" ht="18" x14ac:dyDescent="0.35">
      <c r="A15" s="1"/>
      <c r="B15" s="1"/>
      <c r="C15" s="1"/>
      <c r="D15" s="1"/>
      <c r="E15" s="310" t="s">
        <v>367</v>
      </c>
      <c r="F15" s="311"/>
      <c r="G15" s="310" t="s">
        <v>373</v>
      </c>
      <c r="H15" s="311"/>
    </row>
    <row r="16" spans="1:8" ht="18" x14ac:dyDescent="0.35">
      <c r="A16" s="1"/>
      <c r="B16" s="1"/>
      <c r="C16" s="1"/>
      <c r="D16" s="1"/>
      <c r="E16" s="210" t="s">
        <v>238</v>
      </c>
      <c r="F16" s="89" t="s">
        <v>240</v>
      </c>
      <c r="G16" s="210" t="s">
        <v>238</v>
      </c>
      <c r="H16" s="89" t="s">
        <v>240</v>
      </c>
    </row>
    <row r="17" spans="1:8" ht="18" x14ac:dyDescent="0.35">
      <c r="A17" s="1"/>
      <c r="B17" s="1"/>
      <c r="C17" s="1"/>
      <c r="D17" s="1"/>
      <c r="E17" s="210" t="s">
        <v>239</v>
      </c>
      <c r="F17" s="119" t="s">
        <v>5</v>
      </c>
      <c r="G17" s="210" t="s">
        <v>239</v>
      </c>
      <c r="H17" s="119" t="s">
        <v>5</v>
      </c>
    </row>
    <row r="18" spans="1:8" ht="18" x14ac:dyDescent="0.35">
      <c r="A18" s="17">
        <v>1</v>
      </c>
      <c r="B18" s="313" t="s">
        <v>77</v>
      </c>
      <c r="C18" s="302"/>
      <c r="D18" s="303"/>
      <c r="E18" s="3">
        <v>22</v>
      </c>
      <c r="F18" s="18">
        <f>'Apr, 14'!W32</f>
        <v>6807562.0300000031</v>
      </c>
      <c r="G18" s="3">
        <v>22</v>
      </c>
      <c r="H18" s="18">
        <f>'Apr, 14'!X32</f>
        <v>6640453.0405833367</v>
      </c>
    </row>
    <row r="19" spans="1:8" ht="18" x14ac:dyDescent="0.35">
      <c r="A19" s="17">
        <v>2</v>
      </c>
      <c r="B19" s="302" t="s">
        <v>99</v>
      </c>
      <c r="C19" s="302"/>
      <c r="D19" s="303"/>
      <c r="E19" s="3">
        <v>6</v>
      </c>
      <c r="F19" s="18">
        <f>'Apr, 14'!W42</f>
        <v>2351783.1799999997</v>
      </c>
      <c r="G19" s="3">
        <v>6</v>
      </c>
      <c r="H19" s="18">
        <f>'Apr, 14'!X42</f>
        <v>2351783.1660000002</v>
      </c>
    </row>
    <row r="20" spans="1:8" ht="18" x14ac:dyDescent="0.35">
      <c r="A20" s="17">
        <v>3</v>
      </c>
      <c r="B20" s="302" t="s">
        <v>100</v>
      </c>
      <c r="C20" s="302"/>
      <c r="D20" s="303"/>
      <c r="E20" s="3">
        <v>20</v>
      </c>
      <c r="F20" s="18">
        <f>'Apr, 14'!W66</f>
        <v>6143265.6900000013</v>
      </c>
      <c r="G20" s="3">
        <v>20</v>
      </c>
      <c r="H20" s="18">
        <f>'Apr, 14'!X66</f>
        <v>5772198.5452499995</v>
      </c>
    </row>
    <row r="21" spans="1:8" ht="18" x14ac:dyDescent="0.35">
      <c r="A21" s="17">
        <v>4</v>
      </c>
      <c r="B21" s="302" t="s">
        <v>105</v>
      </c>
      <c r="C21" s="302"/>
      <c r="D21" s="303"/>
      <c r="E21" s="3">
        <v>41</v>
      </c>
      <c r="F21" s="18">
        <f>'Apr, 14'!W110</f>
        <v>8532323.4500000011</v>
      </c>
      <c r="G21" s="3">
        <v>41</v>
      </c>
      <c r="H21" s="18">
        <f>'Apr, 14'!X110</f>
        <v>5813967.3925000019</v>
      </c>
    </row>
    <row r="22" spans="1:8" ht="18" x14ac:dyDescent="0.35">
      <c r="A22" s="17">
        <v>5</v>
      </c>
      <c r="B22" s="302" t="s">
        <v>306</v>
      </c>
      <c r="C22" s="302"/>
      <c r="D22" s="303"/>
      <c r="E22" s="3">
        <v>12</v>
      </c>
      <c r="F22" s="18">
        <f>'Apr, 14'!W125</f>
        <v>720000</v>
      </c>
      <c r="G22" s="3">
        <v>12</v>
      </c>
      <c r="H22" s="18">
        <f>'Apr, 14'!X125</f>
        <v>720000</v>
      </c>
    </row>
    <row r="23" spans="1:8" ht="18" x14ac:dyDescent="0.35">
      <c r="A23" s="17">
        <v>6</v>
      </c>
      <c r="B23" s="302" t="s">
        <v>350</v>
      </c>
      <c r="C23" s="302"/>
      <c r="D23" s="303"/>
      <c r="E23" s="3">
        <v>11</v>
      </c>
      <c r="F23" s="18">
        <f>'Apr, 14'!W140</f>
        <v>1965634.28</v>
      </c>
      <c r="G23" s="3">
        <v>11</v>
      </c>
      <c r="H23" s="18">
        <f>'Apr, 14'!X140</f>
        <v>1965634.2120000001</v>
      </c>
    </row>
    <row r="24" spans="1:8" ht="18" x14ac:dyDescent="0.35">
      <c r="A24" s="1"/>
      <c r="B24" s="1"/>
      <c r="C24" s="1"/>
      <c r="D24" s="1"/>
      <c r="E24" s="210">
        <f>SUM(E18:E23)</f>
        <v>112</v>
      </c>
      <c r="F24" s="19">
        <f>SUM(F18:F23)</f>
        <v>26520568.630000006</v>
      </c>
      <c r="G24" s="210">
        <f>SUM(G18:G23)</f>
        <v>112</v>
      </c>
      <c r="H24" s="19">
        <f>SUM(H18:H23)</f>
        <v>23264036.356333338</v>
      </c>
    </row>
    <row r="25" spans="1:8" ht="18" x14ac:dyDescent="0.35">
      <c r="A25" s="1"/>
      <c r="B25" s="1"/>
      <c r="C25" s="1"/>
      <c r="D25" s="1"/>
      <c r="E25" s="1"/>
      <c r="F25" s="1"/>
      <c r="G25" s="1"/>
      <c r="H25" s="1"/>
    </row>
    <row r="26" spans="1:8" ht="17.399999999999999" x14ac:dyDescent="0.3">
      <c r="A26" s="309" t="s">
        <v>374</v>
      </c>
      <c r="B26" s="309"/>
      <c r="C26" s="309"/>
      <c r="D26" s="309"/>
      <c r="E26" s="309"/>
      <c r="F26" s="309"/>
      <c r="G26" s="309"/>
      <c r="H26" s="309"/>
    </row>
    <row r="27" spans="1:8" ht="18" x14ac:dyDescent="0.35">
      <c r="A27" s="4"/>
      <c r="B27" s="1"/>
      <c r="C27" s="1"/>
      <c r="D27" s="1"/>
      <c r="E27" s="1"/>
      <c r="F27" s="1"/>
      <c r="G27" s="1"/>
      <c r="H27" s="1"/>
    </row>
    <row r="28" spans="1:8" ht="18" x14ac:dyDescent="0.35">
      <c r="A28" s="302" t="s">
        <v>375</v>
      </c>
      <c r="B28" s="302"/>
      <c r="C28" s="302"/>
      <c r="D28" s="302"/>
      <c r="E28" s="302"/>
      <c r="F28" s="302"/>
      <c r="G28" s="1"/>
      <c r="H28" s="8">
        <f>H24</f>
        <v>23264036.356333338</v>
      </c>
    </row>
    <row r="29" spans="1:8" ht="18" x14ac:dyDescent="0.35">
      <c r="A29" s="302" t="s">
        <v>368</v>
      </c>
      <c r="B29" s="302"/>
      <c r="C29" s="302"/>
      <c r="D29" s="302"/>
      <c r="E29" s="302"/>
      <c r="F29" s="302"/>
      <c r="G29" s="302"/>
      <c r="H29" s="10">
        <f>F24</f>
        <v>26520568.630000006</v>
      </c>
    </row>
    <row r="30" spans="1:8" ht="17.399999999999999" x14ac:dyDescent="0.3">
      <c r="A30" s="301" t="s">
        <v>376</v>
      </c>
      <c r="B30" s="301"/>
      <c r="C30" s="301"/>
      <c r="D30" s="301"/>
      <c r="E30" s="301"/>
      <c r="F30" s="301"/>
      <c r="G30" s="301"/>
      <c r="H30" s="11">
        <f>H28-H29</f>
        <v>-3256532.2736666687</v>
      </c>
    </row>
    <row r="31" spans="1:8" ht="12" customHeight="1" x14ac:dyDescent="0.35">
      <c r="A31" s="1"/>
      <c r="B31" s="1"/>
      <c r="C31" s="1"/>
      <c r="D31" s="1"/>
      <c r="E31" s="1"/>
      <c r="F31" s="1"/>
      <c r="G31" s="1"/>
      <c r="H31" s="1"/>
    </row>
    <row r="32" spans="1:8" ht="18" x14ac:dyDescent="0.35">
      <c r="A32" s="304" t="s">
        <v>329</v>
      </c>
      <c r="B32" s="304"/>
      <c r="C32" s="304"/>
      <c r="D32" s="304"/>
      <c r="E32" s="304"/>
      <c r="F32" s="304"/>
      <c r="G32" s="1"/>
      <c r="H32" s="1"/>
    </row>
    <row r="33" spans="1:10" ht="18" x14ac:dyDescent="0.35">
      <c r="A33" s="305" t="s">
        <v>384</v>
      </c>
      <c r="B33" s="305"/>
      <c r="C33" s="305"/>
      <c r="D33" s="305"/>
      <c r="E33" s="305"/>
      <c r="F33" s="305"/>
      <c r="G33" s="306">
        <v>0</v>
      </c>
      <c r="H33" s="1"/>
    </row>
    <row r="34" spans="1:10" ht="18" x14ac:dyDescent="0.35">
      <c r="A34" s="305"/>
      <c r="B34" s="305"/>
      <c r="C34" s="305"/>
      <c r="D34" s="305"/>
      <c r="E34" s="305"/>
      <c r="F34" s="305"/>
      <c r="G34" s="306"/>
      <c r="H34" s="1"/>
    </row>
    <row r="35" spans="1:10" ht="18" x14ac:dyDescent="0.35">
      <c r="A35" s="302" t="s">
        <v>390</v>
      </c>
      <c r="B35" s="302"/>
      <c r="C35" s="302"/>
      <c r="D35" s="302"/>
      <c r="E35" s="302"/>
      <c r="F35" s="302"/>
      <c r="G35" s="23">
        <f>-2803643.08+219.78</f>
        <v>-2803423.3000000003</v>
      </c>
      <c r="H35" s="1"/>
    </row>
    <row r="36" spans="1:10" ht="18" x14ac:dyDescent="0.35">
      <c r="A36" s="302" t="s">
        <v>401</v>
      </c>
      <c r="B36" s="302"/>
      <c r="C36" s="302"/>
      <c r="D36" s="302"/>
      <c r="E36" s="302"/>
      <c r="F36" s="302"/>
      <c r="G36" s="23">
        <v>-630962.12</v>
      </c>
      <c r="H36" s="1"/>
    </row>
    <row r="37" spans="1:10" ht="18" x14ac:dyDescent="0.35">
      <c r="A37" s="302" t="s">
        <v>402</v>
      </c>
      <c r="B37" s="302"/>
      <c r="C37" s="302"/>
      <c r="D37" s="302"/>
      <c r="E37" s="302"/>
      <c r="F37" s="302"/>
      <c r="G37" s="23">
        <v>630962.12</v>
      </c>
      <c r="H37" s="1"/>
    </row>
    <row r="38" spans="1:10" ht="18" x14ac:dyDescent="0.35">
      <c r="A38" s="303" t="s">
        <v>379</v>
      </c>
      <c r="B38" s="303"/>
      <c r="C38" s="303"/>
      <c r="D38" s="303"/>
      <c r="E38" s="303"/>
      <c r="F38" s="303"/>
      <c r="G38" s="23">
        <v>0</v>
      </c>
      <c r="H38" s="1"/>
    </row>
    <row r="39" spans="1:10" ht="18" x14ac:dyDescent="0.35">
      <c r="A39" s="302" t="s">
        <v>391</v>
      </c>
      <c r="B39" s="302"/>
      <c r="C39" s="302"/>
      <c r="D39" s="302"/>
      <c r="E39" s="302"/>
      <c r="F39" s="302"/>
      <c r="G39" s="23">
        <v>-252000</v>
      </c>
      <c r="H39" s="15"/>
    </row>
    <row r="40" spans="1:10" ht="18" x14ac:dyDescent="0.35">
      <c r="A40" s="302" t="s">
        <v>392</v>
      </c>
      <c r="B40" s="302"/>
      <c r="C40" s="302"/>
      <c r="D40" s="302"/>
      <c r="E40" s="302"/>
      <c r="F40" s="302"/>
      <c r="G40" s="23">
        <v>-84000</v>
      </c>
      <c r="H40" s="15"/>
    </row>
    <row r="41" spans="1:10" ht="18" x14ac:dyDescent="0.35">
      <c r="A41" s="302" t="s">
        <v>380</v>
      </c>
      <c r="B41" s="302"/>
      <c r="C41" s="302"/>
      <c r="D41" s="302"/>
      <c r="E41" s="302"/>
      <c r="F41" s="302"/>
      <c r="G41" s="23">
        <v>0</v>
      </c>
      <c r="H41" s="15"/>
    </row>
    <row r="42" spans="1:10" ht="18.75" customHeight="1" x14ac:dyDescent="0.35">
      <c r="A42" s="302" t="s">
        <v>381</v>
      </c>
      <c r="B42" s="302"/>
      <c r="C42" s="302"/>
      <c r="D42" s="302"/>
      <c r="E42" s="302"/>
      <c r="F42" s="302"/>
      <c r="G42" s="23">
        <v>0</v>
      </c>
      <c r="H42" s="1"/>
    </row>
    <row r="43" spans="1:10" ht="18.75" customHeight="1" x14ac:dyDescent="0.35">
      <c r="A43" s="302" t="s">
        <v>382</v>
      </c>
      <c r="B43" s="302"/>
      <c r="C43" s="302"/>
      <c r="D43" s="302"/>
      <c r="E43" s="302"/>
      <c r="F43" s="302"/>
      <c r="G43" s="23">
        <v>0</v>
      </c>
      <c r="H43" s="1"/>
    </row>
    <row r="44" spans="1:10" ht="18.75" customHeight="1" x14ac:dyDescent="0.35">
      <c r="A44" s="302" t="s">
        <v>393</v>
      </c>
      <c r="B44" s="302"/>
      <c r="C44" s="302"/>
      <c r="D44" s="302"/>
      <c r="E44" s="302"/>
      <c r="F44" s="302"/>
      <c r="G44" s="23">
        <v>-125331.73</v>
      </c>
      <c r="H44" s="1"/>
    </row>
    <row r="45" spans="1:10" ht="18.75" customHeight="1" x14ac:dyDescent="0.35">
      <c r="A45" s="302" t="s">
        <v>396</v>
      </c>
      <c r="B45" s="302"/>
      <c r="C45" s="302"/>
      <c r="D45" s="302"/>
      <c r="E45" s="302"/>
      <c r="F45" s="302"/>
      <c r="G45" s="23">
        <v>50000</v>
      </c>
      <c r="H45" s="1"/>
    </row>
    <row r="46" spans="1:10" ht="18.75" customHeight="1" x14ac:dyDescent="0.35">
      <c r="A46" s="302" t="s">
        <v>397</v>
      </c>
      <c r="B46" s="302"/>
      <c r="C46" s="302"/>
      <c r="D46" s="302"/>
      <c r="E46" s="302"/>
      <c r="F46" s="302"/>
      <c r="G46" s="23">
        <v>-41777.24</v>
      </c>
      <c r="H46" s="1"/>
    </row>
    <row r="47" spans="1:10" ht="18.75" customHeight="1" thickBot="1" x14ac:dyDescent="0.55000000000000004">
      <c r="G47" s="116"/>
      <c r="H47" s="233">
        <f>SUM(G33:G46)</f>
        <v>-3256532.2700000005</v>
      </c>
      <c r="I47" s="207">
        <f>H30-H47</f>
        <v>-3.6666681990027428E-3</v>
      </c>
      <c r="J47" s="207"/>
    </row>
    <row r="48" spans="1:10" ht="18.75" customHeight="1" thickTop="1" x14ac:dyDescent="0.35">
      <c r="A48" s="208"/>
      <c r="B48" s="208"/>
      <c r="C48" s="208"/>
      <c r="D48" s="208"/>
      <c r="E48" s="208"/>
      <c r="F48" s="208"/>
      <c r="G48" s="23"/>
      <c r="H48" s="15"/>
    </row>
    <row r="49" spans="1:14" ht="54" customHeight="1" x14ac:dyDescent="0.35">
      <c r="A49" s="305" t="s">
        <v>398</v>
      </c>
      <c r="B49" s="305"/>
      <c r="C49" s="305"/>
      <c r="D49" s="305"/>
      <c r="E49" s="305"/>
      <c r="F49" s="305"/>
      <c r="G49" s="305"/>
      <c r="H49" s="305"/>
      <c r="I49" s="9"/>
      <c r="J49" s="9"/>
      <c r="K49" s="9"/>
      <c r="L49" s="9"/>
      <c r="M49" s="9"/>
      <c r="N49" s="9"/>
    </row>
    <row r="50" spans="1:14" ht="25.5" customHeight="1" x14ac:dyDescent="0.35">
      <c r="A50" s="302" t="s">
        <v>249</v>
      </c>
      <c r="B50" s="302"/>
      <c r="C50" s="302"/>
      <c r="D50" s="302"/>
      <c r="E50" s="302"/>
      <c r="F50" s="302"/>
      <c r="G50" s="9"/>
      <c r="H50" s="9"/>
      <c r="I50" s="9"/>
      <c r="J50" s="9"/>
      <c r="K50" s="9"/>
      <c r="L50" s="9"/>
      <c r="M50" s="9"/>
      <c r="N50" s="9"/>
    </row>
    <row r="51" spans="1:14" ht="21" customHeight="1" x14ac:dyDescent="0.35">
      <c r="A51" s="1"/>
      <c r="B51" s="1"/>
      <c r="C51" s="1"/>
      <c r="D51" s="1"/>
      <c r="E51" s="1"/>
      <c r="F51" s="1"/>
      <c r="G51" s="1"/>
      <c r="H51" s="1"/>
    </row>
    <row r="52" spans="1:14" ht="18" x14ac:dyDescent="0.35">
      <c r="A52" s="315" t="s">
        <v>83</v>
      </c>
      <c r="B52" s="315"/>
      <c r="C52" s="315"/>
      <c r="D52" s="315"/>
      <c r="E52" s="315"/>
      <c r="F52" s="1"/>
      <c r="G52" s="1"/>
      <c r="H52" s="1"/>
    </row>
    <row r="53" spans="1:14" x14ac:dyDescent="0.25">
      <c r="A53" s="314" t="s">
        <v>141</v>
      </c>
      <c r="B53" s="314"/>
      <c r="C53" s="314"/>
      <c r="D53" s="314"/>
      <c r="E53" s="314"/>
      <c r="F53" s="14"/>
      <c r="G53" s="14"/>
      <c r="H53" s="14"/>
    </row>
    <row r="54" spans="1:14" x14ac:dyDescent="0.25">
      <c r="A54" s="14"/>
      <c r="B54" s="14"/>
      <c r="C54" s="14"/>
      <c r="D54" s="14" t="s">
        <v>153</v>
      </c>
      <c r="E54" s="14"/>
      <c r="F54" s="14"/>
      <c r="G54" s="14"/>
      <c r="H54" s="14"/>
    </row>
  </sheetData>
  <mergeCells count="38">
    <mergeCell ref="A43:F43"/>
    <mergeCell ref="A45:F45"/>
    <mergeCell ref="A53:E53"/>
    <mergeCell ref="A52:E52"/>
    <mergeCell ref="A49:H49"/>
    <mergeCell ref="A50:F50"/>
    <mergeCell ref="A46:F46"/>
    <mergeCell ref="A44:F44"/>
    <mergeCell ref="A1:H1"/>
    <mergeCell ref="A4:H4"/>
    <mergeCell ref="A8:F8"/>
    <mergeCell ref="A26:H26"/>
    <mergeCell ref="A7:F7"/>
    <mergeCell ref="A9:E9"/>
    <mergeCell ref="A13:H13"/>
    <mergeCell ref="E15:F15"/>
    <mergeCell ref="A11:F11"/>
    <mergeCell ref="G15:H15"/>
    <mergeCell ref="B21:D21"/>
    <mergeCell ref="B18:D18"/>
    <mergeCell ref="B20:D20"/>
    <mergeCell ref="B19:D19"/>
    <mergeCell ref="B22:D22"/>
    <mergeCell ref="B23:D23"/>
    <mergeCell ref="A30:G30"/>
    <mergeCell ref="A28:F28"/>
    <mergeCell ref="A40:F40"/>
    <mergeCell ref="A42:F42"/>
    <mergeCell ref="A29:G29"/>
    <mergeCell ref="A38:F38"/>
    <mergeCell ref="A32:F32"/>
    <mergeCell ref="A39:F39"/>
    <mergeCell ref="A41:F41"/>
    <mergeCell ref="A35:F35"/>
    <mergeCell ref="A33:F34"/>
    <mergeCell ref="G33:G34"/>
    <mergeCell ref="A36:F36"/>
    <mergeCell ref="A37:F37"/>
  </mergeCells>
  <phoneticPr fontId="14" type="noConversion"/>
  <pageMargins left="0.43" right="0.19" top="0.23" bottom="0.21" header="0.17" footer="0.17"/>
  <pageSetup paperSize="9" scale="8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3.2" x14ac:dyDescent="0.25"/>
  <cols>
    <col min="3" max="3" width="11.88671875" customWidth="1"/>
    <col min="4" max="5" width="28.109375" customWidth="1"/>
  </cols>
  <sheetData>
    <row r="1" spans="1:6" ht="17.399999999999999" x14ac:dyDescent="0.3">
      <c r="A1" s="317" t="s">
        <v>270</v>
      </c>
      <c r="B1" s="317"/>
      <c r="C1" s="317"/>
      <c r="D1" s="317"/>
      <c r="E1" s="317"/>
      <c r="F1" s="317"/>
    </row>
    <row r="2" spans="1:6" ht="17.399999999999999" x14ac:dyDescent="0.3">
      <c r="A2" s="318" t="s">
        <v>106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948475.67999999993</v>
      </c>
      <c r="E4" s="18">
        <f>sUMMARY!F3</f>
        <v>79039.64</v>
      </c>
      <c r="F4" s="1"/>
    </row>
    <row r="5" spans="1:6" ht="18" x14ac:dyDescent="0.35">
      <c r="A5" s="316" t="s">
        <v>109</v>
      </c>
      <c r="B5" s="316"/>
      <c r="C5" s="316"/>
      <c r="D5" s="18">
        <f t="shared" ref="D5:D14" si="0">E5*12</f>
        <v>2845427.04</v>
      </c>
      <c r="E5" s="18">
        <f>sUMMARY!H3</f>
        <v>237118.91999999998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71135.676000000007</v>
      </c>
      <c r="E6" s="18">
        <f>sUMMARY!I3</f>
        <v>5927.973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962932.56</v>
      </c>
      <c r="E7" s="18">
        <f>sUMMARY!J3</f>
        <v>80244.38</v>
      </c>
      <c r="F7" s="1"/>
    </row>
    <row r="8" spans="1:6" ht="18" x14ac:dyDescent="0.35">
      <c r="A8" s="316" t="s">
        <v>111</v>
      </c>
      <c r="B8" s="316"/>
      <c r="C8" s="316"/>
      <c r="D8" s="18">
        <f t="shared" si="0"/>
        <v>474237.83999999997</v>
      </c>
      <c r="E8" s="18">
        <f>sUMMARY!K3</f>
        <v>39519.82</v>
      </c>
      <c r="F8" s="1"/>
    </row>
    <row r="9" spans="1:6" ht="18" x14ac:dyDescent="0.35">
      <c r="A9" s="316" t="s">
        <v>112</v>
      </c>
      <c r="B9" s="316"/>
      <c r="C9" s="316"/>
      <c r="D9" s="18">
        <f t="shared" si="0"/>
        <v>3319664.88</v>
      </c>
      <c r="E9" s="18">
        <f>sUMMARY!L3</f>
        <v>276638.74</v>
      </c>
      <c r="F9" s="1"/>
    </row>
    <row r="10" spans="1:6" ht="18" x14ac:dyDescent="0.35">
      <c r="A10" s="298" t="s">
        <v>142</v>
      </c>
      <c r="B10" s="299"/>
      <c r="C10" s="300"/>
      <c r="D10" s="18">
        <f>E10*12</f>
        <v>0</v>
      </c>
      <c r="E10" s="18"/>
      <c r="F10" s="1"/>
    </row>
    <row r="11" spans="1:6" ht="18" x14ac:dyDescent="0.35">
      <c r="A11" s="316" t="s">
        <v>113</v>
      </c>
      <c r="B11" s="316"/>
      <c r="C11" s="316"/>
      <c r="D11" s="18">
        <f t="shared" si="0"/>
        <v>948475.67999999993</v>
      </c>
      <c r="E11" s="18">
        <f>sUMMARY!N3</f>
        <v>79039.64</v>
      </c>
      <c r="F11" s="1"/>
    </row>
    <row r="12" spans="1:6" ht="18" x14ac:dyDescent="0.35">
      <c r="A12" s="316" t="s">
        <v>114</v>
      </c>
      <c r="B12" s="316"/>
      <c r="C12" s="316"/>
      <c r="D12" s="18">
        <f t="shared" si="0"/>
        <v>94847.567999999999</v>
      </c>
      <c r="E12" s="18">
        <f>sUMMARY!O3</f>
        <v>7903.9639999999999</v>
      </c>
      <c r="F12" s="1"/>
    </row>
    <row r="13" spans="1:6" ht="18" x14ac:dyDescent="0.35">
      <c r="A13" s="316" t="s">
        <v>115</v>
      </c>
      <c r="B13" s="316"/>
      <c r="C13" s="316"/>
      <c r="D13" s="18">
        <f t="shared" si="0"/>
        <v>240000</v>
      </c>
      <c r="E13" s="18">
        <f>sUMMARY!P3</f>
        <v>20000</v>
      </c>
      <c r="F13" s="1"/>
    </row>
    <row r="14" spans="1:6" ht="18" x14ac:dyDescent="0.35">
      <c r="A14" s="319" t="s">
        <v>118</v>
      </c>
      <c r="B14" s="319"/>
      <c r="C14" s="319"/>
      <c r="D14" s="19">
        <f t="shared" si="0"/>
        <v>9905196.9240000006</v>
      </c>
      <c r="E14" s="19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4" sqref="E4"/>
    </sheetView>
  </sheetViews>
  <sheetFormatPr defaultRowHeight="13.2" x14ac:dyDescent="0.25"/>
  <cols>
    <col min="3" max="3" width="11.5546875" customWidth="1"/>
    <col min="4" max="4" width="19.88671875" customWidth="1"/>
    <col min="5" max="5" width="19.109375" customWidth="1"/>
  </cols>
  <sheetData>
    <row r="1" spans="1:6" ht="17.399999999999999" x14ac:dyDescent="0.3">
      <c r="A1" s="320" t="s">
        <v>120</v>
      </c>
      <c r="B1" s="320"/>
      <c r="C1" s="320"/>
      <c r="D1" s="320"/>
      <c r="E1" s="320"/>
      <c r="F1" s="320"/>
    </row>
    <row r="2" spans="1:6" ht="17.399999999999999" x14ac:dyDescent="0.3">
      <c r="A2" s="318" t="s">
        <v>121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493892.28</v>
      </c>
      <c r="E4" s="18">
        <f>'Apr, 14'!F10</f>
        <v>41157.69</v>
      </c>
      <c r="F4" s="1"/>
    </row>
    <row r="5" spans="1:6" ht="18" x14ac:dyDescent="0.35">
      <c r="A5" s="316" t="s">
        <v>109</v>
      </c>
      <c r="B5" s="316"/>
      <c r="C5" s="316"/>
      <c r="D5" s="18">
        <f t="shared" ref="D5:D13" si="0">E5*12</f>
        <v>1481676.84</v>
      </c>
      <c r="E5" s="18">
        <f>'Apr, 14'!H10</f>
        <v>123473.07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37041.921000000002</v>
      </c>
      <c r="E6" s="18">
        <f>'Apr, 14'!I10</f>
        <v>3086.8267500000002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481466.28</v>
      </c>
      <c r="E7" s="18">
        <f>'Apr, 14'!J10</f>
        <v>40122.19</v>
      </c>
      <c r="F7" s="1"/>
    </row>
    <row r="8" spans="1:6" ht="18" x14ac:dyDescent="0.35">
      <c r="A8" s="316" t="s">
        <v>111</v>
      </c>
      <c r="B8" s="316"/>
      <c r="C8" s="316"/>
      <c r="D8" s="18">
        <f t="shared" si="0"/>
        <v>246946.14</v>
      </c>
      <c r="E8" s="18">
        <f>'Apr, 14'!K10</f>
        <v>20578.845000000001</v>
      </c>
      <c r="F8" s="1"/>
    </row>
    <row r="9" spans="1:6" ht="18" x14ac:dyDescent="0.35">
      <c r="A9" s="316" t="s">
        <v>112</v>
      </c>
      <c r="B9" s="316"/>
      <c r="C9" s="316"/>
      <c r="D9" s="18">
        <f t="shared" si="0"/>
        <v>1728622.98</v>
      </c>
      <c r="E9" s="18">
        <f>'Apr, 14'!L10</f>
        <v>144051.91500000001</v>
      </c>
      <c r="F9" s="1"/>
    </row>
    <row r="10" spans="1:6" ht="18" x14ac:dyDescent="0.35">
      <c r="A10" s="316" t="s">
        <v>113</v>
      </c>
      <c r="B10" s="316"/>
      <c r="C10" s="316"/>
      <c r="D10" s="18">
        <f t="shared" si="0"/>
        <v>493892.28</v>
      </c>
      <c r="E10" s="18">
        <f>'Apr, 14'!N10</f>
        <v>41157.69</v>
      </c>
      <c r="F10" s="1"/>
    </row>
    <row r="11" spans="1:6" ht="18" x14ac:dyDescent="0.35">
      <c r="A11" s="316" t="s">
        <v>114</v>
      </c>
      <c r="B11" s="316"/>
      <c r="C11" s="316"/>
      <c r="D11" s="18">
        <f t="shared" si="0"/>
        <v>49389.228000000003</v>
      </c>
      <c r="E11" s="18">
        <f>'Apr, 14'!P10</f>
        <v>4115.7690000000002</v>
      </c>
      <c r="F11" s="1"/>
    </row>
    <row r="12" spans="1:6" ht="18" x14ac:dyDescent="0.35">
      <c r="A12" s="316" t="s">
        <v>115</v>
      </c>
      <c r="B12" s="316"/>
      <c r="C12" s="316"/>
      <c r="D12" s="18">
        <f t="shared" si="0"/>
        <v>240000</v>
      </c>
      <c r="E12" s="18">
        <f>sUMMARY!P3</f>
        <v>20000</v>
      </c>
      <c r="F12" s="1"/>
    </row>
    <row r="13" spans="1:6" ht="18" x14ac:dyDescent="0.35">
      <c r="A13" s="319" t="s">
        <v>118</v>
      </c>
      <c r="B13" s="319"/>
      <c r="C13" s="319"/>
      <c r="D13" s="19">
        <f t="shared" si="0"/>
        <v>5252927.949</v>
      </c>
      <c r="E13" s="19">
        <f>SUM(E4:E12)</f>
        <v>437743.99575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1" sqref="D11"/>
    </sheetView>
  </sheetViews>
  <sheetFormatPr defaultRowHeight="13.2" x14ac:dyDescent="0.25"/>
  <cols>
    <col min="3" max="3" width="11.33203125" customWidth="1"/>
    <col min="4" max="4" width="19" customWidth="1"/>
    <col min="5" max="5" width="19.109375" customWidth="1"/>
  </cols>
  <sheetData>
    <row r="1" spans="1:6" ht="17.399999999999999" x14ac:dyDescent="0.3">
      <c r="A1" s="320" t="s">
        <v>122</v>
      </c>
      <c r="B1" s="320"/>
      <c r="C1" s="320"/>
      <c r="D1" s="320"/>
      <c r="E1" s="320"/>
      <c r="F1" s="320"/>
    </row>
    <row r="2" spans="1:6" ht="17.399999999999999" x14ac:dyDescent="0.3">
      <c r="A2" s="318" t="s">
        <v>123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 t="e">
        <f>E4*12</f>
        <v>#REF!</v>
      </c>
      <c r="E4" s="18" t="e">
        <f>'Apr, 14'!#REF!</f>
        <v>#REF!</v>
      </c>
      <c r="F4" s="1"/>
    </row>
    <row r="5" spans="1:6" ht="18" x14ac:dyDescent="0.35">
      <c r="A5" s="316" t="s">
        <v>109</v>
      </c>
      <c r="B5" s="316"/>
      <c r="C5" s="316"/>
      <c r="D5" s="18" t="e">
        <f t="shared" ref="D5:D14" si="0">E5*12</f>
        <v>#REF!</v>
      </c>
      <c r="E5" s="18" t="e">
        <f>'Apr, 14'!#REF!</f>
        <v>#REF!</v>
      </c>
      <c r="F5" s="1"/>
    </row>
    <row r="6" spans="1:6" ht="18" x14ac:dyDescent="0.35">
      <c r="A6" s="316" t="s">
        <v>110</v>
      </c>
      <c r="B6" s="316"/>
      <c r="C6" s="316"/>
      <c r="D6" s="18" t="e">
        <f t="shared" si="0"/>
        <v>#REF!</v>
      </c>
      <c r="E6" s="18" t="e">
        <f>'Apr, 14'!#REF!</f>
        <v>#REF!</v>
      </c>
      <c r="F6" s="1"/>
    </row>
    <row r="7" spans="1:6" ht="18" x14ac:dyDescent="0.35">
      <c r="A7" s="316" t="s">
        <v>107</v>
      </c>
      <c r="B7" s="316"/>
      <c r="C7" s="316"/>
      <c r="D7" s="18" t="e">
        <f t="shared" si="0"/>
        <v>#REF!</v>
      </c>
      <c r="E7" s="18" t="e">
        <f>'Apr, 14'!#REF!</f>
        <v>#REF!</v>
      </c>
      <c r="F7" s="1"/>
    </row>
    <row r="8" spans="1:6" ht="18" x14ac:dyDescent="0.35">
      <c r="A8" s="316" t="s">
        <v>111</v>
      </c>
      <c r="B8" s="316"/>
      <c r="C8" s="316"/>
      <c r="D8" s="18" t="e">
        <f t="shared" si="0"/>
        <v>#REF!</v>
      </c>
      <c r="E8" s="18" t="e">
        <f>'Apr, 14'!#REF!</f>
        <v>#REF!</v>
      </c>
      <c r="F8" s="1"/>
    </row>
    <row r="9" spans="1:6" ht="18" x14ac:dyDescent="0.35">
      <c r="A9" s="316" t="s">
        <v>112</v>
      </c>
      <c r="B9" s="316"/>
      <c r="C9" s="316"/>
      <c r="D9" s="18" t="e">
        <f t="shared" si="0"/>
        <v>#REF!</v>
      </c>
      <c r="E9" s="18" t="e">
        <f>'Apr, 14'!#REF!</f>
        <v>#REF!</v>
      </c>
      <c r="F9" s="1"/>
    </row>
    <row r="10" spans="1:6" ht="18" x14ac:dyDescent="0.35">
      <c r="A10" s="316" t="s">
        <v>113</v>
      </c>
      <c r="B10" s="316"/>
      <c r="C10" s="316"/>
      <c r="D10" s="18" t="e">
        <f t="shared" si="0"/>
        <v>#REF!</v>
      </c>
      <c r="E10" s="18" t="e">
        <f>'Apr, 14'!#REF!</f>
        <v>#REF!</v>
      </c>
      <c r="F10" s="1"/>
    </row>
    <row r="11" spans="1:6" ht="18" x14ac:dyDescent="0.35">
      <c r="A11" s="298" t="s">
        <v>142</v>
      </c>
      <c r="B11" s="299"/>
      <c r="C11" s="300"/>
      <c r="D11" s="18">
        <f t="shared" si="0"/>
        <v>1200000</v>
      </c>
      <c r="E11" s="18">
        <v>100000</v>
      </c>
      <c r="F11" s="1"/>
    </row>
    <row r="12" spans="1:6" ht="18" x14ac:dyDescent="0.35">
      <c r="A12" s="316" t="s">
        <v>114</v>
      </c>
      <c r="B12" s="316"/>
      <c r="C12" s="316"/>
      <c r="D12" s="18" t="e">
        <f t="shared" si="0"/>
        <v>#REF!</v>
      </c>
      <c r="E12" s="18" t="e">
        <f>'Apr, 14'!#REF!</f>
        <v>#REF!</v>
      </c>
      <c r="F12" s="1"/>
    </row>
    <row r="13" spans="1:6" ht="18" x14ac:dyDescent="0.35">
      <c r="A13" s="316" t="s">
        <v>115</v>
      </c>
      <c r="B13" s="316"/>
      <c r="C13" s="316"/>
      <c r="D13" s="18" t="e">
        <f t="shared" si="0"/>
        <v>#REF!</v>
      </c>
      <c r="E13" s="18" t="e">
        <f>'Apr, 14'!#REF!</f>
        <v>#REF!</v>
      </c>
      <c r="F13" s="1"/>
    </row>
    <row r="14" spans="1:6" ht="18" x14ac:dyDescent="0.35">
      <c r="A14" s="319" t="s">
        <v>118</v>
      </c>
      <c r="B14" s="319"/>
      <c r="C14" s="319"/>
      <c r="D14" s="19" t="e">
        <f t="shared" si="0"/>
        <v>#REF!</v>
      </c>
      <c r="E14" s="19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20" sqref="H20"/>
    </sheetView>
  </sheetViews>
  <sheetFormatPr defaultRowHeight="13.2" x14ac:dyDescent="0.25"/>
  <cols>
    <col min="3" max="3" width="11.109375" customWidth="1"/>
    <col min="4" max="4" width="19.33203125" customWidth="1"/>
    <col min="5" max="5" width="19.109375" customWidth="1"/>
  </cols>
  <sheetData>
    <row r="1" spans="1:6" ht="17.399999999999999" x14ac:dyDescent="0.3">
      <c r="A1" s="320" t="s">
        <v>193</v>
      </c>
      <c r="B1" s="320"/>
      <c r="C1" s="320"/>
      <c r="D1" s="320"/>
      <c r="E1" s="320"/>
      <c r="F1" s="320"/>
    </row>
    <row r="2" spans="1:6" ht="17.399999999999999" x14ac:dyDescent="0.3">
      <c r="A2" s="318" t="s">
        <v>127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286693.44</v>
      </c>
      <c r="E4" s="18">
        <f>sUMMARY!F6</f>
        <v>23891.119999999999</v>
      </c>
      <c r="F4" s="1"/>
    </row>
    <row r="5" spans="1:6" ht="18" x14ac:dyDescent="0.35">
      <c r="A5" s="316" t="s">
        <v>109</v>
      </c>
      <c r="B5" s="316"/>
      <c r="C5" s="316"/>
      <c r="D5" s="18">
        <f t="shared" ref="D5:D14" si="0">E5*12</f>
        <v>860080.32000000007</v>
      </c>
      <c r="E5" s="18">
        <f>sUMMARY!H6</f>
        <v>71673.36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21502.007999999998</v>
      </c>
      <c r="E6" s="18">
        <f>sUMMARY!I6</f>
        <v>1791.8339999999998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0</v>
      </c>
      <c r="E7" s="18">
        <f>sUMMARY!J6</f>
        <v>0</v>
      </c>
      <c r="F7" s="1"/>
    </row>
    <row r="8" spans="1:6" ht="18" x14ac:dyDescent="0.35">
      <c r="A8" s="316" t="s">
        <v>111</v>
      </c>
      <c r="B8" s="316"/>
      <c r="C8" s="316"/>
      <c r="D8" s="18">
        <f t="shared" si="0"/>
        <v>143346.72</v>
      </c>
      <c r="E8" s="18">
        <f>sUMMARY!K6</f>
        <v>11945.56</v>
      </c>
      <c r="F8" s="1"/>
    </row>
    <row r="9" spans="1:6" ht="18" x14ac:dyDescent="0.35">
      <c r="A9" s="316" t="s">
        <v>112</v>
      </c>
      <c r="B9" s="316"/>
      <c r="C9" s="316"/>
      <c r="D9" s="18">
        <f t="shared" si="0"/>
        <v>1003427.04</v>
      </c>
      <c r="E9" s="18">
        <f>sUMMARY!L6</f>
        <v>83618.92</v>
      </c>
      <c r="F9" s="1"/>
    </row>
    <row r="10" spans="1:6" ht="18" x14ac:dyDescent="0.35">
      <c r="A10" s="316" t="s">
        <v>113</v>
      </c>
      <c r="B10" s="316"/>
      <c r="C10" s="316"/>
      <c r="D10" s="18">
        <f t="shared" si="0"/>
        <v>286693.44</v>
      </c>
      <c r="E10" s="18">
        <f>sUMMARY!N6</f>
        <v>23891.119999999999</v>
      </c>
      <c r="F10" s="1"/>
    </row>
    <row r="11" spans="1:6" ht="18" x14ac:dyDescent="0.35">
      <c r="A11" s="298" t="s">
        <v>142</v>
      </c>
      <c r="B11" s="299"/>
      <c r="C11" s="300"/>
      <c r="D11" s="18">
        <f t="shared" si="0"/>
        <v>0</v>
      </c>
      <c r="E11" s="18">
        <v>0</v>
      </c>
      <c r="F11" s="1"/>
    </row>
    <row r="12" spans="1:6" ht="18" x14ac:dyDescent="0.35">
      <c r="A12" s="316" t="s">
        <v>114</v>
      </c>
      <c r="B12" s="316"/>
      <c r="C12" s="316"/>
      <c r="D12" s="18">
        <f t="shared" si="0"/>
        <v>28669.344000000001</v>
      </c>
      <c r="E12" s="18">
        <f>sUMMARY!O6</f>
        <v>2389.1120000000001</v>
      </c>
      <c r="F12" s="1"/>
    </row>
    <row r="13" spans="1:6" ht="18" x14ac:dyDescent="0.35">
      <c r="A13" s="316" t="s">
        <v>115</v>
      </c>
      <c r="B13" s="316"/>
      <c r="C13" s="316"/>
      <c r="D13" s="18">
        <f t="shared" si="0"/>
        <v>180000</v>
      </c>
      <c r="E13" s="18">
        <f>sUMMARY!P6</f>
        <v>15000</v>
      </c>
      <c r="F13" s="1"/>
    </row>
    <row r="14" spans="1:6" ht="18" x14ac:dyDescent="0.35">
      <c r="A14" s="319" t="s">
        <v>118</v>
      </c>
      <c r="B14" s="319"/>
      <c r="C14" s="319"/>
      <c r="D14" s="19">
        <f t="shared" si="0"/>
        <v>2810412.3119999999</v>
      </c>
      <c r="E14" s="19">
        <f>SUM(E4:E13)</f>
        <v>234201.02599999998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3.2" x14ac:dyDescent="0.25"/>
  <cols>
    <col min="3" max="3" width="11.109375" customWidth="1"/>
    <col min="4" max="4" width="19.33203125" customWidth="1"/>
    <col min="5" max="5" width="18.6640625" customWidth="1"/>
  </cols>
  <sheetData>
    <row r="1" spans="1:6" ht="17.399999999999999" x14ac:dyDescent="0.3">
      <c r="A1" s="320"/>
      <c r="B1" s="320"/>
      <c r="C1" s="320"/>
      <c r="D1" s="320"/>
      <c r="E1" s="320"/>
      <c r="F1" s="320"/>
    </row>
    <row r="2" spans="1:6" ht="17.399999999999999" x14ac:dyDescent="0.3">
      <c r="A2" s="318"/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255527.52</v>
      </c>
      <c r="E4" s="18">
        <f>sUMMARY!F7</f>
        <v>21293.96</v>
      </c>
      <c r="F4" s="1"/>
    </row>
    <row r="5" spans="1:6" ht="18" x14ac:dyDescent="0.35">
      <c r="A5" s="316" t="s">
        <v>109</v>
      </c>
      <c r="B5" s="316"/>
      <c r="C5" s="316"/>
      <c r="D5" s="18">
        <f t="shared" ref="D5:D13" si="0">E5*12</f>
        <v>766582.55999999994</v>
      </c>
      <c r="E5" s="18">
        <f>sUMMARY!H7</f>
        <v>63881.88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19164.563999999998</v>
      </c>
      <c r="E6" s="18">
        <f>sUMMARY!I7</f>
        <v>1597.0469999999998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0</v>
      </c>
      <c r="E7" s="18">
        <f>sUMMARY!J6</f>
        <v>0</v>
      </c>
      <c r="F7" s="1"/>
    </row>
    <row r="8" spans="1:6" ht="18" x14ac:dyDescent="0.35">
      <c r="A8" s="316" t="s">
        <v>111</v>
      </c>
      <c r="B8" s="316"/>
      <c r="C8" s="316"/>
      <c r="D8" s="18">
        <f t="shared" si="0"/>
        <v>127763.76</v>
      </c>
      <c r="E8" s="18">
        <f>sUMMARY!K7</f>
        <v>10646.98</v>
      </c>
      <c r="F8" s="1"/>
    </row>
    <row r="9" spans="1:6" ht="18" x14ac:dyDescent="0.35">
      <c r="A9" s="316" t="s">
        <v>112</v>
      </c>
      <c r="B9" s="316"/>
      <c r="C9" s="316"/>
      <c r="D9" s="18">
        <f t="shared" si="0"/>
        <v>894346.32000000007</v>
      </c>
      <c r="E9" s="18">
        <f>sUMMARY!L7</f>
        <v>74528.86</v>
      </c>
      <c r="F9" s="1"/>
    </row>
    <row r="10" spans="1:6" ht="18" x14ac:dyDescent="0.35">
      <c r="A10" s="316" t="s">
        <v>113</v>
      </c>
      <c r="B10" s="316"/>
      <c r="C10" s="316"/>
      <c r="D10" s="18">
        <f t="shared" si="0"/>
        <v>255527.52</v>
      </c>
      <c r="E10" s="18">
        <f>sUMMARY!N7</f>
        <v>21293.96</v>
      </c>
      <c r="F10" s="1"/>
    </row>
    <row r="11" spans="1:6" ht="18" x14ac:dyDescent="0.35">
      <c r="A11" s="316" t="s">
        <v>114</v>
      </c>
      <c r="B11" s="316"/>
      <c r="C11" s="316"/>
      <c r="D11" s="18">
        <f t="shared" si="0"/>
        <v>25552.752</v>
      </c>
      <c r="E11" s="18">
        <f>sUMMARY!O7</f>
        <v>2129.3960000000002</v>
      </c>
      <c r="F11" s="1"/>
    </row>
    <row r="12" spans="1:6" ht="18" x14ac:dyDescent="0.35">
      <c r="A12" s="316" t="s">
        <v>115</v>
      </c>
      <c r="B12" s="316"/>
      <c r="C12" s="316"/>
      <c r="D12" s="18">
        <f t="shared" si="0"/>
        <v>120000</v>
      </c>
      <c r="E12" s="18">
        <f>sUMMARY!P7</f>
        <v>10000</v>
      </c>
      <c r="F12" s="1"/>
    </row>
    <row r="13" spans="1:6" ht="18" x14ac:dyDescent="0.35">
      <c r="A13" s="319" t="s">
        <v>118</v>
      </c>
      <c r="B13" s="319"/>
      <c r="C13" s="319"/>
      <c r="D13" s="19">
        <f t="shared" si="0"/>
        <v>2464464.9960000003</v>
      </c>
      <c r="E13" s="19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12" sqref="E12"/>
    </sheetView>
  </sheetViews>
  <sheetFormatPr defaultRowHeight="13.2" x14ac:dyDescent="0.25"/>
  <cols>
    <col min="3" max="3" width="11.6640625" customWidth="1"/>
    <col min="4" max="4" width="19.44140625" customWidth="1"/>
    <col min="5" max="5" width="18.88671875" customWidth="1"/>
  </cols>
  <sheetData>
    <row r="1" spans="1:6" ht="17.399999999999999" x14ac:dyDescent="0.3">
      <c r="A1" s="320" t="s">
        <v>403</v>
      </c>
      <c r="B1" s="320"/>
      <c r="C1" s="320"/>
      <c r="D1" s="320"/>
      <c r="E1" s="320"/>
      <c r="F1" s="320"/>
    </row>
    <row r="2" spans="1:6" ht="17.399999999999999" x14ac:dyDescent="0.3">
      <c r="A2" s="318" t="s">
        <v>130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207435.96000000002</v>
      </c>
      <c r="E4" s="18">
        <f>sUMMARY!F8</f>
        <v>17286.330000000002</v>
      </c>
      <c r="F4" s="1"/>
    </row>
    <row r="5" spans="1:6" ht="18" x14ac:dyDescent="0.35">
      <c r="A5" s="316" t="s">
        <v>109</v>
      </c>
      <c r="B5" s="316"/>
      <c r="C5" s="316"/>
      <c r="D5" s="18">
        <f t="shared" ref="D5:D14" si="0">E5*12</f>
        <v>622307.88000000012</v>
      </c>
      <c r="E5" s="18">
        <f>sUMMARY!H8</f>
        <v>51858.990000000005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15557.697</v>
      </c>
      <c r="E6" s="18">
        <f>sUMMARY!I8</f>
        <v>1296.4747500000001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0</v>
      </c>
      <c r="E7" s="18">
        <f>sUMMARY!J6</f>
        <v>0</v>
      </c>
      <c r="F7" s="1"/>
    </row>
    <row r="8" spans="1:6" ht="18" x14ac:dyDescent="0.35">
      <c r="A8" s="316" t="s">
        <v>111</v>
      </c>
      <c r="B8" s="316"/>
      <c r="C8" s="316"/>
      <c r="D8" s="18">
        <f t="shared" si="0"/>
        <v>103717.98000000001</v>
      </c>
      <c r="E8" s="18">
        <f>sUMMARY!K8</f>
        <v>8643.1650000000009</v>
      </c>
      <c r="F8" s="1"/>
    </row>
    <row r="9" spans="1:6" ht="18" x14ac:dyDescent="0.35">
      <c r="A9" s="316" t="s">
        <v>112</v>
      </c>
      <c r="B9" s="316"/>
      <c r="C9" s="316"/>
      <c r="D9" s="18">
        <f t="shared" si="0"/>
        <v>726025.8600000001</v>
      </c>
      <c r="E9" s="18">
        <f>sUMMARY!L8</f>
        <v>60502.155000000006</v>
      </c>
      <c r="F9" s="1"/>
    </row>
    <row r="10" spans="1:6" ht="18" x14ac:dyDescent="0.35">
      <c r="A10" s="316" t="s">
        <v>113</v>
      </c>
      <c r="B10" s="316"/>
      <c r="C10" s="316"/>
      <c r="D10" s="18">
        <f t="shared" si="0"/>
        <v>207435.96000000002</v>
      </c>
      <c r="E10" s="18">
        <f>sUMMARY!N8</f>
        <v>17286.330000000002</v>
      </c>
      <c r="F10" s="1"/>
    </row>
    <row r="11" spans="1:6" ht="18" x14ac:dyDescent="0.35">
      <c r="A11" s="298" t="s">
        <v>142</v>
      </c>
      <c r="B11" s="299"/>
      <c r="C11" s="300"/>
      <c r="D11" s="18">
        <f t="shared" si="0"/>
        <v>0</v>
      </c>
      <c r="E11" s="18">
        <v>0</v>
      </c>
      <c r="F11" s="1"/>
    </row>
    <row r="12" spans="1:6" ht="18" x14ac:dyDescent="0.35">
      <c r="A12" s="316" t="s">
        <v>114</v>
      </c>
      <c r="B12" s="316"/>
      <c r="C12" s="316"/>
      <c r="D12" s="18">
        <f t="shared" si="0"/>
        <v>20743.596000000005</v>
      </c>
      <c r="E12" s="18">
        <f>sUMMARY!O8</f>
        <v>1728.6330000000003</v>
      </c>
      <c r="F12" s="1"/>
    </row>
    <row r="13" spans="1:6" ht="18" x14ac:dyDescent="0.35">
      <c r="A13" s="316" t="s">
        <v>115</v>
      </c>
      <c r="B13" s="316"/>
      <c r="C13" s="316"/>
      <c r="D13" s="18">
        <f t="shared" si="0"/>
        <v>120000</v>
      </c>
      <c r="E13" s="18">
        <f>sUMMARY!P7</f>
        <v>10000</v>
      </c>
      <c r="F13" s="1"/>
    </row>
    <row r="14" spans="1:6" ht="18" x14ac:dyDescent="0.35">
      <c r="A14" s="319" t="s">
        <v>118</v>
      </c>
      <c r="B14" s="319"/>
      <c r="C14" s="319"/>
      <c r="D14" s="19">
        <f t="shared" si="0"/>
        <v>2023224.9330000002</v>
      </c>
      <c r="E14" s="19">
        <f>SUM(E4:E13)</f>
        <v>168602.07775000003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1" sqref="I11"/>
    </sheetView>
  </sheetViews>
  <sheetFormatPr defaultRowHeight="13.2" x14ac:dyDescent="0.25"/>
  <cols>
    <col min="3" max="3" width="11.109375" customWidth="1"/>
    <col min="4" max="4" width="19" customWidth="1"/>
    <col min="5" max="5" width="18.88671875" customWidth="1"/>
  </cols>
  <sheetData>
    <row r="1" spans="1:6" ht="17.399999999999999" x14ac:dyDescent="0.3">
      <c r="A1" s="320" t="s">
        <v>133</v>
      </c>
      <c r="B1" s="320"/>
      <c r="C1" s="320"/>
      <c r="D1" s="320"/>
      <c r="E1" s="320"/>
      <c r="F1" s="320"/>
    </row>
    <row r="2" spans="1:6" ht="17.399999999999999" x14ac:dyDescent="0.3">
      <c r="A2" s="318" t="s">
        <v>136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176833.68</v>
      </c>
      <c r="E4" s="18">
        <f>sUMMARY!F9</f>
        <v>14736.14</v>
      </c>
      <c r="F4" s="1"/>
    </row>
    <row r="5" spans="1:6" ht="18" x14ac:dyDescent="0.35">
      <c r="A5" s="316" t="s">
        <v>109</v>
      </c>
      <c r="B5" s="316"/>
      <c r="C5" s="316"/>
      <c r="D5" s="18">
        <f t="shared" ref="D5:D14" si="0">E5*12</f>
        <v>530501.04</v>
      </c>
      <c r="E5" s="18">
        <f>sUMMARY!H9</f>
        <v>44208.42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13262.525999999998</v>
      </c>
      <c r="E6" s="18">
        <f>sUMMARY!I9</f>
        <v>1105.2104999999999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0</v>
      </c>
      <c r="E7" s="18">
        <f>sUMMARY!J6</f>
        <v>0</v>
      </c>
      <c r="F7" s="1"/>
    </row>
    <row r="8" spans="1:6" ht="18" x14ac:dyDescent="0.35">
      <c r="A8" s="316" t="s">
        <v>111</v>
      </c>
      <c r="B8" s="316"/>
      <c r="C8" s="316"/>
      <c r="D8" s="18">
        <f t="shared" si="0"/>
        <v>88416.84</v>
      </c>
      <c r="E8" s="18">
        <f>sUMMARY!K9</f>
        <v>7368.07</v>
      </c>
      <c r="F8" s="1"/>
    </row>
    <row r="9" spans="1:6" ht="18" x14ac:dyDescent="0.35">
      <c r="A9" s="316" t="s">
        <v>112</v>
      </c>
      <c r="B9" s="316"/>
      <c r="C9" s="316"/>
      <c r="D9" s="18">
        <f t="shared" si="0"/>
        <v>618917.88</v>
      </c>
      <c r="E9" s="18">
        <f>sUMMARY!L9</f>
        <v>51576.49</v>
      </c>
      <c r="F9" s="1"/>
    </row>
    <row r="10" spans="1:6" ht="18" x14ac:dyDescent="0.35">
      <c r="A10" s="316" t="s">
        <v>113</v>
      </c>
      <c r="B10" s="316"/>
      <c r="C10" s="316"/>
      <c r="D10" s="18">
        <f t="shared" si="0"/>
        <v>176833.68</v>
      </c>
      <c r="E10" s="18">
        <f>sUMMARY!N9</f>
        <v>14736.14</v>
      </c>
      <c r="F10" s="1"/>
    </row>
    <row r="11" spans="1:6" ht="18" x14ac:dyDescent="0.35">
      <c r="A11" s="298" t="s">
        <v>147</v>
      </c>
      <c r="B11" s="299"/>
      <c r="C11" s="300"/>
      <c r="D11" s="18">
        <f t="shared" si="0"/>
        <v>480000</v>
      </c>
      <c r="E11" s="18">
        <v>40000</v>
      </c>
      <c r="F11" s="1"/>
    </row>
    <row r="12" spans="1:6" ht="18" x14ac:dyDescent="0.35">
      <c r="A12" s="316" t="s">
        <v>114</v>
      </c>
      <c r="B12" s="316"/>
      <c r="C12" s="316"/>
      <c r="D12" s="18">
        <f t="shared" si="0"/>
        <v>17683.368000000002</v>
      </c>
      <c r="E12" s="18">
        <f>sUMMARY!O9</f>
        <v>1473.614</v>
      </c>
      <c r="F12" s="1"/>
    </row>
    <row r="13" spans="1:6" ht="18" x14ac:dyDescent="0.35">
      <c r="A13" s="316" t="s">
        <v>115</v>
      </c>
      <c r="B13" s="316"/>
      <c r="C13" s="316"/>
      <c r="D13" s="18">
        <f t="shared" si="0"/>
        <v>120000</v>
      </c>
      <c r="E13" s="18">
        <f>sUMMARY!P7</f>
        <v>10000</v>
      </c>
      <c r="F13" s="1"/>
    </row>
    <row r="14" spans="1:6" ht="18" x14ac:dyDescent="0.35">
      <c r="A14" s="319" t="s">
        <v>118</v>
      </c>
      <c r="B14" s="319"/>
      <c r="C14" s="319"/>
      <c r="D14" s="19">
        <f t="shared" si="0"/>
        <v>2222449.014</v>
      </c>
      <c r="E14" s="19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3.2" x14ac:dyDescent="0.25"/>
  <cols>
    <col min="3" max="3" width="11.44140625" customWidth="1"/>
    <col min="4" max="4" width="22.109375" customWidth="1"/>
    <col min="5" max="5" width="22.33203125" customWidth="1"/>
  </cols>
  <sheetData>
    <row r="1" spans="1:6" ht="17.399999999999999" x14ac:dyDescent="0.3">
      <c r="A1" s="320" t="s">
        <v>287</v>
      </c>
      <c r="B1" s="320"/>
      <c r="C1" s="320"/>
      <c r="D1" s="320"/>
      <c r="E1" s="320"/>
      <c r="F1" s="320"/>
    </row>
    <row r="2" spans="1:6" ht="17.399999999999999" x14ac:dyDescent="0.3">
      <c r="A2" s="318"/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176833.68</v>
      </c>
      <c r="E4" s="18">
        <f>'Apr, 14'!F64</f>
        <v>14736.14</v>
      </c>
      <c r="F4" s="1"/>
    </row>
    <row r="5" spans="1:6" ht="18" x14ac:dyDescent="0.35">
      <c r="A5" s="316" t="s">
        <v>109</v>
      </c>
      <c r="B5" s="316"/>
      <c r="C5" s="316"/>
      <c r="D5" s="18">
        <f t="shared" ref="D5:D12" si="0">E5*12</f>
        <v>458352</v>
      </c>
      <c r="E5" s="18">
        <f>'Apr, 14'!H82</f>
        <v>38196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11458.8</v>
      </c>
      <c r="E6" s="18">
        <f>'Apr, 14'!I87</f>
        <v>954.9</v>
      </c>
      <c r="F6" s="1"/>
    </row>
    <row r="7" spans="1:6" ht="18" x14ac:dyDescent="0.35">
      <c r="A7" s="316" t="s">
        <v>111</v>
      </c>
      <c r="B7" s="316"/>
      <c r="C7" s="316"/>
      <c r="D7" s="18">
        <f t="shared" si="0"/>
        <v>76392</v>
      </c>
      <c r="E7" s="18">
        <f>'Apr, 14'!K83</f>
        <v>6366</v>
      </c>
      <c r="F7" s="1"/>
    </row>
    <row r="8" spans="1:6" ht="18" x14ac:dyDescent="0.35">
      <c r="A8" s="316" t="s">
        <v>112</v>
      </c>
      <c r="B8" s="316"/>
      <c r="C8" s="316"/>
      <c r="D8" s="18">
        <f t="shared" si="0"/>
        <v>534744</v>
      </c>
      <c r="E8" s="18">
        <f>'Apr, 14'!L82</f>
        <v>44562</v>
      </c>
      <c r="F8" s="1"/>
    </row>
    <row r="9" spans="1:6" ht="18" x14ac:dyDescent="0.35">
      <c r="A9" s="316" t="s">
        <v>113</v>
      </c>
      <c r="B9" s="316"/>
      <c r="C9" s="316"/>
      <c r="D9" s="18">
        <f t="shared" si="0"/>
        <v>152784</v>
      </c>
      <c r="E9" s="18">
        <f>'Apr, 14'!N83</f>
        <v>12732</v>
      </c>
      <c r="F9" s="1"/>
    </row>
    <row r="10" spans="1:6" ht="18" x14ac:dyDescent="0.35">
      <c r="A10" s="316" t="s">
        <v>114</v>
      </c>
      <c r="B10" s="316"/>
      <c r="C10" s="316"/>
      <c r="D10" s="18">
        <f t="shared" si="0"/>
        <v>17683.368000000002</v>
      </c>
      <c r="E10" s="18">
        <f>'Apr, 14'!P65</f>
        <v>1473.614</v>
      </c>
      <c r="F10" s="1"/>
    </row>
    <row r="11" spans="1:6" ht="18" x14ac:dyDescent="0.35">
      <c r="A11" s="316" t="s">
        <v>115</v>
      </c>
      <c r="B11" s="316"/>
      <c r="C11" s="316"/>
      <c r="D11" s="18">
        <f t="shared" si="0"/>
        <v>120000</v>
      </c>
      <c r="E11" s="18">
        <f>'Apr, 14'!Q83</f>
        <v>10000</v>
      </c>
      <c r="F11" s="1"/>
    </row>
    <row r="12" spans="1:6" ht="18" x14ac:dyDescent="0.35">
      <c r="A12" s="319" t="s">
        <v>118</v>
      </c>
      <c r="B12" s="319"/>
      <c r="C12" s="319"/>
      <c r="D12" s="19">
        <f t="shared" si="0"/>
        <v>1548247.8480000002</v>
      </c>
      <c r="E12" s="19">
        <f>SUM(E4:E11)</f>
        <v>129020.65400000001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D1" workbookViewId="0">
      <selection activeCell="K4" sqref="K4"/>
    </sheetView>
  </sheetViews>
  <sheetFormatPr defaultRowHeight="13.2" x14ac:dyDescent="0.25"/>
  <cols>
    <col min="3" max="3" width="11.6640625" customWidth="1"/>
    <col min="6" max="6" width="13.5546875" customWidth="1"/>
    <col min="7" max="7" width="11" customWidth="1"/>
    <col min="8" max="8" width="14.5546875" customWidth="1"/>
    <col min="9" max="9" width="12.44140625" customWidth="1"/>
    <col min="10" max="10" width="13.33203125" customWidth="1"/>
    <col min="11" max="11" width="13.109375" customWidth="1"/>
    <col min="12" max="12" width="14.44140625" customWidth="1"/>
    <col min="14" max="14" width="13.109375" customWidth="1"/>
    <col min="15" max="15" width="16.109375" customWidth="1"/>
    <col min="16" max="16" width="13.44140625" customWidth="1"/>
    <col min="17" max="17" width="13.5546875" customWidth="1"/>
    <col min="18" max="18" width="14.88671875" customWidth="1"/>
    <col min="19" max="19" width="16.33203125" customWidth="1"/>
    <col min="21" max="21" width="17.33203125" customWidth="1"/>
  </cols>
  <sheetData>
    <row r="1" spans="1:22" ht="17.399999999999999" x14ac:dyDescent="0.3">
      <c r="F1" s="2" t="s">
        <v>1</v>
      </c>
      <c r="G1" s="2" t="s">
        <v>102</v>
      </c>
      <c r="H1" s="2"/>
      <c r="I1" s="2"/>
      <c r="J1" s="2"/>
      <c r="K1" s="2"/>
      <c r="L1" s="2"/>
      <c r="M1" s="2" t="s">
        <v>52</v>
      </c>
      <c r="N1" s="2" t="s">
        <v>70</v>
      </c>
      <c r="O1" s="2" t="s">
        <v>143</v>
      </c>
      <c r="P1" s="2" t="s">
        <v>66</v>
      </c>
      <c r="Q1" s="2" t="s">
        <v>72</v>
      </c>
      <c r="R1" s="2" t="s">
        <v>73</v>
      </c>
      <c r="S1" s="2" t="s">
        <v>4</v>
      </c>
      <c r="T1" s="12"/>
      <c r="U1" s="7" t="s">
        <v>104</v>
      </c>
      <c r="V1" s="6" t="s">
        <v>103</v>
      </c>
    </row>
    <row r="2" spans="1:22" ht="17.399999999999999" x14ac:dyDescent="0.3">
      <c r="F2" s="2" t="s">
        <v>58</v>
      </c>
      <c r="G2" s="2" t="s">
        <v>101</v>
      </c>
      <c r="H2" s="2" t="s">
        <v>2</v>
      </c>
      <c r="I2" s="2" t="s">
        <v>3</v>
      </c>
      <c r="J2" s="2" t="s">
        <v>53</v>
      </c>
      <c r="K2" s="2" t="s">
        <v>67</v>
      </c>
      <c r="L2" s="2" t="s">
        <v>68</v>
      </c>
      <c r="M2" s="2" t="s">
        <v>69</v>
      </c>
      <c r="N2" s="2" t="s">
        <v>71</v>
      </c>
      <c r="O2" s="2" t="s">
        <v>144</v>
      </c>
      <c r="P2" s="2" t="s">
        <v>54</v>
      </c>
      <c r="Q2" s="2" t="s">
        <v>54</v>
      </c>
      <c r="R2" s="2" t="s">
        <v>74</v>
      </c>
      <c r="S2" s="2" t="s">
        <v>58</v>
      </c>
      <c r="T2" s="2" t="s">
        <v>60</v>
      </c>
      <c r="U2" s="7"/>
      <c r="V2" s="6"/>
    </row>
    <row r="3" spans="1:22" ht="18" x14ac:dyDescent="0.35">
      <c r="A3" s="321" t="s">
        <v>124</v>
      </c>
      <c r="B3" s="322"/>
      <c r="C3" s="323"/>
      <c r="D3" s="20"/>
      <c r="E3" s="20" t="s">
        <v>354</v>
      </c>
      <c r="F3" s="21">
        <v>79039.64</v>
      </c>
      <c r="G3" s="21"/>
      <c r="H3" s="21">
        <f t="shared" ref="H3:H10" si="0">F3*300%</f>
        <v>237118.91999999998</v>
      </c>
      <c r="I3" s="21">
        <f t="shared" ref="I3:I10" si="1">F3*7.5%</f>
        <v>5927.973</v>
      </c>
      <c r="J3" s="21">
        <v>80244.38</v>
      </c>
      <c r="K3" s="21">
        <f t="shared" ref="K3:K10" si="2">F3*50%</f>
        <v>39519.82</v>
      </c>
      <c r="L3" s="21">
        <f t="shared" ref="L3:L10" si="3">F3*350%</f>
        <v>276638.74</v>
      </c>
      <c r="M3" s="21">
        <v>0</v>
      </c>
      <c r="N3" s="21">
        <f t="shared" ref="N3:N10" si="4">F3*100%</f>
        <v>79039.64</v>
      </c>
      <c r="O3" s="21">
        <f t="shared" ref="O3:O10" si="5">F3*10%</f>
        <v>7903.9639999999999</v>
      </c>
      <c r="P3" s="21">
        <v>20000</v>
      </c>
      <c r="Q3" s="21">
        <v>0</v>
      </c>
      <c r="R3" s="21">
        <f t="shared" ref="R3:R10" si="6">SUM(F3:Q3)</f>
        <v>825433.07700000005</v>
      </c>
      <c r="S3" s="21"/>
      <c r="T3" s="13"/>
      <c r="U3" s="16"/>
    </row>
    <row r="4" spans="1:22" ht="18" x14ac:dyDescent="0.35">
      <c r="A4" s="321" t="s">
        <v>353</v>
      </c>
      <c r="B4" s="322"/>
      <c r="C4" s="323"/>
      <c r="D4" s="20"/>
      <c r="E4" s="20" t="s">
        <v>356</v>
      </c>
      <c r="F4" s="21">
        <v>36784.71</v>
      </c>
      <c r="G4" s="21"/>
      <c r="H4" s="21">
        <f t="shared" si="0"/>
        <v>110354.13</v>
      </c>
      <c r="I4" s="21">
        <f t="shared" si="1"/>
        <v>2758.8532499999997</v>
      </c>
      <c r="J4" s="21">
        <v>80244.38</v>
      </c>
      <c r="K4" s="21">
        <f t="shared" si="2"/>
        <v>18392.355</v>
      </c>
      <c r="L4" s="21">
        <f t="shared" si="3"/>
        <v>128746.485</v>
      </c>
      <c r="M4" s="21"/>
      <c r="N4" s="21">
        <f t="shared" si="4"/>
        <v>36784.71</v>
      </c>
      <c r="O4" s="21">
        <f t="shared" si="5"/>
        <v>3678.471</v>
      </c>
      <c r="P4" s="21">
        <v>20000</v>
      </c>
      <c r="Q4" s="21">
        <v>0</v>
      </c>
      <c r="R4" s="21">
        <f t="shared" si="6"/>
        <v>437744.09425000002</v>
      </c>
      <c r="S4" s="21"/>
      <c r="T4" s="13"/>
      <c r="U4" s="16"/>
    </row>
    <row r="5" spans="1:22" ht="18" x14ac:dyDescent="0.35">
      <c r="A5" s="324" t="s">
        <v>125</v>
      </c>
      <c r="B5" s="325"/>
      <c r="C5" s="326"/>
      <c r="D5" s="24"/>
      <c r="E5" s="27" t="s">
        <v>146</v>
      </c>
      <c r="F5" s="25">
        <v>24975.81</v>
      </c>
      <c r="G5" s="21">
        <v>0</v>
      </c>
      <c r="H5" s="25">
        <f>F5*300%</f>
        <v>74927.430000000008</v>
      </c>
      <c r="I5" s="25">
        <f>F5*7.5%</f>
        <v>1873.1857500000001</v>
      </c>
      <c r="J5" s="25">
        <v>0</v>
      </c>
      <c r="K5" s="25">
        <f>F5*50%</f>
        <v>12487.905000000001</v>
      </c>
      <c r="L5" s="25">
        <f>F5*350%</f>
        <v>87415.335000000006</v>
      </c>
      <c r="M5" s="25">
        <v>0</v>
      </c>
      <c r="N5" s="25">
        <f>F5*100%</f>
        <v>24975.81</v>
      </c>
      <c r="O5" s="25">
        <v>100000</v>
      </c>
      <c r="P5" s="25">
        <f>F5*10%</f>
        <v>2497.5810000000001</v>
      </c>
      <c r="Q5" s="25">
        <v>20000</v>
      </c>
      <c r="R5" s="25">
        <v>0</v>
      </c>
      <c r="S5" s="21">
        <f>SUM(F5:R5)</f>
        <v>349153.05674999999</v>
      </c>
      <c r="T5" s="21">
        <v>0</v>
      </c>
      <c r="U5" s="26">
        <f>S5-T5</f>
        <v>349153.05674999999</v>
      </c>
      <c r="V5" s="21">
        <v>344720.6</v>
      </c>
    </row>
    <row r="6" spans="1:22" ht="18" x14ac:dyDescent="0.35">
      <c r="A6" s="321" t="s">
        <v>128</v>
      </c>
      <c r="B6" s="322"/>
      <c r="C6" s="323"/>
      <c r="D6" s="20"/>
      <c r="E6" s="20" t="s">
        <v>126</v>
      </c>
      <c r="F6" s="21">
        <v>23891.119999999999</v>
      </c>
      <c r="G6" s="21"/>
      <c r="H6" s="21">
        <f t="shared" si="0"/>
        <v>71673.36</v>
      </c>
      <c r="I6" s="21">
        <f t="shared" si="1"/>
        <v>1791.8339999999998</v>
      </c>
      <c r="J6" s="21">
        <v>0</v>
      </c>
      <c r="K6" s="21">
        <f t="shared" si="2"/>
        <v>11945.56</v>
      </c>
      <c r="L6" s="21">
        <f t="shared" si="3"/>
        <v>83618.92</v>
      </c>
      <c r="M6" s="21">
        <v>0</v>
      </c>
      <c r="N6" s="21">
        <f t="shared" si="4"/>
        <v>23891.119999999999</v>
      </c>
      <c r="O6" s="21">
        <f t="shared" si="5"/>
        <v>2389.1120000000001</v>
      </c>
      <c r="P6" s="21">
        <v>15000</v>
      </c>
      <c r="Q6" s="21">
        <v>0</v>
      </c>
      <c r="R6" s="21">
        <f t="shared" si="6"/>
        <v>234201.02599999998</v>
      </c>
      <c r="S6" s="21"/>
      <c r="T6" s="13"/>
      <c r="U6" s="16"/>
    </row>
    <row r="7" spans="1:22" ht="18" x14ac:dyDescent="0.35">
      <c r="A7" s="321" t="s">
        <v>145</v>
      </c>
      <c r="B7" s="322"/>
      <c r="C7" s="323"/>
      <c r="D7" s="20"/>
      <c r="E7" s="20" t="s">
        <v>129</v>
      </c>
      <c r="F7" s="21">
        <v>21293.96</v>
      </c>
      <c r="G7" s="21"/>
      <c r="H7" s="21">
        <f t="shared" si="0"/>
        <v>63881.88</v>
      </c>
      <c r="I7" s="21">
        <f t="shared" si="1"/>
        <v>1597.0469999999998</v>
      </c>
      <c r="J7" s="21">
        <v>0</v>
      </c>
      <c r="K7" s="21">
        <f t="shared" si="2"/>
        <v>10646.98</v>
      </c>
      <c r="L7" s="21">
        <f t="shared" si="3"/>
        <v>74528.86</v>
      </c>
      <c r="M7" s="21">
        <v>0</v>
      </c>
      <c r="N7" s="21">
        <f t="shared" si="4"/>
        <v>21293.96</v>
      </c>
      <c r="O7" s="21">
        <f t="shared" si="5"/>
        <v>2129.3960000000002</v>
      </c>
      <c r="P7" s="21">
        <v>10000</v>
      </c>
      <c r="Q7" s="21">
        <v>0</v>
      </c>
      <c r="R7" s="21">
        <f t="shared" si="6"/>
        <v>205372.08300000001</v>
      </c>
      <c r="S7" s="21"/>
      <c r="T7" s="13"/>
      <c r="U7" s="16"/>
    </row>
    <row r="8" spans="1:22" ht="18" x14ac:dyDescent="0.35">
      <c r="A8" s="321" t="s">
        <v>131</v>
      </c>
      <c r="B8" s="322"/>
      <c r="C8" s="323"/>
      <c r="D8" s="20"/>
      <c r="E8" s="20" t="s">
        <v>132</v>
      </c>
      <c r="F8" s="21">
        <v>17286.330000000002</v>
      </c>
      <c r="G8" s="21"/>
      <c r="H8" s="21">
        <f t="shared" si="0"/>
        <v>51858.990000000005</v>
      </c>
      <c r="I8" s="21">
        <f t="shared" si="1"/>
        <v>1296.4747500000001</v>
      </c>
      <c r="J8" s="21">
        <v>0</v>
      </c>
      <c r="K8" s="21">
        <f t="shared" si="2"/>
        <v>8643.1650000000009</v>
      </c>
      <c r="L8" s="21">
        <f t="shared" si="3"/>
        <v>60502.155000000006</v>
      </c>
      <c r="M8" s="21">
        <v>0</v>
      </c>
      <c r="N8" s="21">
        <f t="shared" si="4"/>
        <v>17286.330000000002</v>
      </c>
      <c r="O8" s="21">
        <f t="shared" si="5"/>
        <v>1728.6330000000003</v>
      </c>
      <c r="P8" s="21">
        <v>10000</v>
      </c>
      <c r="Q8" s="21">
        <v>0</v>
      </c>
      <c r="R8" s="21">
        <f t="shared" si="6"/>
        <v>168602.07775000003</v>
      </c>
      <c r="S8" s="21"/>
      <c r="T8" s="13"/>
      <c r="U8" s="16"/>
    </row>
    <row r="9" spans="1:22" ht="18" x14ac:dyDescent="0.35">
      <c r="A9" s="321" t="s">
        <v>134</v>
      </c>
      <c r="B9" s="322"/>
      <c r="C9" s="323"/>
      <c r="D9" s="20"/>
      <c r="E9" s="20" t="s">
        <v>135</v>
      </c>
      <c r="F9" s="21">
        <v>14736.14</v>
      </c>
      <c r="G9" s="21"/>
      <c r="H9" s="21">
        <f t="shared" si="0"/>
        <v>44208.42</v>
      </c>
      <c r="I9" s="21">
        <f t="shared" si="1"/>
        <v>1105.2104999999999</v>
      </c>
      <c r="J9" s="21">
        <v>0</v>
      </c>
      <c r="K9" s="21">
        <f t="shared" si="2"/>
        <v>7368.07</v>
      </c>
      <c r="L9" s="21">
        <f t="shared" si="3"/>
        <v>51576.49</v>
      </c>
      <c r="M9" s="21">
        <v>0</v>
      </c>
      <c r="N9" s="21">
        <f t="shared" si="4"/>
        <v>14736.14</v>
      </c>
      <c r="O9" s="21">
        <f t="shared" si="5"/>
        <v>1473.614</v>
      </c>
      <c r="P9" s="21">
        <v>10000</v>
      </c>
      <c r="Q9" s="21">
        <v>0</v>
      </c>
      <c r="R9" s="21">
        <f t="shared" si="6"/>
        <v>145204.0845</v>
      </c>
      <c r="S9" s="21"/>
      <c r="T9" s="13"/>
      <c r="U9" s="16"/>
    </row>
    <row r="10" spans="1:22" ht="18" x14ac:dyDescent="0.35">
      <c r="A10" s="321"/>
      <c r="B10" s="322"/>
      <c r="C10" s="323"/>
      <c r="D10" s="20"/>
      <c r="E10" s="20" t="s">
        <v>137</v>
      </c>
      <c r="F10" s="21">
        <v>12351.94</v>
      </c>
      <c r="G10" s="21"/>
      <c r="H10" s="21">
        <f t="shared" si="0"/>
        <v>37055.82</v>
      </c>
      <c r="I10" s="21">
        <f t="shared" si="1"/>
        <v>926.39549999999997</v>
      </c>
      <c r="J10" s="21">
        <v>0</v>
      </c>
      <c r="K10" s="21">
        <f t="shared" si="2"/>
        <v>6175.97</v>
      </c>
      <c r="L10" s="21">
        <f t="shared" si="3"/>
        <v>43231.79</v>
      </c>
      <c r="M10" s="21">
        <v>0</v>
      </c>
      <c r="N10" s="21">
        <f t="shared" si="4"/>
        <v>12351.94</v>
      </c>
      <c r="O10" s="21">
        <f t="shared" si="5"/>
        <v>1235.1940000000002</v>
      </c>
      <c r="P10" s="21">
        <v>10000</v>
      </c>
      <c r="Q10" s="21">
        <v>0</v>
      </c>
      <c r="R10" s="21">
        <f t="shared" si="6"/>
        <v>123329.04950000001</v>
      </c>
      <c r="S10" s="21"/>
      <c r="T10" s="13"/>
      <c r="U10" s="16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3.2" x14ac:dyDescent="0.25"/>
  <cols>
    <col min="3" max="3" width="15.33203125" customWidth="1"/>
    <col min="4" max="4" width="18.6640625" customWidth="1"/>
    <col min="5" max="5" width="18.88671875" customWidth="1"/>
  </cols>
  <sheetData>
    <row r="1" spans="1:6" ht="17.399999999999999" x14ac:dyDescent="0.3">
      <c r="A1" s="320" t="s">
        <v>148</v>
      </c>
      <c r="B1" s="320"/>
      <c r="C1" s="320"/>
      <c r="D1" s="320"/>
      <c r="E1" s="320"/>
      <c r="F1" s="320"/>
    </row>
    <row r="2" spans="1:6" ht="17.399999999999999" x14ac:dyDescent="0.3">
      <c r="A2" s="318" t="s">
        <v>149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>
        <f>E4*12</f>
        <v>299709.72000000003</v>
      </c>
      <c r="E4" s="18">
        <f>sUMMARY!F5</f>
        <v>24975.81</v>
      </c>
      <c r="F4" s="1"/>
    </row>
    <row r="5" spans="1:6" ht="18" x14ac:dyDescent="0.35">
      <c r="A5" s="316" t="s">
        <v>109</v>
      </c>
      <c r="B5" s="316"/>
      <c r="C5" s="316"/>
      <c r="D5" s="18">
        <f t="shared" ref="D5:D14" si="0">E5*12</f>
        <v>899129.16000000015</v>
      </c>
      <c r="E5" s="18">
        <f>sUMMARY!H5</f>
        <v>74927.430000000008</v>
      </c>
      <c r="F5" s="1"/>
    </row>
    <row r="6" spans="1:6" ht="18" x14ac:dyDescent="0.35">
      <c r="A6" s="316" t="s">
        <v>110</v>
      </c>
      <c r="B6" s="316"/>
      <c r="C6" s="316"/>
      <c r="D6" s="18">
        <f t="shared" si="0"/>
        <v>22478.228999999999</v>
      </c>
      <c r="E6" s="18">
        <f>sUMMARY!I5</f>
        <v>1873.1857500000001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0</v>
      </c>
      <c r="E7" s="18">
        <f>sUMMARY!J6</f>
        <v>0</v>
      </c>
      <c r="F7" s="1"/>
    </row>
    <row r="8" spans="1:6" ht="18" x14ac:dyDescent="0.35">
      <c r="A8" s="316" t="s">
        <v>111</v>
      </c>
      <c r="B8" s="316"/>
      <c r="C8" s="316"/>
      <c r="D8" s="18">
        <f t="shared" si="0"/>
        <v>149854.86000000002</v>
      </c>
      <c r="E8" s="18">
        <f>sUMMARY!K5</f>
        <v>12487.905000000001</v>
      </c>
      <c r="F8" s="1"/>
    </row>
    <row r="9" spans="1:6" ht="18" x14ac:dyDescent="0.35">
      <c r="A9" s="316" t="s">
        <v>112</v>
      </c>
      <c r="B9" s="316"/>
      <c r="C9" s="316"/>
      <c r="D9" s="18">
        <f t="shared" si="0"/>
        <v>1048984.02</v>
      </c>
      <c r="E9" s="18">
        <f>sUMMARY!L5</f>
        <v>87415.335000000006</v>
      </c>
      <c r="F9" s="1"/>
    </row>
    <row r="10" spans="1:6" ht="18" x14ac:dyDescent="0.35">
      <c r="A10" s="316" t="s">
        <v>113</v>
      </c>
      <c r="B10" s="316"/>
      <c r="C10" s="316"/>
      <c r="D10" s="18">
        <f t="shared" si="0"/>
        <v>299709.72000000003</v>
      </c>
      <c r="E10" s="18">
        <f>sUMMARY!N5</f>
        <v>24975.81</v>
      </c>
      <c r="F10" s="1"/>
    </row>
    <row r="11" spans="1:6" ht="18" x14ac:dyDescent="0.35">
      <c r="A11" s="298" t="s">
        <v>142</v>
      </c>
      <c r="B11" s="299"/>
      <c r="C11" s="300"/>
      <c r="D11" s="18">
        <f t="shared" si="0"/>
        <v>1200000</v>
      </c>
      <c r="E11" s="18">
        <f>sUMMARY!O5</f>
        <v>100000</v>
      </c>
      <c r="F11" s="1"/>
    </row>
    <row r="12" spans="1:6" ht="18" x14ac:dyDescent="0.35">
      <c r="A12" s="316" t="s">
        <v>114</v>
      </c>
      <c r="B12" s="316"/>
      <c r="C12" s="316"/>
      <c r="D12" s="18">
        <f t="shared" si="0"/>
        <v>29970.972000000002</v>
      </c>
      <c r="E12" s="18">
        <f>sUMMARY!P5</f>
        <v>2497.5810000000001</v>
      </c>
      <c r="F12" s="1"/>
    </row>
    <row r="13" spans="1:6" ht="18" x14ac:dyDescent="0.35">
      <c r="A13" s="316" t="s">
        <v>115</v>
      </c>
      <c r="B13" s="316"/>
      <c r="C13" s="316"/>
      <c r="D13" s="18">
        <f t="shared" si="0"/>
        <v>240000</v>
      </c>
      <c r="E13" s="18">
        <f>sUMMARY!Q5</f>
        <v>20000</v>
      </c>
      <c r="F13" s="1"/>
    </row>
    <row r="14" spans="1:6" ht="18" x14ac:dyDescent="0.35">
      <c r="A14" s="319" t="s">
        <v>118</v>
      </c>
      <c r="B14" s="319"/>
      <c r="C14" s="319"/>
      <c r="D14" s="19">
        <f t="shared" si="0"/>
        <v>4189836.6809999999</v>
      </c>
      <c r="E14" s="19">
        <f>SUM(E4:E13)</f>
        <v>349153.05674999999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view="pageBreakPreview" topLeftCell="A4" zoomScale="60" workbookViewId="0">
      <selection activeCell="A28" sqref="A28"/>
    </sheetView>
  </sheetViews>
  <sheetFormatPr defaultRowHeight="13.2" x14ac:dyDescent="0.25"/>
  <cols>
    <col min="3" max="3" width="25.44140625" customWidth="1"/>
    <col min="4" max="4" width="36.88671875" customWidth="1"/>
    <col min="5" max="5" width="21.44140625" customWidth="1"/>
  </cols>
  <sheetData>
    <row r="1" spans="1:5" ht="20.25" customHeight="1" x14ac:dyDescent="0.35">
      <c r="A1" s="340" t="s">
        <v>155</v>
      </c>
      <c r="B1" s="340"/>
      <c r="C1" s="340"/>
      <c r="D1" s="340"/>
      <c r="E1" s="340"/>
    </row>
    <row r="2" spans="1:5" ht="17.399999999999999" x14ac:dyDescent="0.3">
      <c r="A2" s="290" t="s">
        <v>0</v>
      </c>
      <c r="B2" s="291"/>
      <c r="C2" s="291"/>
      <c r="D2" s="36"/>
      <c r="E2" s="36"/>
    </row>
    <row r="3" spans="1:5" ht="17.399999999999999" x14ac:dyDescent="0.3">
      <c r="A3" s="289"/>
      <c r="B3" s="289"/>
      <c r="C3" s="289"/>
      <c r="D3" s="37" t="s">
        <v>13</v>
      </c>
      <c r="E3" s="37" t="s">
        <v>59</v>
      </c>
    </row>
    <row r="4" spans="1:5" ht="17.399999999999999" x14ac:dyDescent="0.3">
      <c r="A4" s="292"/>
      <c r="B4" s="292"/>
      <c r="C4" s="292"/>
      <c r="D4" s="37"/>
      <c r="E4" s="37" t="s">
        <v>57</v>
      </c>
    </row>
    <row r="5" spans="1:5" ht="17.399999999999999" x14ac:dyDescent="0.3">
      <c r="A5" s="275" t="s">
        <v>22</v>
      </c>
      <c r="B5" s="275"/>
      <c r="C5" s="275"/>
      <c r="D5" s="40"/>
      <c r="E5" s="40"/>
    </row>
    <row r="6" spans="1:5" ht="17.399999999999999" x14ac:dyDescent="0.3">
      <c r="A6" s="327" t="s">
        <v>46</v>
      </c>
      <c r="B6" s="327"/>
      <c r="C6" s="327"/>
      <c r="D6" s="42" t="s">
        <v>21</v>
      </c>
      <c r="E6" s="42" t="s">
        <v>55</v>
      </c>
    </row>
    <row r="7" spans="1:5" ht="17.399999999999999" x14ac:dyDescent="0.3">
      <c r="A7" s="327" t="s">
        <v>81</v>
      </c>
      <c r="B7" s="327"/>
      <c r="C7" s="327"/>
      <c r="D7" s="42" t="s">
        <v>82</v>
      </c>
      <c r="E7" s="42" t="s">
        <v>49</v>
      </c>
    </row>
    <row r="8" spans="1:5" ht="17.399999999999999" x14ac:dyDescent="0.3">
      <c r="A8" s="327" t="s">
        <v>93</v>
      </c>
      <c r="B8" s="327"/>
      <c r="C8" s="327"/>
      <c r="D8" s="42" t="s">
        <v>84</v>
      </c>
      <c r="E8" s="42" t="s">
        <v>49</v>
      </c>
    </row>
    <row r="9" spans="1:5" ht="17.399999999999999" x14ac:dyDescent="0.3">
      <c r="A9" s="328" t="s">
        <v>23</v>
      </c>
      <c r="B9" s="328"/>
      <c r="C9" s="328"/>
      <c r="D9" s="44" t="s">
        <v>29</v>
      </c>
      <c r="E9" s="45" t="s">
        <v>50</v>
      </c>
    </row>
    <row r="10" spans="1:5" ht="17.399999999999999" x14ac:dyDescent="0.3">
      <c r="A10" s="328" t="s">
        <v>24</v>
      </c>
      <c r="B10" s="328"/>
      <c r="C10" s="328"/>
      <c r="D10" s="44" t="s">
        <v>25</v>
      </c>
      <c r="E10" s="44" t="s">
        <v>47</v>
      </c>
    </row>
    <row r="11" spans="1:5" ht="17.399999999999999" x14ac:dyDescent="0.3">
      <c r="A11" s="327" t="s">
        <v>26</v>
      </c>
      <c r="B11" s="327"/>
      <c r="C11" s="327"/>
      <c r="D11" s="42" t="s">
        <v>27</v>
      </c>
      <c r="E11" s="42" t="s">
        <v>56</v>
      </c>
    </row>
    <row r="12" spans="1:5" ht="17.399999999999999" x14ac:dyDescent="0.3">
      <c r="A12" s="336"/>
      <c r="B12" s="336"/>
      <c r="C12" s="336"/>
      <c r="D12" s="44"/>
      <c r="E12" s="44"/>
    </row>
    <row r="13" spans="1:5" ht="17.399999999999999" x14ac:dyDescent="0.3">
      <c r="A13" s="332" t="s">
        <v>94</v>
      </c>
      <c r="B13" s="332"/>
      <c r="C13" s="332"/>
      <c r="D13" s="47"/>
      <c r="E13" s="47"/>
    </row>
    <row r="14" spans="1:5" ht="17.399999999999999" x14ac:dyDescent="0.3">
      <c r="A14" s="48" t="s">
        <v>12</v>
      </c>
      <c r="B14" s="48"/>
      <c r="C14" s="48"/>
      <c r="D14" s="42" t="s">
        <v>28</v>
      </c>
      <c r="E14" s="42" t="s">
        <v>49</v>
      </c>
    </row>
    <row r="15" spans="1:5" ht="17.399999999999999" x14ac:dyDescent="0.3">
      <c r="A15" s="333"/>
      <c r="B15" s="334"/>
      <c r="C15" s="335"/>
      <c r="D15" s="39"/>
      <c r="E15" s="46"/>
    </row>
    <row r="16" spans="1:5" ht="17.399999999999999" x14ac:dyDescent="0.3">
      <c r="A16" s="49" t="s">
        <v>95</v>
      </c>
      <c r="B16" s="49"/>
      <c r="C16" s="49"/>
      <c r="D16" s="49"/>
      <c r="E16" s="46"/>
    </row>
    <row r="17" spans="1:5" ht="17.399999999999999" x14ac:dyDescent="0.3">
      <c r="A17" s="327" t="s">
        <v>31</v>
      </c>
      <c r="B17" s="327"/>
      <c r="C17" s="327"/>
      <c r="D17" s="44" t="s">
        <v>96</v>
      </c>
      <c r="E17" s="44" t="s">
        <v>49</v>
      </c>
    </row>
    <row r="18" spans="1:5" ht="17.399999999999999" x14ac:dyDescent="0.3">
      <c r="A18" s="329" t="s">
        <v>33</v>
      </c>
      <c r="B18" s="330"/>
      <c r="C18" s="331"/>
      <c r="D18" s="44" t="s">
        <v>97</v>
      </c>
      <c r="E18" s="50" t="s">
        <v>49</v>
      </c>
    </row>
    <row r="19" spans="1:5" ht="17.399999999999999" x14ac:dyDescent="0.3">
      <c r="A19" s="327" t="s">
        <v>11</v>
      </c>
      <c r="B19" s="327"/>
      <c r="C19" s="327"/>
      <c r="D19" s="44" t="s">
        <v>32</v>
      </c>
      <c r="E19" s="44" t="s">
        <v>119</v>
      </c>
    </row>
    <row r="20" spans="1:5" ht="17.399999999999999" x14ac:dyDescent="0.3">
      <c r="A20" s="51"/>
      <c r="B20" s="52"/>
      <c r="C20" s="53"/>
      <c r="D20" s="39"/>
      <c r="E20" s="46"/>
    </row>
    <row r="21" spans="1:5" ht="17.399999999999999" x14ac:dyDescent="0.3">
      <c r="A21" s="337" t="s">
        <v>154</v>
      </c>
      <c r="B21" s="338"/>
      <c r="C21" s="339"/>
      <c r="D21" s="39"/>
      <c r="E21" s="46"/>
    </row>
    <row r="22" spans="1:5" ht="17.399999999999999" x14ac:dyDescent="0.3">
      <c r="A22" s="337" t="s">
        <v>150</v>
      </c>
      <c r="B22" s="338"/>
      <c r="C22" s="339"/>
      <c r="D22" s="42" t="s">
        <v>151</v>
      </c>
      <c r="E22" s="42" t="s">
        <v>152</v>
      </c>
    </row>
    <row r="23" spans="1:5" ht="17.399999999999999" x14ac:dyDescent="0.3">
      <c r="A23" s="327" t="s">
        <v>34</v>
      </c>
      <c r="B23" s="327"/>
      <c r="C23" s="327"/>
      <c r="D23" s="42" t="s">
        <v>35</v>
      </c>
      <c r="E23" s="42" t="s">
        <v>49</v>
      </c>
    </row>
    <row r="24" spans="1:5" ht="17.399999999999999" x14ac:dyDescent="0.3">
      <c r="A24" s="327" t="s">
        <v>36</v>
      </c>
      <c r="B24" s="327"/>
      <c r="C24" s="327"/>
      <c r="D24" s="42" t="s">
        <v>51</v>
      </c>
      <c r="E24" s="42" t="s">
        <v>49</v>
      </c>
    </row>
    <row r="25" spans="1:5" ht="17.399999999999999" x14ac:dyDescent="0.3">
      <c r="A25" s="327" t="s">
        <v>37</v>
      </c>
      <c r="B25" s="327"/>
      <c r="C25" s="327"/>
      <c r="D25" s="42" t="s">
        <v>38</v>
      </c>
      <c r="E25" s="42" t="s">
        <v>80</v>
      </c>
    </row>
    <row r="26" spans="1:5" ht="17.399999999999999" x14ac:dyDescent="0.3">
      <c r="A26" s="337" t="s">
        <v>138</v>
      </c>
      <c r="B26" s="338"/>
      <c r="C26" s="339"/>
      <c r="D26" s="42" t="s">
        <v>139</v>
      </c>
      <c r="E26" s="42" t="s">
        <v>140</v>
      </c>
    </row>
    <row r="27" spans="1:5" ht="17.399999999999999" x14ac:dyDescent="0.3">
      <c r="A27" s="327" t="s">
        <v>6</v>
      </c>
      <c r="B27" s="327"/>
      <c r="C27" s="327"/>
      <c r="D27" s="42" t="s">
        <v>39</v>
      </c>
      <c r="E27" s="42" t="s">
        <v>79</v>
      </c>
    </row>
    <row r="28" spans="1:5" ht="17.399999999999999" x14ac:dyDescent="0.3">
      <c r="A28" s="48" t="s">
        <v>7</v>
      </c>
      <c r="B28" s="48"/>
      <c r="C28" s="48"/>
      <c r="D28" s="44" t="s">
        <v>30</v>
      </c>
      <c r="E28" s="44" t="s">
        <v>79</v>
      </c>
    </row>
    <row r="29" spans="1:5" ht="17.399999999999999" x14ac:dyDescent="0.3">
      <c r="A29" s="327" t="s">
        <v>62</v>
      </c>
      <c r="B29" s="327"/>
      <c r="C29" s="327"/>
      <c r="D29" s="42" t="s">
        <v>30</v>
      </c>
      <c r="E29" s="42" t="s">
        <v>78</v>
      </c>
    </row>
    <row r="30" spans="1:5" ht="17.399999999999999" x14ac:dyDescent="0.3">
      <c r="A30" s="327" t="s">
        <v>19</v>
      </c>
      <c r="B30" s="327"/>
      <c r="C30" s="327"/>
      <c r="D30" s="42" t="s">
        <v>30</v>
      </c>
      <c r="E30" s="42" t="s">
        <v>79</v>
      </c>
    </row>
    <row r="31" spans="1:5" ht="17.399999999999999" x14ac:dyDescent="0.3">
      <c r="A31" s="327" t="s">
        <v>45</v>
      </c>
      <c r="B31" s="327"/>
      <c r="C31" s="327"/>
      <c r="D31" s="42" t="s">
        <v>15</v>
      </c>
      <c r="E31" s="42" t="s">
        <v>56</v>
      </c>
    </row>
    <row r="32" spans="1:5" ht="17.399999999999999" x14ac:dyDescent="0.3">
      <c r="A32" s="48" t="s">
        <v>40</v>
      </c>
      <c r="B32" s="48"/>
      <c r="C32" s="48"/>
      <c r="D32" s="42" t="s">
        <v>14</v>
      </c>
      <c r="E32" s="42" t="s">
        <v>48</v>
      </c>
    </row>
    <row r="33" spans="1:5" ht="17.399999999999999" x14ac:dyDescent="0.3">
      <c r="A33" s="327" t="s">
        <v>17</v>
      </c>
      <c r="B33" s="327"/>
      <c r="C33" s="327"/>
      <c r="D33" s="42" t="s">
        <v>14</v>
      </c>
      <c r="E33" s="42" t="s">
        <v>48</v>
      </c>
    </row>
    <row r="34" spans="1:5" ht="17.399999999999999" x14ac:dyDescent="0.3">
      <c r="A34" s="327" t="s">
        <v>16</v>
      </c>
      <c r="B34" s="327"/>
      <c r="C34" s="327"/>
      <c r="D34" s="42" t="s">
        <v>14</v>
      </c>
      <c r="E34" s="42" t="s">
        <v>48</v>
      </c>
    </row>
    <row r="35" spans="1:5" ht="17.399999999999999" x14ac:dyDescent="0.3">
      <c r="A35" s="327" t="s">
        <v>41</v>
      </c>
      <c r="B35" s="327"/>
      <c r="C35" s="327"/>
      <c r="D35" s="42" t="s">
        <v>14</v>
      </c>
      <c r="E35" s="42" t="s">
        <v>48</v>
      </c>
    </row>
    <row r="36" spans="1:5" ht="17.399999999999999" x14ac:dyDescent="0.3">
      <c r="A36" s="327" t="s">
        <v>42</v>
      </c>
      <c r="B36" s="327"/>
      <c r="C36" s="327"/>
      <c r="D36" s="42" t="s">
        <v>14</v>
      </c>
      <c r="E36" s="42" t="s">
        <v>48</v>
      </c>
    </row>
    <row r="37" spans="1:5" ht="17.399999999999999" x14ac:dyDescent="0.3">
      <c r="A37" s="327" t="s">
        <v>43</v>
      </c>
      <c r="B37" s="327"/>
      <c r="C37" s="327"/>
      <c r="D37" s="42" t="s">
        <v>14</v>
      </c>
      <c r="E37" s="42" t="s">
        <v>48</v>
      </c>
    </row>
    <row r="38" spans="1:5" ht="17.399999999999999" x14ac:dyDescent="0.3">
      <c r="A38" s="327" t="s">
        <v>44</v>
      </c>
      <c r="B38" s="327"/>
      <c r="C38" s="327"/>
      <c r="D38" s="42" t="s">
        <v>14</v>
      </c>
      <c r="E38" s="42" t="s">
        <v>48</v>
      </c>
    </row>
    <row r="39" spans="1:5" ht="17.399999999999999" x14ac:dyDescent="0.3">
      <c r="A39" s="42" t="s">
        <v>18</v>
      </c>
      <c r="B39" s="42"/>
      <c r="C39" s="42"/>
      <c r="D39" s="44" t="s">
        <v>14</v>
      </c>
      <c r="E39" s="44" t="s">
        <v>48</v>
      </c>
    </row>
    <row r="40" spans="1:5" ht="17.399999999999999" x14ac:dyDescent="0.3">
      <c r="A40" s="327" t="s">
        <v>63</v>
      </c>
      <c r="B40" s="327"/>
      <c r="C40" s="327"/>
      <c r="D40" s="42" t="s">
        <v>14</v>
      </c>
      <c r="E40" s="42" t="s">
        <v>65</v>
      </c>
    </row>
    <row r="41" spans="1:5" ht="17.399999999999999" x14ac:dyDescent="0.3">
      <c r="A41" s="327" t="s">
        <v>64</v>
      </c>
      <c r="B41" s="327"/>
      <c r="C41" s="327"/>
      <c r="D41" s="42" t="s">
        <v>14</v>
      </c>
      <c r="E41" s="42" t="s">
        <v>65</v>
      </c>
    </row>
    <row r="42" spans="1:5" ht="17.399999999999999" x14ac:dyDescent="0.3">
      <c r="A42" s="328" t="s">
        <v>85</v>
      </c>
      <c r="B42" s="328"/>
      <c r="C42" s="328"/>
      <c r="D42" s="42" t="s">
        <v>89</v>
      </c>
      <c r="E42" s="42"/>
    </row>
    <row r="43" spans="1:5" ht="17.399999999999999" x14ac:dyDescent="0.3">
      <c r="A43" s="328" t="s">
        <v>98</v>
      </c>
      <c r="B43" s="328"/>
      <c r="C43" s="328"/>
      <c r="D43" s="42" t="s">
        <v>89</v>
      </c>
      <c r="E43" s="42"/>
    </row>
    <row r="44" spans="1:5" ht="17.399999999999999" x14ac:dyDescent="0.3">
      <c r="A44" s="328" t="s">
        <v>86</v>
      </c>
      <c r="B44" s="328"/>
      <c r="C44" s="328"/>
      <c r="D44" s="42" t="s">
        <v>90</v>
      </c>
      <c r="E44" s="42"/>
    </row>
    <row r="45" spans="1:5" ht="17.399999999999999" x14ac:dyDescent="0.3">
      <c r="A45" s="328" t="s">
        <v>87</v>
      </c>
      <c r="B45" s="328"/>
      <c r="C45" s="328"/>
      <c r="D45" s="42" t="s">
        <v>90</v>
      </c>
      <c r="E45" s="42"/>
    </row>
    <row r="46" spans="1:5" ht="17.399999999999999" x14ac:dyDescent="0.3">
      <c r="A46" s="328" t="s">
        <v>88</v>
      </c>
      <c r="B46" s="328"/>
      <c r="C46" s="328"/>
      <c r="D46" s="42" t="s">
        <v>90</v>
      </c>
      <c r="E46" s="42"/>
    </row>
  </sheetData>
  <mergeCells count="40"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  <mergeCell ref="A37:C37"/>
    <mergeCell ref="A38:C38"/>
    <mergeCell ref="A40:C40"/>
    <mergeCell ref="A26:C26"/>
    <mergeCell ref="A27:C27"/>
    <mergeCell ref="A29:C29"/>
    <mergeCell ref="A19:C19"/>
    <mergeCell ref="A30:C30"/>
    <mergeCell ref="A31:C31"/>
    <mergeCell ref="A33:C33"/>
    <mergeCell ref="A23:C23"/>
    <mergeCell ref="A24:C24"/>
    <mergeCell ref="A25:C25"/>
    <mergeCell ref="A22:C22"/>
    <mergeCell ref="A21:C21"/>
    <mergeCell ref="A7:C7"/>
    <mergeCell ref="A8:C8"/>
    <mergeCell ref="A9:C9"/>
    <mergeCell ref="A10:C10"/>
    <mergeCell ref="A18:C18"/>
    <mergeCell ref="A13:C13"/>
    <mergeCell ref="A15:C15"/>
    <mergeCell ref="A17:C17"/>
    <mergeCell ref="A11:C11"/>
    <mergeCell ref="A12:C12"/>
    <mergeCell ref="A2:C2"/>
    <mergeCell ref="A3:C3"/>
    <mergeCell ref="A4:C4"/>
    <mergeCell ref="A5:C5"/>
    <mergeCell ref="A6:C6"/>
  </mergeCells>
  <pageMargins left="0.7" right="0.7" top="0.75" bottom="0.75" header="0.3" footer="0.3"/>
  <pageSetup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14" sqref="E14"/>
    </sheetView>
  </sheetViews>
  <sheetFormatPr defaultRowHeight="13.2" x14ac:dyDescent="0.25"/>
  <cols>
    <col min="3" max="3" width="19" customWidth="1"/>
    <col min="4" max="4" width="22" customWidth="1"/>
    <col min="5" max="5" width="20.88671875" customWidth="1"/>
    <col min="6" max="6" width="15.5546875" customWidth="1"/>
  </cols>
  <sheetData>
    <row r="1" spans="1:6" ht="17.399999999999999" x14ac:dyDescent="0.3">
      <c r="A1" s="320" t="s">
        <v>194</v>
      </c>
      <c r="B1" s="320"/>
      <c r="C1" s="320"/>
      <c r="D1" s="320"/>
      <c r="E1" s="320"/>
      <c r="F1" s="320"/>
    </row>
    <row r="2" spans="1:6" ht="17.399999999999999" x14ac:dyDescent="0.3">
      <c r="A2" s="318" t="s">
        <v>195</v>
      </c>
      <c r="B2" s="318"/>
      <c r="C2" s="318"/>
      <c r="D2" s="318"/>
      <c r="E2" s="318"/>
      <c r="F2" s="318"/>
    </row>
    <row r="3" spans="1:6" ht="18" x14ac:dyDescent="0.35">
      <c r="A3" s="316"/>
      <c r="B3" s="316"/>
      <c r="C3" s="316"/>
      <c r="D3" s="3" t="s">
        <v>116</v>
      </c>
      <c r="E3" s="3" t="s">
        <v>117</v>
      </c>
      <c r="F3" s="17"/>
    </row>
    <row r="4" spans="1:6" ht="18" x14ac:dyDescent="0.35">
      <c r="A4" s="316" t="s">
        <v>108</v>
      </c>
      <c r="B4" s="316"/>
      <c r="C4" s="316"/>
      <c r="D4" s="18" t="e">
        <f>E4*12</f>
        <v>#REF!</v>
      </c>
      <c r="E4" s="18" t="e">
        <f>'Apr, 14'!#REF!</f>
        <v>#REF!</v>
      </c>
      <c r="F4" s="1"/>
    </row>
    <row r="5" spans="1:6" ht="18" x14ac:dyDescent="0.35">
      <c r="A5" s="316" t="s">
        <v>109</v>
      </c>
      <c r="B5" s="316"/>
      <c r="C5" s="316"/>
      <c r="D5" s="18" t="e">
        <f t="shared" ref="D5:D14" si="0">E5*12</f>
        <v>#REF!</v>
      </c>
      <c r="E5" s="18" t="e">
        <f>'Apr, 14'!#REF!</f>
        <v>#REF!</v>
      </c>
      <c r="F5" s="1"/>
    </row>
    <row r="6" spans="1:6" ht="18" x14ac:dyDescent="0.35">
      <c r="A6" s="316" t="s">
        <v>110</v>
      </c>
      <c r="B6" s="316"/>
      <c r="C6" s="316"/>
      <c r="D6" s="18" t="e">
        <f t="shared" si="0"/>
        <v>#REF!</v>
      </c>
      <c r="E6" s="18" t="e">
        <f>'Apr, 14'!#REF!</f>
        <v>#REF!</v>
      </c>
      <c r="F6" s="1"/>
    </row>
    <row r="7" spans="1:6" ht="18" x14ac:dyDescent="0.35">
      <c r="A7" s="316" t="s">
        <v>107</v>
      </c>
      <c r="B7" s="316"/>
      <c r="C7" s="316"/>
      <c r="D7" s="18">
        <f t="shared" si="0"/>
        <v>0</v>
      </c>
      <c r="E7" s="18">
        <f>sUMMARY!J6</f>
        <v>0</v>
      </c>
      <c r="F7" s="1"/>
    </row>
    <row r="8" spans="1:6" ht="18" x14ac:dyDescent="0.35">
      <c r="A8" s="316" t="s">
        <v>111</v>
      </c>
      <c r="B8" s="316"/>
      <c r="C8" s="316"/>
      <c r="D8" s="18" t="e">
        <f t="shared" si="0"/>
        <v>#REF!</v>
      </c>
      <c r="E8" s="18" t="e">
        <f>'Apr, 14'!#REF!</f>
        <v>#REF!</v>
      </c>
      <c r="F8" s="1"/>
    </row>
    <row r="9" spans="1:6" ht="18" x14ac:dyDescent="0.35">
      <c r="A9" s="316" t="s">
        <v>112</v>
      </c>
      <c r="B9" s="316"/>
      <c r="C9" s="316"/>
      <c r="D9" s="18" t="e">
        <f t="shared" si="0"/>
        <v>#REF!</v>
      </c>
      <c r="E9" s="18" t="e">
        <f>'Apr, 14'!#REF!</f>
        <v>#REF!</v>
      </c>
      <c r="F9" s="1"/>
    </row>
    <row r="10" spans="1:6" ht="18" x14ac:dyDescent="0.35">
      <c r="A10" s="316" t="s">
        <v>113</v>
      </c>
      <c r="B10" s="316"/>
      <c r="C10" s="316"/>
      <c r="D10" s="18" t="e">
        <f t="shared" si="0"/>
        <v>#REF!</v>
      </c>
      <c r="E10" s="18" t="e">
        <f>'Apr, 14'!#REF!</f>
        <v>#REF!</v>
      </c>
      <c r="F10" s="1"/>
    </row>
    <row r="11" spans="1:6" ht="18" x14ac:dyDescent="0.35">
      <c r="A11" s="298" t="s">
        <v>142</v>
      </c>
      <c r="B11" s="299"/>
      <c r="C11" s="300"/>
      <c r="D11" s="18">
        <f t="shared" si="0"/>
        <v>0</v>
      </c>
      <c r="E11" s="18">
        <v>0</v>
      </c>
      <c r="F11" s="1"/>
    </row>
    <row r="12" spans="1:6" ht="18" x14ac:dyDescent="0.35">
      <c r="A12" s="316" t="s">
        <v>114</v>
      </c>
      <c r="B12" s="316"/>
      <c r="C12" s="316"/>
      <c r="D12" s="18" t="e">
        <f t="shared" si="0"/>
        <v>#REF!</v>
      </c>
      <c r="E12" s="18" t="e">
        <f>'Apr, 14'!#REF!</f>
        <v>#REF!</v>
      </c>
      <c r="F12" s="1"/>
    </row>
    <row r="13" spans="1:6" ht="18" x14ac:dyDescent="0.35">
      <c r="A13" s="316" t="s">
        <v>115</v>
      </c>
      <c r="B13" s="316"/>
      <c r="C13" s="316"/>
      <c r="D13" s="18" t="e">
        <f t="shared" si="0"/>
        <v>#REF!</v>
      </c>
      <c r="E13" s="18" t="e">
        <f>'Apr, 14'!#REF!</f>
        <v>#REF!</v>
      </c>
      <c r="F13" s="1"/>
    </row>
    <row r="14" spans="1:6" ht="18" x14ac:dyDescent="0.35">
      <c r="A14" s="319" t="s">
        <v>118</v>
      </c>
      <c r="B14" s="319"/>
      <c r="C14" s="319"/>
      <c r="D14" s="19" t="e">
        <f t="shared" si="0"/>
        <v>#REF!</v>
      </c>
      <c r="E14" s="19" t="e">
        <f>SUM(E4:E13)</f>
        <v>#REF!</v>
      </c>
      <c r="F14" s="1"/>
    </row>
  </sheetData>
  <mergeCells count="14">
    <mergeCell ref="A6:C6"/>
    <mergeCell ref="A1:F1"/>
    <mergeCell ref="A2:F2"/>
    <mergeCell ref="A3:C3"/>
    <mergeCell ref="A4:C4"/>
    <mergeCell ref="A5:C5"/>
    <mergeCell ref="A13:C13"/>
    <mergeCell ref="A14:C14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14" sqref="D14"/>
    </sheetView>
  </sheetViews>
  <sheetFormatPr defaultRowHeight="13.2" x14ac:dyDescent="0.25"/>
  <cols>
    <col min="1" max="1" width="9.88671875" customWidth="1"/>
    <col min="2" max="2" width="38.6640625" customWidth="1"/>
    <col min="3" max="3" width="16.33203125" customWidth="1"/>
    <col min="4" max="4" width="18.88671875" customWidth="1"/>
    <col min="5" max="5" width="24.6640625" customWidth="1"/>
    <col min="6" max="6" width="26" customWidth="1"/>
  </cols>
  <sheetData>
    <row r="1" spans="1:6" ht="17.399999999999999" x14ac:dyDescent="0.3">
      <c r="A1" s="345" t="s">
        <v>249</v>
      </c>
      <c r="B1" s="345"/>
      <c r="C1" s="345"/>
      <c r="D1" s="345"/>
      <c r="E1" s="345"/>
    </row>
    <row r="2" spans="1:6" ht="17.399999999999999" x14ac:dyDescent="0.3">
      <c r="A2" s="318" t="s">
        <v>244</v>
      </c>
      <c r="B2" s="318"/>
      <c r="C2" s="318"/>
      <c r="D2" s="318"/>
      <c r="E2" s="318"/>
    </row>
    <row r="3" spans="1:6" ht="18.75" customHeight="1" x14ac:dyDescent="0.25">
      <c r="A3" s="344" t="s">
        <v>248</v>
      </c>
      <c r="B3" s="346" t="s">
        <v>13</v>
      </c>
      <c r="C3" s="342" t="s">
        <v>245</v>
      </c>
      <c r="D3" s="342" t="s">
        <v>250</v>
      </c>
      <c r="E3" s="342" t="s">
        <v>246</v>
      </c>
      <c r="F3" s="341" t="s">
        <v>20</v>
      </c>
    </row>
    <row r="4" spans="1:6" ht="16.5" customHeight="1" x14ac:dyDescent="0.25">
      <c r="A4" s="344"/>
      <c r="B4" s="347"/>
      <c r="C4" s="343"/>
      <c r="D4" s="343"/>
      <c r="E4" s="343"/>
      <c r="F4" s="341"/>
    </row>
    <row r="5" spans="1:6" ht="18" x14ac:dyDescent="0.35">
      <c r="A5" s="3">
        <v>1</v>
      </c>
      <c r="B5" s="96" t="s">
        <v>226</v>
      </c>
      <c r="C5" s="97" t="s">
        <v>247</v>
      </c>
      <c r="D5" s="97" t="s">
        <v>251</v>
      </c>
      <c r="E5" s="101">
        <f>1580439.5*12</f>
        <v>18965274</v>
      </c>
      <c r="F5" s="101">
        <f>E5*D5</f>
        <v>18965274</v>
      </c>
    </row>
    <row r="6" spans="1:6" ht="18" x14ac:dyDescent="0.35">
      <c r="A6" s="3">
        <v>2</v>
      </c>
      <c r="B6" s="96" t="s">
        <v>252</v>
      </c>
      <c r="C6" s="97" t="s">
        <v>152</v>
      </c>
      <c r="D6" s="97" t="s">
        <v>237</v>
      </c>
      <c r="E6" s="101">
        <v>9607889.5199999996</v>
      </c>
      <c r="F6" s="101">
        <f t="shared" ref="F6:F17" si="0">E6*D6</f>
        <v>38431558.079999998</v>
      </c>
    </row>
    <row r="7" spans="1:6" ht="18" x14ac:dyDescent="0.35">
      <c r="A7" s="3">
        <v>3</v>
      </c>
      <c r="B7" s="96" t="s">
        <v>82</v>
      </c>
      <c r="C7" s="97" t="s">
        <v>49</v>
      </c>
      <c r="D7" s="97" t="s">
        <v>251</v>
      </c>
      <c r="E7" s="98">
        <f>424023.33*12</f>
        <v>5088279.96</v>
      </c>
      <c r="F7" s="101">
        <f t="shared" si="0"/>
        <v>5088279.96</v>
      </c>
    </row>
    <row r="8" spans="1:6" ht="18" x14ac:dyDescent="0.35">
      <c r="A8" s="3">
        <v>4</v>
      </c>
      <c r="B8" s="96" t="s">
        <v>84</v>
      </c>
      <c r="C8" s="97" t="s">
        <v>49</v>
      </c>
      <c r="D8" s="97" t="s">
        <v>254</v>
      </c>
      <c r="E8" s="98">
        <f>424023.33*12</f>
        <v>5088279.96</v>
      </c>
      <c r="F8" s="101">
        <f t="shared" si="0"/>
        <v>10176559.92</v>
      </c>
    </row>
    <row r="9" spans="1:6" ht="18" x14ac:dyDescent="0.35">
      <c r="A9" s="3">
        <v>5</v>
      </c>
      <c r="B9" s="93" t="s">
        <v>253</v>
      </c>
      <c r="C9" s="99" t="s">
        <v>49</v>
      </c>
      <c r="D9" s="103">
        <v>10</v>
      </c>
      <c r="E9" s="100">
        <v>5088279.96</v>
      </c>
      <c r="F9" s="101">
        <f t="shared" si="0"/>
        <v>50882799.600000001</v>
      </c>
    </row>
    <row r="10" spans="1:6" ht="18" x14ac:dyDescent="0.35">
      <c r="A10" s="3">
        <v>6</v>
      </c>
      <c r="B10" s="93" t="s">
        <v>256</v>
      </c>
      <c r="C10" s="99" t="s">
        <v>49</v>
      </c>
      <c r="D10" s="103">
        <v>10</v>
      </c>
      <c r="E10" s="100">
        <v>4136647.2</v>
      </c>
      <c r="F10" s="101">
        <f t="shared" si="0"/>
        <v>41366472</v>
      </c>
    </row>
    <row r="11" spans="1:6" ht="18" x14ac:dyDescent="0.35">
      <c r="A11" s="3">
        <v>7</v>
      </c>
      <c r="B11" s="93" t="s">
        <v>255</v>
      </c>
      <c r="C11" s="99" t="s">
        <v>50</v>
      </c>
      <c r="D11" s="103">
        <v>12</v>
      </c>
      <c r="E11" s="100">
        <f>344720.6*12</f>
        <v>4136647.1999999997</v>
      </c>
      <c r="F11" s="101">
        <f t="shared" si="0"/>
        <v>49639766.399999999</v>
      </c>
    </row>
    <row r="12" spans="1:6" ht="18" x14ac:dyDescent="0.35">
      <c r="A12" s="3">
        <v>8</v>
      </c>
      <c r="B12" s="93" t="s">
        <v>125</v>
      </c>
      <c r="C12" s="99" t="s">
        <v>146</v>
      </c>
      <c r="D12" s="103">
        <v>10</v>
      </c>
      <c r="E12" s="100">
        <f>249153.06*12</f>
        <v>2989836.7199999997</v>
      </c>
      <c r="F12" s="101">
        <f t="shared" si="0"/>
        <v>29898367.199999996</v>
      </c>
    </row>
    <row r="13" spans="1:6" ht="18" x14ac:dyDescent="0.35">
      <c r="A13" s="3">
        <v>9</v>
      </c>
      <c r="B13" s="93" t="s">
        <v>257</v>
      </c>
      <c r="C13" s="99" t="s">
        <v>185</v>
      </c>
      <c r="D13" s="103">
        <v>8</v>
      </c>
      <c r="E13" s="100">
        <v>2810412.36</v>
      </c>
      <c r="F13" s="101">
        <f t="shared" si="0"/>
        <v>22483298.879999999</v>
      </c>
    </row>
    <row r="14" spans="1:6" ht="18" x14ac:dyDescent="0.35">
      <c r="A14" s="3">
        <v>10</v>
      </c>
      <c r="B14" s="93" t="s">
        <v>258</v>
      </c>
      <c r="C14" s="99" t="s">
        <v>166</v>
      </c>
      <c r="D14" s="103">
        <v>15</v>
      </c>
      <c r="E14" s="100">
        <f>168602.08*12</f>
        <v>2023224.96</v>
      </c>
      <c r="F14" s="101">
        <f t="shared" si="0"/>
        <v>30348374.399999999</v>
      </c>
    </row>
    <row r="15" spans="1:6" ht="18" x14ac:dyDescent="0.35">
      <c r="A15" s="3">
        <v>11</v>
      </c>
      <c r="B15" s="96" t="s">
        <v>259</v>
      </c>
      <c r="C15" s="97" t="s">
        <v>168</v>
      </c>
      <c r="D15" s="97" t="s">
        <v>260</v>
      </c>
      <c r="E15" s="100">
        <f>123329.05*12</f>
        <v>1479948.6</v>
      </c>
      <c r="F15" s="101">
        <f t="shared" si="0"/>
        <v>29598972</v>
      </c>
    </row>
    <row r="16" spans="1:6" ht="18" x14ac:dyDescent="0.35">
      <c r="A16" s="3">
        <v>12</v>
      </c>
      <c r="B16" s="93" t="s">
        <v>261</v>
      </c>
      <c r="C16" s="99" t="s">
        <v>79</v>
      </c>
      <c r="D16" s="103">
        <v>15</v>
      </c>
      <c r="E16" s="100">
        <f>130304.44*12</f>
        <v>1563653.28</v>
      </c>
      <c r="F16" s="101">
        <f t="shared" si="0"/>
        <v>23454799.199999999</v>
      </c>
    </row>
    <row r="17" spans="1:6" ht="18" x14ac:dyDescent="0.35">
      <c r="A17" s="3">
        <v>13</v>
      </c>
      <c r="B17" s="93" t="s">
        <v>262</v>
      </c>
      <c r="C17" s="99" t="s">
        <v>48</v>
      </c>
      <c r="D17" s="103">
        <v>20</v>
      </c>
      <c r="E17" s="100">
        <f>46676.06*12</f>
        <v>560112.72</v>
      </c>
      <c r="F17" s="101">
        <f t="shared" si="0"/>
        <v>11202254.399999999</v>
      </c>
    </row>
    <row r="18" spans="1:6" ht="17.399999999999999" x14ac:dyDescent="0.3">
      <c r="A18" s="95"/>
      <c r="B18" s="95"/>
      <c r="C18" s="12"/>
      <c r="D18" s="12">
        <f>SUM(D9:D17)</f>
        <v>100</v>
      </c>
      <c r="E18" s="102"/>
      <c r="F18" s="19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F23" sqref="F23"/>
    </sheetView>
  </sheetViews>
  <sheetFormatPr defaultRowHeight="13.2" x14ac:dyDescent="0.25"/>
  <cols>
    <col min="3" max="3" width="22.44140625" customWidth="1"/>
    <col min="4" max="4" width="32.6640625" customWidth="1"/>
    <col min="5" max="5" width="11" customWidth="1"/>
    <col min="6" max="6" width="21.109375" customWidth="1"/>
    <col min="7" max="7" width="23.5546875" customWidth="1"/>
  </cols>
  <sheetData>
    <row r="1" spans="1:10" ht="17.399999999999999" x14ac:dyDescent="0.3">
      <c r="D1" s="36"/>
    </row>
    <row r="2" spans="1:10" ht="17.399999999999999" x14ac:dyDescent="0.3">
      <c r="A2" s="332" t="s">
        <v>0</v>
      </c>
      <c r="B2" s="332"/>
      <c r="C2" s="332"/>
      <c r="D2" s="40" t="s">
        <v>13</v>
      </c>
      <c r="E2" s="40" t="s">
        <v>333</v>
      </c>
      <c r="F2" s="157" t="s">
        <v>240</v>
      </c>
      <c r="G2" s="46" t="s">
        <v>91</v>
      </c>
    </row>
    <row r="3" spans="1:10" ht="17.399999999999999" x14ac:dyDescent="0.3">
      <c r="A3" s="264"/>
      <c r="B3" s="264"/>
      <c r="C3" s="264"/>
      <c r="D3" s="152"/>
      <c r="E3" s="152"/>
      <c r="F3" s="154">
        <v>300000</v>
      </c>
      <c r="G3" s="155"/>
    </row>
    <row r="4" spans="1:10" ht="17.399999999999999" x14ac:dyDescent="0.3">
      <c r="A4" s="264" t="s">
        <v>242</v>
      </c>
      <c r="B4" s="264"/>
      <c r="C4" s="264"/>
      <c r="D4" s="152" t="s">
        <v>243</v>
      </c>
      <c r="E4" s="60" t="s">
        <v>152</v>
      </c>
      <c r="F4" s="154">
        <v>150000</v>
      </c>
      <c r="G4" s="155"/>
    </row>
    <row r="5" spans="1:10" ht="17.399999999999999" x14ac:dyDescent="0.3">
      <c r="A5" s="264" t="s">
        <v>274</v>
      </c>
      <c r="B5" s="264"/>
      <c r="C5" s="264"/>
      <c r="D5" s="152" t="s">
        <v>275</v>
      </c>
      <c r="E5" s="60" t="s">
        <v>152</v>
      </c>
      <c r="F5" s="154">
        <v>150000</v>
      </c>
      <c r="G5" s="155"/>
    </row>
    <row r="6" spans="1:10" ht="17.399999999999999" x14ac:dyDescent="0.3">
      <c r="A6" s="264" t="s">
        <v>150</v>
      </c>
      <c r="B6" s="264"/>
      <c r="C6" s="264"/>
      <c r="D6" s="152" t="s">
        <v>231</v>
      </c>
      <c r="E6" s="60" t="s">
        <v>152</v>
      </c>
      <c r="F6" s="154">
        <v>150000</v>
      </c>
      <c r="G6" s="155"/>
    </row>
    <row r="7" spans="1:10" ht="21.75" customHeight="1" x14ac:dyDescent="0.3">
      <c r="A7" s="264" t="s">
        <v>81</v>
      </c>
      <c r="B7" s="264"/>
      <c r="C7" s="264"/>
      <c r="D7" s="152" t="s">
        <v>82</v>
      </c>
      <c r="E7" s="60" t="s">
        <v>49</v>
      </c>
      <c r="F7" s="154">
        <v>100000</v>
      </c>
      <c r="G7" s="155"/>
    </row>
    <row r="8" spans="1:10" ht="22.5" customHeight="1" x14ac:dyDescent="0.3">
      <c r="A8" s="264" t="s">
        <v>93</v>
      </c>
      <c r="B8" s="264"/>
      <c r="C8" s="264"/>
      <c r="D8" s="152" t="s">
        <v>324</v>
      </c>
      <c r="E8" s="60" t="s">
        <v>49</v>
      </c>
      <c r="F8" s="154">
        <v>100000</v>
      </c>
      <c r="G8" s="155"/>
    </row>
    <row r="9" spans="1:10" ht="22.5" customHeight="1" x14ac:dyDescent="0.3">
      <c r="A9" s="264" t="s">
        <v>325</v>
      </c>
      <c r="B9" s="264"/>
      <c r="C9" s="264"/>
      <c r="D9" s="152" t="s">
        <v>84</v>
      </c>
      <c r="E9" s="60" t="s">
        <v>49</v>
      </c>
      <c r="F9" s="154">
        <v>100000</v>
      </c>
      <c r="G9" s="155"/>
    </row>
    <row r="10" spans="1:10" ht="19.5" customHeight="1" x14ac:dyDescent="0.3">
      <c r="A10" s="264" t="s">
        <v>12</v>
      </c>
      <c r="B10" s="264"/>
      <c r="C10" s="264"/>
      <c r="D10" s="152" t="s">
        <v>227</v>
      </c>
      <c r="E10" s="60" t="s">
        <v>49</v>
      </c>
      <c r="F10" s="154">
        <v>100000</v>
      </c>
      <c r="G10" s="155"/>
    </row>
    <row r="11" spans="1:10" ht="17.399999999999999" x14ac:dyDescent="0.3">
      <c r="A11" s="264" t="s">
        <v>31</v>
      </c>
      <c r="B11" s="264"/>
      <c r="C11" s="264"/>
      <c r="D11" s="153" t="s">
        <v>96</v>
      </c>
      <c r="E11" s="56" t="s">
        <v>49</v>
      </c>
      <c r="F11" s="154">
        <v>100000</v>
      </c>
      <c r="G11" s="155"/>
    </row>
    <row r="12" spans="1:10" ht="17.399999999999999" x14ac:dyDescent="0.3">
      <c r="A12" s="264" t="s">
        <v>34</v>
      </c>
      <c r="B12" s="264"/>
      <c r="C12" s="264"/>
      <c r="D12" s="152" t="s">
        <v>35</v>
      </c>
      <c r="E12" s="60" t="s">
        <v>49</v>
      </c>
      <c r="F12" s="154">
        <v>100000</v>
      </c>
      <c r="G12" s="155"/>
    </row>
    <row r="13" spans="1:10" ht="17.399999999999999" x14ac:dyDescent="0.3">
      <c r="A13" s="264" t="s">
        <v>36</v>
      </c>
      <c r="B13" s="264"/>
      <c r="C13" s="264"/>
      <c r="D13" s="152" t="s">
        <v>51</v>
      </c>
      <c r="E13" s="60" t="s">
        <v>49</v>
      </c>
      <c r="F13" s="154">
        <v>100000</v>
      </c>
      <c r="G13" s="155"/>
    </row>
    <row r="14" spans="1:10" ht="17.399999999999999" x14ac:dyDescent="0.3">
      <c r="A14" s="266" t="s">
        <v>23</v>
      </c>
      <c r="B14" s="266"/>
      <c r="C14" s="266"/>
      <c r="D14" s="153" t="s">
        <v>184</v>
      </c>
      <c r="E14" s="61" t="s">
        <v>50</v>
      </c>
      <c r="F14" s="154">
        <v>80000</v>
      </c>
      <c r="G14" s="155"/>
    </row>
    <row r="15" spans="1:10" ht="17.399999999999999" x14ac:dyDescent="0.3">
      <c r="A15" s="266" t="s">
        <v>211</v>
      </c>
      <c r="B15" s="266"/>
      <c r="C15" s="266"/>
      <c r="D15" s="153" t="s">
        <v>212</v>
      </c>
      <c r="E15" s="61" t="s">
        <v>50</v>
      </c>
      <c r="F15" s="154">
        <v>80000</v>
      </c>
      <c r="G15" s="155"/>
      <c r="J15" s="111"/>
    </row>
    <row r="16" spans="1:10" ht="17.399999999999999" x14ac:dyDescent="0.3">
      <c r="A16" s="351" t="s">
        <v>178</v>
      </c>
      <c r="B16" s="351"/>
      <c r="C16" s="351"/>
      <c r="D16" s="152" t="s">
        <v>179</v>
      </c>
      <c r="E16" s="60" t="s">
        <v>50</v>
      </c>
      <c r="F16" s="154">
        <v>80000</v>
      </c>
      <c r="G16" s="155"/>
    </row>
    <row r="17" spans="1:14" ht="17.399999999999999" x14ac:dyDescent="0.3">
      <c r="A17" s="257" t="s">
        <v>338</v>
      </c>
      <c r="B17" s="258"/>
      <c r="C17" s="259"/>
      <c r="D17" s="152" t="s">
        <v>339</v>
      </c>
      <c r="E17" s="60" t="s">
        <v>50</v>
      </c>
      <c r="F17" s="154">
        <v>80000</v>
      </c>
      <c r="G17" s="155"/>
      <c r="I17" t="s">
        <v>249</v>
      </c>
    </row>
    <row r="18" spans="1:14" ht="17.399999999999999" x14ac:dyDescent="0.3">
      <c r="A18" s="257" t="s">
        <v>180</v>
      </c>
      <c r="B18" s="258"/>
      <c r="C18" s="259"/>
      <c r="D18" s="152" t="s">
        <v>340</v>
      </c>
      <c r="E18" s="60" t="s">
        <v>50</v>
      </c>
      <c r="F18" s="154">
        <v>80000</v>
      </c>
      <c r="G18" s="155"/>
    </row>
    <row r="19" spans="1:14" ht="17.399999999999999" x14ac:dyDescent="0.3">
      <c r="A19" s="152" t="s">
        <v>232</v>
      </c>
      <c r="B19" s="152"/>
      <c r="C19" s="152"/>
      <c r="D19" s="152" t="s">
        <v>173</v>
      </c>
      <c r="E19" s="60" t="s">
        <v>50</v>
      </c>
      <c r="F19" s="154">
        <v>80000</v>
      </c>
      <c r="G19" s="155"/>
    </row>
    <row r="20" spans="1:14" ht="17.399999999999999" x14ac:dyDescent="0.3">
      <c r="A20" s="152" t="s">
        <v>224</v>
      </c>
      <c r="B20" s="152"/>
      <c r="C20" s="152"/>
      <c r="D20" s="152" t="s">
        <v>32</v>
      </c>
      <c r="E20" s="60" t="s">
        <v>313</v>
      </c>
      <c r="F20" s="154">
        <v>80000</v>
      </c>
      <c r="G20" s="155"/>
    </row>
    <row r="21" spans="1:14" ht="17.399999999999999" x14ac:dyDescent="0.3">
      <c r="A21" s="264" t="s">
        <v>218</v>
      </c>
      <c r="B21" s="264"/>
      <c r="C21" s="264"/>
      <c r="D21" s="153" t="s">
        <v>228</v>
      </c>
      <c r="E21" s="56" t="s">
        <v>119</v>
      </c>
      <c r="F21" s="154">
        <v>80000</v>
      </c>
      <c r="G21" s="155"/>
      <c r="N21" t="s">
        <v>296</v>
      </c>
    </row>
    <row r="22" spans="1:14" ht="17.399999999999999" x14ac:dyDescent="0.3">
      <c r="A22" s="156" t="s">
        <v>320</v>
      </c>
      <c r="B22" s="156"/>
      <c r="C22" s="75"/>
      <c r="D22" s="152" t="s">
        <v>321</v>
      </c>
      <c r="E22" s="60" t="s">
        <v>332</v>
      </c>
      <c r="F22" s="154">
        <v>80000</v>
      </c>
      <c r="G22" s="155"/>
    </row>
    <row r="23" spans="1:14" ht="29.25" customHeight="1" x14ac:dyDescent="0.4">
      <c r="A23" s="348" t="s">
        <v>20</v>
      </c>
      <c r="B23" s="349"/>
      <c r="C23" s="350"/>
      <c r="D23" s="155"/>
      <c r="E23" s="155"/>
      <c r="F23" s="158">
        <f>SUM(F3:F22)</f>
        <v>2170000</v>
      </c>
      <c r="G23" s="155"/>
    </row>
  </sheetData>
  <mergeCells count="19">
    <mergeCell ref="A2:C2"/>
    <mergeCell ref="A3:C3"/>
    <mergeCell ref="A7:C7"/>
    <mergeCell ref="A8:C8"/>
    <mergeCell ref="A11:C11"/>
    <mergeCell ref="A9:C9"/>
    <mergeCell ref="A5:C5"/>
    <mergeCell ref="A10:C10"/>
    <mergeCell ref="A4:C4"/>
    <mergeCell ref="A23:C23"/>
    <mergeCell ref="A17:C17"/>
    <mergeCell ref="A18:C18"/>
    <mergeCell ref="A21:C21"/>
    <mergeCell ref="A6:C6"/>
    <mergeCell ref="A12:C12"/>
    <mergeCell ref="A13:C13"/>
    <mergeCell ref="A16:C16"/>
    <mergeCell ref="A14:C14"/>
    <mergeCell ref="A15:C15"/>
  </mergeCells>
  <pageMargins left="0.33" right="0.16" top="0.75" bottom="0.75" header="0.3" footer="0.3"/>
  <pageSetup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selection sqref="A1:H30"/>
    </sheetView>
  </sheetViews>
  <sheetFormatPr defaultRowHeight="13.2" x14ac:dyDescent="0.25"/>
  <cols>
    <col min="1" max="1" width="5.6640625" customWidth="1"/>
    <col min="4" max="4" width="20.88671875" customWidth="1"/>
    <col min="5" max="5" width="31.5546875" customWidth="1"/>
    <col min="6" max="6" width="10.44140625" customWidth="1"/>
    <col min="7" max="7" width="21.88671875" customWidth="1"/>
    <col min="8" max="8" width="22" customWidth="1"/>
  </cols>
  <sheetData>
    <row r="1" spans="1:8" ht="17.399999999999999" x14ac:dyDescent="0.3">
      <c r="A1" s="163" t="s">
        <v>335</v>
      </c>
      <c r="B1" s="289" t="s">
        <v>334</v>
      </c>
      <c r="C1" s="289"/>
      <c r="D1" s="289"/>
      <c r="E1" s="37" t="s">
        <v>13</v>
      </c>
      <c r="F1" s="37" t="s">
        <v>333</v>
      </c>
      <c r="G1" s="46" t="s">
        <v>240</v>
      </c>
      <c r="H1" s="46" t="s">
        <v>91</v>
      </c>
    </row>
    <row r="2" spans="1:8" ht="17.399999999999999" x14ac:dyDescent="0.3">
      <c r="A2" s="164">
        <v>1</v>
      </c>
      <c r="B2" s="266" t="s">
        <v>196</v>
      </c>
      <c r="C2" s="266"/>
      <c r="D2" s="266"/>
      <c r="E2" s="153" t="s">
        <v>197</v>
      </c>
      <c r="F2" s="61" t="s">
        <v>185</v>
      </c>
      <c r="G2" s="154">
        <v>20000</v>
      </c>
      <c r="H2" s="159"/>
    </row>
    <row r="3" spans="1:8" ht="17.399999999999999" x14ac:dyDescent="0.3">
      <c r="A3" s="164">
        <v>2</v>
      </c>
      <c r="B3" s="266" t="s">
        <v>234</v>
      </c>
      <c r="C3" s="266"/>
      <c r="D3" s="266"/>
      <c r="E3" s="153" t="s">
        <v>235</v>
      </c>
      <c r="F3" s="56" t="s">
        <v>185</v>
      </c>
      <c r="G3" s="154">
        <v>20000</v>
      </c>
      <c r="H3" s="159"/>
    </row>
    <row r="4" spans="1:8" ht="17.399999999999999" x14ac:dyDescent="0.3">
      <c r="A4" s="164">
        <v>3</v>
      </c>
      <c r="B4" s="266" t="s">
        <v>213</v>
      </c>
      <c r="C4" s="266"/>
      <c r="D4" s="266"/>
      <c r="E4" s="153" t="s">
        <v>214</v>
      </c>
      <c r="F4" s="56" t="s">
        <v>166</v>
      </c>
      <c r="G4" s="154">
        <v>20000</v>
      </c>
      <c r="H4" s="159"/>
    </row>
    <row r="5" spans="1:8" ht="17.399999999999999" x14ac:dyDescent="0.3">
      <c r="A5" s="164">
        <v>4</v>
      </c>
      <c r="B5" s="266" t="s">
        <v>331</v>
      </c>
      <c r="C5" s="266"/>
      <c r="D5" s="266"/>
      <c r="E5" s="153" t="s">
        <v>217</v>
      </c>
      <c r="F5" s="56" t="s">
        <v>166</v>
      </c>
      <c r="G5" s="154">
        <v>20000</v>
      </c>
      <c r="H5" s="159"/>
    </row>
    <row r="6" spans="1:8" ht="17.399999999999999" x14ac:dyDescent="0.3">
      <c r="A6" s="164">
        <v>5</v>
      </c>
      <c r="B6" s="266" t="s">
        <v>266</v>
      </c>
      <c r="C6" s="266"/>
      <c r="D6" s="266"/>
      <c r="E6" s="153" t="s">
        <v>265</v>
      </c>
      <c r="F6" s="56" t="s">
        <v>166</v>
      </c>
      <c r="G6" s="154">
        <v>20000</v>
      </c>
      <c r="H6" s="159"/>
    </row>
    <row r="7" spans="1:8" ht="17.399999999999999" x14ac:dyDescent="0.3">
      <c r="A7" s="164">
        <v>6</v>
      </c>
      <c r="B7" s="151" t="s">
        <v>315</v>
      </c>
      <c r="C7" s="151" t="s">
        <v>315</v>
      </c>
      <c r="D7" s="151"/>
      <c r="E7" s="153" t="s">
        <v>316</v>
      </c>
      <c r="F7" s="56" t="s">
        <v>166</v>
      </c>
      <c r="G7" s="154">
        <v>20000</v>
      </c>
      <c r="H7" s="159"/>
    </row>
    <row r="8" spans="1:8" ht="17.399999999999999" x14ac:dyDescent="0.3">
      <c r="A8" s="164">
        <v>7</v>
      </c>
      <c r="B8" s="266" t="s">
        <v>317</v>
      </c>
      <c r="C8" s="266"/>
      <c r="D8" s="266"/>
      <c r="E8" s="153" t="s">
        <v>235</v>
      </c>
      <c r="F8" s="56" t="s">
        <v>166</v>
      </c>
      <c r="G8" s="154">
        <v>20000</v>
      </c>
      <c r="H8" s="159"/>
    </row>
    <row r="9" spans="1:8" ht="17.399999999999999" x14ac:dyDescent="0.3">
      <c r="A9" s="164">
        <v>8</v>
      </c>
      <c r="B9" s="351" t="s">
        <v>189</v>
      </c>
      <c r="C9" s="351"/>
      <c r="D9" s="351"/>
      <c r="E9" s="152" t="s">
        <v>190</v>
      </c>
      <c r="F9" s="60" t="s">
        <v>168</v>
      </c>
      <c r="G9" s="154">
        <v>20000</v>
      </c>
      <c r="H9" s="159"/>
    </row>
    <row r="10" spans="1:8" ht="17.399999999999999" x14ac:dyDescent="0.3">
      <c r="A10" s="164">
        <v>9</v>
      </c>
      <c r="B10" s="264" t="s">
        <v>26</v>
      </c>
      <c r="C10" s="264"/>
      <c r="D10" s="264"/>
      <c r="E10" s="152" t="s">
        <v>27</v>
      </c>
      <c r="F10" s="60" t="s">
        <v>168</v>
      </c>
      <c r="G10" s="154">
        <v>20000</v>
      </c>
      <c r="H10" s="159"/>
    </row>
    <row r="11" spans="1:8" ht="17.399999999999999" x14ac:dyDescent="0.3">
      <c r="A11" s="164">
        <v>10</v>
      </c>
      <c r="B11" s="264" t="s">
        <v>199</v>
      </c>
      <c r="C11" s="264"/>
      <c r="D11" s="264"/>
      <c r="E11" s="152" t="s">
        <v>200</v>
      </c>
      <c r="F11" s="60" t="s">
        <v>168</v>
      </c>
      <c r="G11" s="154">
        <v>20000</v>
      </c>
      <c r="H11" s="159"/>
    </row>
    <row r="12" spans="1:8" ht="17.399999999999999" x14ac:dyDescent="0.3">
      <c r="A12" s="164">
        <v>11</v>
      </c>
      <c r="B12" s="264" t="s">
        <v>204</v>
      </c>
      <c r="C12" s="264"/>
      <c r="D12" s="264"/>
      <c r="E12" s="152" t="s">
        <v>200</v>
      </c>
      <c r="F12" s="60" t="s">
        <v>168</v>
      </c>
      <c r="G12" s="154">
        <v>20000</v>
      </c>
      <c r="H12" s="159"/>
    </row>
    <row r="13" spans="1:8" ht="17.399999999999999" x14ac:dyDescent="0.3">
      <c r="A13" s="164">
        <v>12</v>
      </c>
      <c r="B13" s="264" t="s">
        <v>284</v>
      </c>
      <c r="C13" s="264"/>
      <c r="D13" s="264"/>
      <c r="E13" s="152" t="s">
        <v>285</v>
      </c>
      <c r="F13" s="60" t="s">
        <v>168</v>
      </c>
      <c r="G13" s="154">
        <v>20000</v>
      </c>
      <c r="H13" s="159"/>
    </row>
    <row r="14" spans="1:8" ht="17.399999999999999" x14ac:dyDescent="0.3">
      <c r="A14" s="164">
        <v>13</v>
      </c>
      <c r="B14" s="156" t="s">
        <v>327</v>
      </c>
      <c r="C14" s="156"/>
      <c r="D14" s="152"/>
      <c r="E14" s="152" t="s">
        <v>328</v>
      </c>
      <c r="F14" s="60" t="s">
        <v>168</v>
      </c>
      <c r="G14" s="154">
        <v>20000</v>
      </c>
      <c r="H14" s="159"/>
    </row>
    <row r="15" spans="1:8" ht="17.399999999999999" x14ac:dyDescent="0.3">
      <c r="A15" s="164">
        <v>14</v>
      </c>
      <c r="B15" s="264" t="s">
        <v>215</v>
      </c>
      <c r="C15" s="264"/>
      <c r="D15" s="264"/>
      <c r="E15" s="153" t="s">
        <v>128</v>
      </c>
      <c r="F15" s="56" t="s">
        <v>185</v>
      </c>
      <c r="G15" s="154">
        <v>20000</v>
      </c>
      <c r="H15" s="159"/>
    </row>
    <row r="16" spans="1:8" ht="17.399999999999999" x14ac:dyDescent="0.3">
      <c r="A16" s="164">
        <v>15</v>
      </c>
      <c r="B16" s="264" t="s">
        <v>209</v>
      </c>
      <c r="C16" s="264"/>
      <c r="D16" s="264"/>
      <c r="E16" s="153" t="s">
        <v>131</v>
      </c>
      <c r="F16" s="56" t="s">
        <v>166</v>
      </c>
      <c r="G16" s="154">
        <v>20000</v>
      </c>
      <c r="H16" s="159"/>
    </row>
    <row r="17" spans="1:8" ht="17.399999999999999" x14ac:dyDescent="0.3">
      <c r="A17" s="164">
        <v>16</v>
      </c>
      <c r="B17" s="264" t="s">
        <v>283</v>
      </c>
      <c r="C17" s="264"/>
      <c r="D17" s="264"/>
      <c r="E17" s="153" t="s">
        <v>131</v>
      </c>
      <c r="F17" s="56" t="s">
        <v>166</v>
      </c>
      <c r="G17" s="154">
        <v>20000</v>
      </c>
      <c r="H17" s="159"/>
    </row>
    <row r="18" spans="1:8" ht="17.399999999999999" x14ac:dyDescent="0.3">
      <c r="A18" s="164">
        <v>17</v>
      </c>
      <c r="B18" s="264" t="s">
        <v>207</v>
      </c>
      <c r="C18" s="264"/>
      <c r="D18" s="264"/>
      <c r="E18" s="153" t="s">
        <v>202</v>
      </c>
      <c r="F18" s="56" t="s">
        <v>203</v>
      </c>
      <c r="G18" s="154">
        <v>20000</v>
      </c>
      <c r="H18" s="159"/>
    </row>
    <row r="19" spans="1:8" ht="17.399999999999999" x14ac:dyDescent="0.3">
      <c r="A19" s="164">
        <v>18</v>
      </c>
      <c r="B19" s="264" t="s">
        <v>205</v>
      </c>
      <c r="C19" s="264"/>
      <c r="D19" s="264"/>
      <c r="E19" s="153" t="s">
        <v>229</v>
      </c>
      <c r="F19" s="56" t="s">
        <v>146</v>
      </c>
      <c r="G19" s="154">
        <v>20000</v>
      </c>
      <c r="H19" s="159"/>
    </row>
    <row r="20" spans="1:8" ht="17.399999999999999" x14ac:dyDescent="0.3">
      <c r="A20" s="164">
        <v>19</v>
      </c>
      <c r="B20" s="351" t="s">
        <v>188</v>
      </c>
      <c r="C20" s="351"/>
      <c r="D20" s="351"/>
      <c r="E20" s="153" t="s">
        <v>230</v>
      </c>
      <c r="F20" s="56" t="s">
        <v>146</v>
      </c>
      <c r="G20" s="154">
        <v>20000</v>
      </c>
      <c r="H20" s="159"/>
    </row>
    <row r="21" spans="1:8" ht="17.399999999999999" x14ac:dyDescent="0.3">
      <c r="A21" s="164">
        <v>20</v>
      </c>
      <c r="B21" s="264" t="s">
        <v>206</v>
      </c>
      <c r="C21" s="264"/>
      <c r="D21" s="264"/>
      <c r="E21" s="153" t="s">
        <v>128</v>
      </c>
      <c r="F21" s="56" t="s">
        <v>185</v>
      </c>
      <c r="G21" s="154">
        <v>20000</v>
      </c>
      <c r="H21" s="159"/>
    </row>
    <row r="22" spans="1:8" ht="17.399999999999999" x14ac:dyDescent="0.3">
      <c r="A22" s="164">
        <v>21</v>
      </c>
      <c r="B22" s="264" t="s">
        <v>233</v>
      </c>
      <c r="C22" s="264"/>
      <c r="D22" s="264"/>
      <c r="E22" s="153" t="s">
        <v>128</v>
      </c>
      <c r="F22" s="56" t="s">
        <v>185</v>
      </c>
      <c r="G22" s="154">
        <v>20000</v>
      </c>
      <c r="H22" s="159"/>
    </row>
    <row r="23" spans="1:8" ht="17.399999999999999" x14ac:dyDescent="0.3">
      <c r="A23" s="164">
        <v>22</v>
      </c>
      <c r="B23" s="264" t="s">
        <v>276</v>
      </c>
      <c r="C23" s="264"/>
      <c r="D23" s="264"/>
      <c r="E23" s="153" t="s">
        <v>128</v>
      </c>
      <c r="F23" s="56" t="s">
        <v>185</v>
      </c>
      <c r="G23" s="154">
        <v>20000</v>
      </c>
      <c r="H23" s="159"/>
    </row>
    <row r="24" spans="1:8" ht="17.399999999999999" x14ac:dyDescent="0.3">
      <c r="A24" s="164">
        <v>23</v>
      </c>
      <c r="B24" s="156" t="s">
        <v>312</v>
      </c>
      <c r="C24" s="156"/>
      <c r="D24" s="152"/>
      <c r="E24" s="153" t="s">
        <v>128</v>
      </c>
      <c r="F24" s="56" t="s">
        <v>185</v>
      </c>
      <c r="G24" s="154">
        <v>20000</v>
      </c>
      <c r="H24" s="159"/>
    </row>
    <row r="25" spans="1:8" ht="17.399999999999999" x14ac:dyDescent="0.3">
      <c r="A25" s="164">
        <v>24</v>
      </c>
      <c r="B25" s="266" t="s">
        <v>24</v>
      </c>
      <c r="C25" s="266"/>
      <c r="D25" s="266"/>
      <c r="E25" s="153" t="s">
        <v>25</v>
      </c>
      <c r="F25" s="56" t="s">
        <v>47</v>
      </c>
      <c r="G25" s="154">
        <v>20000</v>
      </c>
      <c r="H25" s="159"/>
    </row>
    <row r="26" spans="1:8" ht="17.399999999999999" x14ac:dyDescent="0.3">
      <c r="A26" s="164">
        <v>25</v>
      </c>
      <c r="B26" s="264" t="s">
        <v>186</v>
      </c>
      <c r="C26" s="264"/>
      <c r="D26" s="264"/>
      <c r="E26" s="153" t="s">
        <v>187</v>
      </c>
      <c r="F26" s="56" t="s">
        <v>166</v>
      </c>
      <c r="G26" s="154">
        <v>20000</v>
      </c>
      <c r="H26" s="159"/>
    </row>
    <row r="27" spans="1:8" ht="17.399999999999999" x14ac:dyDescent="0.3">
      <c r="A27" s="164">
        <v>26</v>
      </c>
      <c r="B27" s="264" t="s">
        <v>198</v>
      </c>
      <c r="C27" s="264"/>
      <c r="D27" s="264"/>
      <c r="E27" s="153" t="s">
        <v>131</v>
      </c>
      <c r="F27" s="56" t="s">
        <v>166</v>
      </c>
      <c r="G27" s="154">
        <v>20000</v>
      </c>
      <c r="H27" s="159"/>
    </row>
    <row r="28" spans="1:8" ht="17.399999999999999" x14ac:dyDescent="0.3">
      <c r="A28" s="164">
        <v>27</v>
      </c>
      <c r="B28" s="264" t="s">
        <v>282</v>
      </c>
      <c r="C28" s="264"/>
      <c r="D28" s="264"/>
      <c r="E28" s="153" t="s">
        <v>131</v>
      </c>
      <c r="F28" s="56" t="s">
        <v>166</v>
      </c>
      <c r="G28" s="154">
        <v>20000</v>
      </c>
      <c r="H28" s="159"/>
    </row>
    <row r="29" spans="1:8" ht="17.399999999999999" x14ac:dyDescent="0.3">
      <c r="A29" s="164">
        <v>28</v>
      </c>
      <c r="B29" s="264" t="s">
        <v>308</v>
      </c>
      <c r="C29" s="264"/>
      <c r="D29" s="264"/>
      <c r="E29" s="153" t="s">
        <v>309</v>
      </c>
      <c r="F29" s="56" t="s">
        <v>166</v>
      </c>
      <c r="G29" s="154">
        <v>20000</v>
      </c>
      <c r="H29" s="159"/>
    </row>
    <row r="30" spans="1:8" ht="17.399999999999999" x14ac:dyDescent="0.3">
      <c r="A30" s="164">
        <v>29</v>
      </c>
      <c r="B30" s="264" t="s">
        <v>201</v>
      </c>
      <c r="C30" s="264"/>
      <c r="D30" s="264"/>
      <c r="E30" s="153" t="s">
        <v>202</v>
      </c>
      <c r="F30" s="56" t="s">
        <v>203</v>
      </c>
      <c r="G30" s="154">
        <v>20000</v>
      </c>
      <c r="H30" s="159"/>
    </row>
    <row r="31" spans="1:8" ht="17.399999999999999" x14ac:dyDescent="0.3">
      <c r="A31" s="164">
        <v>30</v>
      </c>
      <c r="B31" s="264" t="s">
        <v>210</v>
      </c>
      <c r="C31" s="264"/>
      <c r="D31" s="264"/>
      <c r="E31" s="153" t="s">
        <v>202</v>
      </c>
      <c r="F31" s="56" t="s">
        <v>203</v>
      </c>
      <c r="G31" s="154">
        <v>20000</v>
      </c>
      <c r="H31" s="159"/>
    </row>
    <row r="32" spans="1:8" ht="17.399999999999999" x14ac:dyDescent="0.3">
      <c r="A32" s="164">
        <v>31</v>
      </c>
      <c r="B32" s="264" t="s">
        <v>208</v>
      </c>
      <c r="C32" s="264"/>
      <c r="D32" s="264"/>
      <c r="E32" s="153" t="s">
        <v>202</v>
      </c>
      <c r="F32" s="56" t="s">
        <v>203</v>
      </c>
      <c r="G32" s="154">
        <v>20000</v>
      </c>
      <c r="H32" s="159"/>
    </row>
    <row r="33" spans="1:8" ht="17.399999999999999" x14ac:dyDescent="0.3">
      <c r="A33" s="164">
        <v>32</v>
      </c>
      <c r="B33" s="264" t="s">
        <v>280</v>
      </c>
      <c r="C33" s="264"/>
      <c r="D33" s="264"/>
      <c r="E33" s="153" t="s">
        <v>202</v>
      </c>
      <c r="F33" s="56" t="s">
        <v>203</v>
      </c>
      <c r="G33" s="154">
        <v>20000</v>
      </c>
      <c r="H33" s="159"/>
    </row>
    <row r="34" spans="1:8" ht="17.399999999999999" x14ac:dyDescent="0.3">
      <c r="A34" s="164">
        <v>33</v>
      </c>
      <c r="B34" s="264" t="s">
        <v>37</v>
      </c>
      <c r="C34" s="264"/>
      <c r="D34" s="264"/>
      <c r="E34" s="152" t="s">
        <v>38</v>
      </c>
      <c r="F34" s="60" t="s">
        <v>80</v>
      </c>
      <c r="G34" s="154">
        <v>20000</v>
      </c>
      <c r="H34" s="159"/>
    </row>
    <row r="35" spans="1:8" ht="17.399999999999999" x14ac:dyDescent="0.3">
      <c r="A35" s="164">
        <v>34</v>
      </c>
      <c r="B35" s="264" t="s">
        <v>138</v>
      </c>
      <c r="C35" s="264"/>
      <c r="D35" s="264"/>
      <c r="E35" s="152" t="s">
        <v>139</v>
      </c>
      <c r="F35" s="60" t="s">
        <v>166</v>
      </c>
      <c r="G35" s="154">
        <v>20000</v>
      </c>
      <c r="H35" s="159"/>
    </row>
    <row r="36" spans="1:8" ht="17.399999999999999" x14ac:dyDescent="0.3">
      <c r="A36" s="164">
        <v>35</v>
      </c>
      <c r="B36" s="264" t="s">
        <v>158</v>
      </c>
      <c r="C36" s="264"/>
      <c r="D36" s="264"/>
      <c r="E36" s="152" t="s">
        <v>165</v>
      </c>
      <c r="F36" s="60" t="s">
        <v>166</v>
      </c>
      <c r="G36" s="154">
        <v>20000</v>
      </c>
      <c r="H36" s="159"/>
    </row>
    <row r="37" spans="1:8" ht="17.399999999999999" x14ac:dyDescent="0.3">
      <c r="A37" s="164">
        <v>36</v>
      </c>
      <c r="B37" s="264" t="s">
        <v>159</v>
      </c>
      <c r="C37" s="264"/>
      <c r="D37" s="264"/>
      <c r="E37" s="152" t="s">
        <v>165</v>
      </c>
      <c r="F37" s="60" t="s">
        <v>166</v>
      </c>
      <c r="G37" s="154">
        <v>20000</v>
      </c>
      <c r="H37" s="159"/>
    </row>
    <row r="38" spans="1:8" ht="17.399999999999999" x14ac:dyDescent="0.3">
      <c r="A38" s="164">
        <v>37</v>
      </c>
      <c r="B38" s="264" t="s">
        <v>169</v>
      </c>
      <c r="C38" s="264"/>
      <c r="D38" s="264"/>
      <c r="E38" s="152" t="s">
        <v>170</v>
      </c>
      <c r="F38" s="60" t="s">
        <v>166</v>
      </c>
      <c r="G38" s="154">
        <v>20000</v>
      </c>
      <c r="H38" s="159"/>
    </row>
    <row r="39" spans="1:8" ht="17.399999999999999" x14ac:dyDescent="0.3">
      <c r="A39" s="164">
        <v>38</v>
      </c>
      <c r="B39" s="264" t="s">
        <v>174</v>
      </c>
      <c r="C39" s="264"/>
      <c r="D39" s="264"/>
      <c r="E39" s="152" t="s">
        <v>175</v>
      </c>
      <c r="F39" s="60" t="s">
        <v>166</v>
      </c>
      <c r="G39" s="154">
        <v>20000</v>
      </c>
      <c r="H39" s="159"/>
    </row>
    <row r="40" spans="1:8" ht="17.399999999999999" x14ac:dyDescent="0.3">
      <c r="A40" s="164">
        <v>39</v>
      </c>
      <c r="B40" s="264" t="s">
        <v>191</v>
      </c>
      <c r="C40" s="264"/>
      <c r="D40" s="264"/>
      <c r="E40" s="152" t="s">
        <v>192</v>
      </c>
      <c r="F40" s="60" t="s">
        <v>166</v>
      </c>
      <c r="G40" s="154">
        <v>20000</v>
      </c>
      <c r="H40" s="159"/>
    </row>
    <row r="41" spans="1:8" ht="17.399999999999999" x14ac:dyDescent="0.3">
      <c r="A41" s="164">
        <v>40</v>
      </c>
      <c r="B41" s="264" t="s">
        <v>160</v>
      </c>
      <c r="C41" s="264"/>
      <c r="D41" s="264"/>
      <c r="E41" s="152" t="s">
        <v>167</v>
      </c>
      <c r="F41" s="60" t="s">
        <v>168</v>
      </c>
      <c r="G41" s="154">
        <v>20000</v>
      </c>
      <c r="H41" s="159"/>
    </row>
    <row r="42" spans="1:8" ht="17.399999999999999" x14ac:dyDescent="0.3">
      <c r="A42" s="164">
        <v>41</v>
      </c>
      <c r="B42" s="264" t="s">
        <v>161</v>
      </c>
      <c r="C42" s="264"/>
      <c r="D42" s="264"/>
      <c r="E42" s="152" t="s">
        <v>167</v>
      </c>
      <c r="F42" s="60" t="s">
        <v>168</v>
      </c>
      <c r="G42" s="154">
        <v>20000</v>
      </c>
      <c r="H42" s="159"/>
    </row>
    <row r="43" spans="1:8" ht="17.399999999999999" x14ac:dyDescent="0.3">
      <c r="A43" s="164">
        <v>42</v>
      </c>
      <c r="B43" s="264" t="s">
        <v>162</v>
      </c>
      <c r="C43" s="264"/>
      <c r="D43" s="264"/>
      <c r="E43" s="152" t="s">
        <v>167</v>
      </c>
      <c r="F43" s="60" t="s">
        <v>168</v>
      </c>
      <c r="G43" s="154">
        <v>20000</v>
      </c>
      <c r="H43" s="159"/>
    </row>
    <row r="44" spans="1:8" ht="17.399999999999999" x14ac:dyDescent="0.3">
      <c r="A44" s="164">
        <v>43</v>
      </c>
      <c r="B44" s="264" t="s">
        <v>163</v>
      </c>
      <c r="C44" s="264"/>
      <c r="D44" s="264"/>
      <c r="E44" s="152" t="s">
        <v>167</v>
      </c>
      <c r="F44" s="60" t="s">
        <v>168</v>
      </c>
      <c r="G44" s="154">
        <v>20000</v>
      </c>
      <c r="H44" s="159"/>
    </row>
    <row r="45" spans="1:8" ht="17.399999999999999" x14ac:dyDescent="0.3">
      <c r="A45" s="164">
        <v>44</v>
      </c>
      <c r="B45" s="264" t="s">
        <v>164</v>
      </c>
      <c r="C45" s="264"/>
      <c r="D45" s="264"/>
      <c r="E45" s="152" t="s">
        <v>167</v>
      </c>
      <c r="F45" s="60" t="s">
        <v>168</v>
      </c>
      <c r="G45" s="154">
        <v>20000</v>
      </c>
      <c r="H45" s="159"/>
    </row>
    <row r="46" spans="1:8" ht="17.399999999999999" x14ac:dyDescent="0.3">
      <c r="A46" s="164">
        <v>45</v>
      </c>
      <c r="B46" s="351" t="s">
        <v>182</v>
      </c>
      <c r="C46" s="351"/>
      <c r="D46" s="351"/>
      <c r="E46" s="152" t="s">
        <v>183</v>
      </c>
      <c r="F46" s="60" t="s">
        <v>168</v>
      </c>
      <c r="G46" s="154">
        <v>20000</v>
      </c>
      <c r="H46" s="159"/>
    </row>
    <row r="47" spans="1:8" ht="17.399999999999999" x14ac:dyDescent="0.3">
      <c r="A47" s="164">
        <v>46</v>
      </c>
      <c r="B47" s="264" t="s">
        <v>292</v>
      </c>
      <c r="C47" s="264"/>
      <c r="D47" s="264"/>
      <c r="E47" s="152" t="s">
        <v>183</v>
      </c>
      <c r="F47" s="60" t="s">
        <v>168</v>
      </c>
      <c r="G47" s="154">
        <v>20000</v>
      </c>
      <c r="H47" s="159"/>
    </row>
    <row r="48" spans="1:8" ht="17.399999999999999" x14ac:dyDescent="0.3">
      <c r="A48" s="164">
        <v>47</v>
      </c>
      <c r="B48" s="264" t="s">
        <v>293</v>
      </c>
      <c r="C48" s="264"/>
      <c r="D48" s="264"/>
      <c r="E48" s="152" t="s">
        <v>183</v>
      </c>
      <c r="F48" s="60" t="s">
        <v>168</v>
      </c>
      <c r="G48" s="154">
        <v>20000</v>
      </c>
      <c r="H48" s="159"/>
    </row>
    <row r="49" spans="1:8" ht="17.399999999999999" x14ac:dyDescent="0.3">
      <c r="A49" s="164">
        <v>48</v>
      </c>
      <c r="B49" s="264" t="s">
        <v>171</v>
      </c>
      <c r="C49" s="264"/>
      <c r="D49" s="264"/>
      <c r="E49" s="152" t="s">
        <v>172</v>
      </c>
      <c r="F49" s="60" t="s">
        <v>168</v>
      </c>
      <c r="G49" s="154">
        <v>20000</v>
      </c>
      <c r="H49" s="159"/>
    </row>
    <row r="50" spans="1:8" ht="17.399999999999999" x14ac:dyDescent="0.3">
      <c r="A50" s="164">
        <v>49</v>
      </c>
      <c r="B50" s="351" t="s">
        <v>176</v>
      </c>
      <c r="C50" s="351"/>
      <c r="D50" s="351"/>
      <c r="E50" s="152" t="s">
        <v>177</v>
      </c>
      <c r="F50" s="60" t="s">
        <v>168</v>
      </c>
      <c r="G50" s="154">
        <v>20000</v>
      </c>
      <c r="H50" s="159"/>
    </row>
    <row r="51" spans="1:8" ht="17.399999999999999" x14ac:dyDescent="0.3">
      <c r="A51" s="164">
        <v>50</v>
      </c>
      <c r="B51" s="264" t="s">
        <v>6</v>
      </c>
      <c r="C51" s="264"/>
      <c r="D51" s="264"/>
      <c r="E51" s="152" t="s">
        <v>39</v>
      </c>
      <c r="F51" s="60" t="s">
        <v>79</v>
      </c>
      <c r="G51" s="154">
        <v>20000</v>
      </c>
      <c r="H51" s="159"/>
    </row>
    <row r="52" spans="1:8" ht="17.399999999999999" x14ac:dyDescent="0.3">
      <c r="A52" s="164">
        <v>51</v>
      </c>
      <c r="B52" s="264" t="s">
        <v>7</v>
      </c>
      <c r="C52" s="264"/>
      <c r="D52" s="264"/>
      <c r="E52" s="153" t="s">
        <v>30</v>
      </c>
      <c r="F52" s="56" t="s">
        <v>79</v>
      </c>
      <c r="G52" s="154">
        <v>20000</v>
      </c>
      <c r="H52" s="159"/>
    </row>
    <row r="53" spans="1:8" ht="17.399999999999999" x14ac:dyDescent="0.3">
      <c r="A53" s="164">
        <v>52</v>
      </c>
      <c r="B53" s="264" t="s">
        <v>62</v>
      </c>
      <c r="C53" s="264"/>
      <c r="D53" s="264"/>
      <c r="E53" s="152" t="s">
        <v>30</v>
      </c>
      <c r="F53" s="60" t="s">
        <v>78</v>
      </c>
      <c r="G53" s="154">
        <v>20000</v>
      </c>
      <c r="H53" s="159"/>
    </row>
    <row r="54" spans="1:8" ht="17.399999999999999" x14ac:dyDescent="0.3">
      <c r="A54" s="164">
        <v>53</v>
      </c>
      <c r="B54" s="264" t="s">
        <v>19</v>
      </c>
      <c r="C54" s="264"/>
      <c r="D54" s="264"/>
      <c r="E54" s="152" t="s">
        <v>30</v>
      </c>
      <c r="F54" s="60" t="s">
        <v>79</v>
      </c>
      <c r="G54" s="154">
        <v>20000</v>
      </c>
      <c r="H54" s="159"/>
    </row>
    <row r="55" spans="1:8" ht="17.399999999999999" x14ac:dyDescent="0.3">
      <c r="A55" s="164">
        <v>54</v>
      </c>
      <c r="B55" s="264" t="s">
        <v>264</v>
      </c>
      <c r="C55" s="264"/>
      <c r="D55" s="264"/>
      <c r="E55" s="152" t="s">
        <v>30</v>
      </c>
      <c r="F55" s="60" t="s">
        <v>79</v>
      </c>
      <c r="G55" s="154">
        <v>20000</v>
      </c>
      <c r="H55" s="159"/>
    </row>
    <row r="56" spans="1:8" ht="17.399999999999999" x14ac:dyDescent="0.3">
      <c r="A56" s="164">
        <v>55</v>
      </c>
      <c r="B56" s="264" t="s">
        <v>45</v>
      </c>
      <c r="C56" s="264"/>
      <c r="D56" s="264"/>
      <c r="E56" s="152" t="s">
        <v>15</v>
      </c>
      <c r="F56" s="60" t="s">
        <v>168</v>
      </c>
      <c r="G56" s="154">
        <v>20000</v>
      </c>
      <c r="H56" s="159"/>
    </row>
    <row r="57" spans="1:8" ht="17.399999999999999" x14ac:dyDescent="0.3">
      <c r="A57" s="164">
        <v>56</v>
      </c>
      <c r="B57" s="257" t="s">
        <v>336</v>
      </c>
      <c r="C57" s="258"/>
      <c r="D57" s="259"/>
      <c r="E57" s="152" t="s">
        <v>337</v>
      </c>
      <c r="F57" s="60" t="s">
        <v>166</v>
      </c>
      <c r="G57" s="154">
        <v>20000</v>
      </c>
      <c r="H57" s="159"/>
    </row>
    <row r="58" spans="1:8" ht="17.399999999999999" x14ac:dyDescent="0.3">
      <c r="A58" s="164">
        <v>57</v>
      </c>
      <c r="B58" s="264" t="s">
        <v>40</v>
      </c>
      <c r="C58" s="264"/>
      <c r="D58" s="264"/>
      <c r="E58" s="152" t="s">
        <v>14</v>
      </c>
      <c r="F58" s="60" t="s">
        <v>48</v>
      </c>
      <c r="G58" s="154">
        <v>10000</v>
      </c>
      <c r="H58" s="159"/>
    </row>
    <row r="59" spans="1:8" ht="17.399999999999999" x14ac:dyDescent="0.3">
      <c r="A59" s="164">
        <v>58</v>
      </c>
      <c r="B59" s="264" t="s">
        <v>17</v>
      </c>
      <c r="C59" s="264"/>
      <c r="D59" s="264"/>
      <c r="E59" s="152" t="s">
        <v>14</v>
      </c>
      <c r="F59" s="60" t="s">
        <v>48</v>
      </c>
      <c r="G59" s="154">
        <v>10000</v>
      </c>
      <c r="H59" s="159"/>
    </row>
    <row r="60" spans="1:8" ht="17.399999999999999" x14ac:dyDescent="0.3">
      <c r="A60" s="164">
        <v>59</v>
      </c>
      <c r="B60" s="264" t="s">
        <v>41</v>
      </c>
      <c r="C60" s="264"/>
      <c r="D60" s="264"/>
      <c r="E60" s="152" t="s">
        <v>14</v>
      </c>
      <c r="F60" s="60" t="s">
        <v>48</v>
      </c>
      <c r="G60" s="154">
        <v>10000</v>
      </c>
      <c r="H60" s="159"/>
    </row>
    <row r="61" spans="1:8" ht="17.399999999999999" x14ac:dyDescent="0.3">
      <c r="A61" s="164">
        <v>60</v>
      </c>
      <c r="B61" s="264" t="s">
        <v>42</v>
      </c>
      <c r="C61" s="264"/>
      <c r="D61" s="264"/>
      <c r="E61" s="152" t="s">
        <v>14</v>
      </c>
      <c r="F61" s="60" t="s">
        <v>48</v>
      </c>
      <c r="G61" s="154">
        <v>10000</v>
      </c>
      <c r="H61" s="159"/>
    </row>
    <row r="62" spans="1:8" ht="17.399999999999999" x14ac:dyDescent="0.3">
      <c r="A62" s="164">
        <v>61</v>
      </c>
      <c r="B62" s="264" t="s">
        <v>43</v>
      </c>
      <c r="C62" s="264"/>
      <c r="D62" s="264"/>
      <c r="E62" s="152" t="s">
        <v>14</v>
      </c>
      <c r="F62" s="60" t="s">
        <v>48</v>
      </c>
      <c r="G62" s="154">
        <v>10000</v>
      </c>
      <c r="H62" s="159"/>
    </row>
    <row r="63" spans="1:8" ht="17.399999999999999" x14ac:dyDescent="0.3">
      <c r="A63" s="164">
        <v>62</v>
      </c>
      <c r="B63" s="264" t="s">
        <v>44</v>
      </c>
      <c r="C63" s="264"/>
      <c r="D63" s="264"/>
      <c r="E63" s="152" t="s">
        <v>14</v>
      </c>
      <c r="F63" s="60" t="s">
        <v>48</v>
      </c>
      <c r="G63" s="154">
        <v>10000</v>
      </c>
      <c r="H63" s="159"/>
    </row>
    <row r="64" spans="1:8" ht="17.399999999999999" x14ac:dyDescent="0.3">
      <c r="A64" s="164">
        <v>63</v>
      </c>
      <c r="B64" s="264" t="s">
        <v>18</v>
      </c>
      <c r="C64" s="264"/>
      <c r="D64" s="264"/>
      <c r="E64" s="153" t="s">
        <v>14</v>
      </c>
      <c r="F64" s="56" t="s">
        <v>48</v>
      </c>
      <c r="G64" s="154">
        <v>10000</v>
      </c>
      <c r="H64" s="159"/>
    </row>
    <row r="65" spans="1:8" ht="17.399999999999999" x14ac:dyDescent="0.3">
      <c r="A65" s="164">
        <v>64</v>
      </c>
      <c r="B65" s="264" t="s">
        <v>63</v>
      </c>
      <c r="C65" s="264"/>
      <c r="D65" s="264"/>
      <c r="E65" s="152" t="s">
        <v>14</v>
      </c>
      <c r="F65" s="60" t="s">
        <v>220</v>
      </c>
      <c r="G65" s="154">
        <v>10000</v>
      </c>
      <c r="H65" s="159"/>
    </row>
    <row r="66" spans="1:8" ht="17.399999999999999" x14ac:dyDescent="0.3">
      <c r="A66" s="164">
        <v>65</v>
      </c>
      <c r="B66" s="264" t="s">
        <v>64</v>
      </c>
      <c r="C66" s="264"/>
      <c r="D66" s="264"/>
      <c r="E66" s="152" t="s">
        <v>14</v>
      </c>
      <c r="F66" s="60" t="s">
        <v>220</v>
      </c>
      <c r="G66" s="154">
        <v>10000</v>
      </c>
      <c r="H66" s="159"/>
    </row>
    <row r="67" spans="1:8" ht="17.399999999999999" x14ac:dyDescent="0.3">
      <c r="A67" s="164">
        <v>66</v>
      </c>
      <c r="B67" s="264" t="s">
        <v>219</v>
      </c>
      <c r="C67" s="264"/>
      <c r="D67" s="264"/>
      <c r="E67" s="152" t="s">
        <v>14</v>
      </c>
      <c r="F67" s="60" t="s">
        <v>220</v>
      </c>
      <c r="G67" s="154">
        <v>10000</v>
      </c>
      <c r="H67" s="159"/>
    </row>
    <row r="68" spans="1:8" ht="17.399999999999999" x14ac:dyDescent="0.3">
      <c r="A68" s="164">
        <v>67</v>
      </c>
      <c r="B68" s="264" t="s">
        <v>263</v>
      </c>
      <c r="C68" s="264"/>
      <c r="D68" s="264"/>
      <c r="E68" s="152" t="s">
        <v>14</v>
      </c>
      <c r="F68" s="60" t="s">
        <v>220</v>
      </c>
      <c r="G68" s="154">
        <v>10000</v>
      </c>
      <c r="H68" s="159"/>
    </row>
    <row r="69" spans="1:8" ht="17.399999999999999" x14ac:dyDescent="0.3">
      <c r="A69" s="164">
        <v>68</v>
      </c>
      <c r="B69" s="264" t="s">
        <v>277</v>
      </c>
      <c r="C69" s="264"/>
      <c r="D69" s="264"/>
      <c r="E69" s="152" t="s">
        <v>14</v>
      </c>
      <c r="F69" s="60" t="s">
        <v>220</v>
      </c>
      <c r="G69" s="154">
        <v>10000</v>
      </c>
      <c r="H69" s="159"/>
    </row>
    <row r="70" spans="1:8" ht="17.399999999999999" x14ac:dyDescent="0.3">
      <c r="A70" s="164">
        <v>69</v>
      </c>
      <c r="B70" s="264" t="s">
        <v>278</v>
      </c>
      <c r="C70" s="264"/>
      <c r="D70" s="264"/>
      <c r="E70" s="152" t="s">
        <v>14</v>
      </c>
      <c r="F70" s="60" t="s">
        <v>220</v>
      </c>
      <c r="G70" s="154">
        <v>10000</v>
      </c>
      <c r="H70" s="159"/>
    </row>
    <row r="71" spans="1:8" ht="17.399999999999999" x14ac:dyDescent="0.3">
      <c r="A71" s="164">
        <v>70</v>
      </c>
      <c r="B71" s="264" t="s">
        <v>286</v>
      </c>
      <c r="C71" s="264"/>
      <c r="D71" s="264"/>
      <c r="E71" s="152" t="s">
        <v>14</v>
      </c>
      <c r="F71" s="60" t="s">
        <v>220</v>
      </c>
      <c r="G71" s="154">
        <v>10000</v>
      </c>
      <c r="H71" s="159"/>
    </row>
    <row r="72" spans="1:8" ht="17.399999999999999" x14ac:dyDescent="0.3">
      <c r="A72" s="164">
        <v>71</v>
      </c>
      <c r="B72" s="264" t="s">
        <v>279</v>
      </c>
      <c r="C72" s="264"/>
      <c r="D72" s="264"/>
      <c r="E72" s="152" t="s">
        <v>14</v>
      </c>
      <c r="F72" s="60" t="s">
        <v>220</v>
      </c>
      <c r="G72" s="154">
        <v>10000</v>
      </c>
      <c r="H72" s="159"/>
    </row>
    <row r="73" spans="1:8" ht="17.399999999999999" x14ac:dyDescent="0.3">
      <c r="A73" s="164">
        <v>72</v>
      </c>
      <c r="B73" s="152" t="s">
        <v>318</v>
      </c>
      <c r="C73" s="152"/>
      <c r="D73" s="152"/>
      <c r="E73" s="152" t="s">
        <v>14</v>
      </c>
      <c r="F73" s="60" t="s">
        <v>220</v>
      </c>
      <c r="G73" s="154">
        <v>10000</v>
      </c>
      <c r="H73" s="159"/>
    </row>
    <row r="74" spans="1:8" ht="17.399999999999999" x14ac:dyDescent="0.3">
      <c r="A74" s="164">
        <v>73</v>
      </c>
      <c r="B74" s="266" t="s">
        <v>85</v>
      </c>
      <c r="C74" s="266"/>
      <c r="D74" s="266"/>
      <c r="E74" s="152" t="s">
        <v>89</v>
      </c>
      <c r="F74" s="60" t="s">
        <v>221</v>
      </c>
      <c r="G74" s="154">
        <v>10000</v>
      </c>
      <c r="H74" s="159"/>
    </row>
    <row r="75" spans="1:8" ht="17.399999999999999" x14ac:dyDescent="0.3">
      <c r="A75" s="164">
        <v>74</v>
      </c>
      <c r="B75" s="266" t="s">
        <v>98</v>
      </c>
      <c r="C75" s="266"/>
      <c r="D75" s="266"/>
      <c r="E75" s="152" t="s">
        <v>89</v>
      </c>
      <c r="F75" s="60" t="s">
        <v>221</v>
      </c>
      <c r="G75" s="154">
        <v>10000</v>
      </c>
      <c r="H75" s="159"/>
    </row>
    <row r="76" spans="1:8" ht="17.399999999999999" x14ac:dyDescent="0.3">
      <c r="A76" s="164">
        <v>75</v>
      </c>
      <c r="B76" s="266" t="s">
        <v>86</v>
      </c>
      <c r="C76" s="266"/>
      <c r="D76" s="266"/>
      <c r="E76" s="152" t="s">
        <v>90</v>
      </c>
      <c r="F76" s="60" t="s">
        <v>221</v>
      </c>
      <c r="G76" s="154">
        <v>10000</v>
      </c>
      <c r="H76" s="159"/>
    </row>
    <row r="77" spans="1:8" ht="17.399999999999999" x14ac:dyDescent="0.3">
      <c r="A77" s="164">
        <v>76</v>
      </c>
      <c r="B77" s="266" t="s">
        <v>87</v>
      </c>
      <c r="C77" s="266"/>
      <c r="D77" s="266"/>
      <c r="E77" s="152" t="s">
        <v>90</v>
      </c>
      <c r="F77" s="60" t="s">
        <v>221</v>
      </c>
      <c r="G77" s="154">
        <v>10000</v>
      </c>
      <c r="H77" s="159"/>
    </row>
    <row r="78" spans="1:8" ht="17.399999999999999" x14ac:dyDescent="0.3">
      <c r="A78" s="164">
        <v>77</v>
      </c>
      <c r="B78" s="266" t="s">
        <v>88</v>
      </c>
      <c r="C78" s="266"/>
      <c r="D78" s="266"/>
      <c r="E78" s="152" t="s">
        <v>89</v>
      </c>
      <c r="F78" s="154">
        <v>0</v>
      </c>
      <c r="G78" s="154">
        <v>10000</v>
      </c>
      <c r="H78" s="159"/>
    </row>
    <row r="79" spans="1:8" ht="17.399999999999999" x14ac:dyDescent="0.3">
      <c r="A79" s="164">
        <v>78</v>
      </c>
      <c r="B79" s="266" t="s">
        <v>294</v>
      </c>
      <c r="C79" s="266"/>
      <c r="D79" s="266"/>
      <c r="E79" s="152" t="s">
        <v>90</v>
      </c>
      <c r="F79" s="154">
        <v>0</v>
      </c>
      <c r="G79" s="154">
        <v>10000</v>
      </c>
      <c r="H79" s="159"/>
    </row>
    <row r="80" spans="1:8" ht="17.399999999999999" x14ac:dyDescent="0.3">
      <c r="A80" s="164">
        <v>79</v>
      </c>
      <c r="B80" s="266" t="s">
        <v>295</v>
      </c>
      <c r="C80" s="266"/>
      <c r="D80" s="266"/>
      <c r="E80" s="152" t="s">
        <v>89</v>
      </c>
      <c r="F80" s="60" t="s">
        <v>221</v>
      </c>
      <c r="G80" s="154">
        <v>10000</v>
      </c>
      <c r="H80" s="159"/>
    </row>
    <row r="81" spans="1:8" ht="17.399999999999999" x14ac:dyDescent="0.3">
      <c r="A81" s="164">
        <v>80</v>
      </c>
      <c r="B81" s="161" t="s">
        <v>304</v>
      </c>
      <c r="C81" s="162"/>
      <c r="D81" s="151"/>
      <c r="E81" s="152" t="s">
        <v>305</v>
      </c>
      <c r="F81" s="60"/>
      <c r="G81" s="154">
        <v>10000</v>
      </c>
      <c r="H81" s="159"/>
    </row>
    <row r="82" spans="1:8" ht="17.399999999999999" x14ac:dyDescent="0.3">
      <c r="A82" s="164">
        <v>81</v>
      </c>
      <c r="B82" s="161" t="s">
        <v>311</v>
      </c>
      <c r="C82" s="162"/>
      <c r="D82" s="151"/>
      <c r="E82" s="152" t="s">
        <v>305</v>
      </c>
      <c r="F82" s="60"/>
      <c r="G82" s="154">
        <v>10000</v>
      </c>
      <c r="H82" s="159"/>
    </row>
    <row r="83" spans="1:8" ht="17.399999999999999" x14ac:dyDescent="0.3">
      <c r="A83" s="164">
        <v>82</v>
      </c>
      <c r="B83" s="161" t="s">
        <v>310</v>
      </c>
      <c r="C83" s="162"/>
      <c r="D83" s="151"/>
      <c r="E83" s="152" t="s">
        <v>14</v>
      </c>
      <c r="F83" s="60"/>
      <c r="G83" s="154">
        <v>10000</v>
      </c>
      <c r="H83" s="159"/>
    </row>
    <row r="84" spans="1:8" ht="17.399999999999999" x14ac:dyDescent="0.3">
      <c r="A84" s="164">
        <v>83</v>
      </c>
      <c r="B84" s="261" t="s">
        <v>319</v>
      </c>
      <c r="C84" s="262"/>
      <c r="D84" s="265"/>
      <c r="E84" s="152" t="s">
        <v>90</v>
      </c>
      <c r="F84" s="60"/>
      <c r="G84" s="154">
        <v>10000</v>
      </c>
      <c r="H84" s="159"/>
    </row>
    <row r="85" spans="1:8" ht="35.25" customHeight="1" x14ac:dyDescent="0.3">
      <c r="A85" s="29"/>
      <c r="B85" s="352"/>
      <c r="C85" s="353"/>
      <c r="D85" s="354"/>
      <c r="E85" s="159"/>
      <c r="F85" s="159"/>
      <c r="G85" s="160">
        <f>SUM(G2:G84)</f>
        <v>1390000</v>
      </c>
      <c r="H85" s="159"/>
    </row>
    <row r="86" spans="1:8" ht="17.399999999999999" x14ac:dyDescent="0.3">
      <c r="A86" s="164"/>
    </row>
  </sheetData>
  <mergeCells count="78">
    <mergeCell ref="B79:D79"/>
    <mergeCell ref="B80:D80"/>
    <mergeCell ref="B69:D69"/>
    <mergeCell ref="B70:D70"/>
    <mergeCell ref="B77:D77"/>
    <mergeCell ref="B78:D78"/>
    <mergeCell ref="B63:D63"/>
    <mergeCell ref="B64:D64"/>
    <mergeCell ref="B74:D74"/>
    <mergeCell ref="B75:D75"/>
    <mergeCell ref="B76:D76"/>
    <mergeCell ref="B65:D65"/>
    <mergeCell ref="B66:D66"/>
    <mergeCell ref="B67:D67"/>
    <mergeCell ref="B68:D68"/>
    <mergeCell ref="B71:D71"/>
    <mergeCell ref="B72:D72"/>
    <mergeCell ref="B58:D58"/>
    <mergeCell ref="B59:D59"/>
    <mergeCell ref="B60:D60"/>
    <mergeCell ref="B61:D61"/>
    <mergeCell ref="B62:D62"/>
    <mergeCell ref="B52:D52"/>
    <mergeCell ref="B53:D53"/>
    <mergeCell ref="B54:D54"/>
    <mergeCell ref="B55:D55"/>
    <mergeCell ref="B56:D56"/>
    <mergeCell ref="B47:D47"/>
    <mergeCell ref="B48:D48"/>
    <mergeCell ref="B49:D49"/>
    <mergeCell ref="B50:D50"/>
    <mergeCell ref="B51:D51"/>
    <mergeCell ref="B42:D42"/>
    <mergeCell ref="B43:D43"/>
    <mergeCell ref="B44:D44"/>
    <mergeCell ref="B45:D45"/>
    <mergeCell ref="B46:D46"/>
    <mergeCell ref="B37:D37"/>
    <mergeCell ref="B38:D38"/>
    <mergeCell ref="B39:D39"/>
    <mergeCell ref="B40:D40"/>
    <mergeCell ref="B41:D41"/>
    <mergeCell ref="B35:D35"/>
    <mergeCell ref="B36:D36"/>
    <mergeCell ref="B32:D32"/>
    <mergeCell ref="B33:D33"/>
    <mergeCell ref="B20:D20"/>
    <mergeCell ref="B21:D21"/>
    <mergeCell ref="B23:D23"/>
    <mergeCell ref="B27:D27"/>
    <mergeCell ref="B30:D30"/>
    <mergeCell ref="B31:D31"/>
    <mergeCell ref="B26:D26"/>
    <mergeCell ref="B28:D28"/>
    <mergeCell ref="B29:D29"/>
    <mergeCell ref="B9:D9"/>
    <mergeCell ref="B10:D10"/>
    <mergeCell ref="B11:D11"/>
    <mergeCell ref="B12:D12"/>
    <mergeCell ref="B34:D34"/>
    <mergeCell ref="B18:D18"/>
    <mergeCell ref="B19:D19"/>
    <mergeCell ref="B84:D84"/>
    <mergeCell ref="B57:D57"/>
    <mergeCell ref="B85:D85"/>
    <mergeCell ref="B1:D1"/>
    <mergeCell ref="B13:D13"/>
    <mergeCell ref="B2:D2"/>
    <mergeCell ref="B3:D3"/>
    <mergeCell ref="B4:D4"/>
    <mergeCell ref="B5:D5"/>
    <mergeCell ref="B6:D6"/>
    <mergeCell ref="B15:D15"/>
    <mergeCell ref="B16:D16"/>
    <mergeCell ref="B17:D17"/>
    <mergeCell ref="B22:D22"/>
    <mergeCell ref="B25:D25"/>
    <mergeCell ref="B8:D8"/>
  </mergeCells>
  <pageMargins left="0.18" right="0.16" top="0.75" bottom="0.75" header="0.3" footer="0.3"/>
  <pageSetup scale="8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I13" sqref="I13"/>
    </sheetView>
  </sheetViews>
  <sheetFormatPr defaultRowHeight="13.2" x14ac:dyDescent="0.25"/>
  <cols>
    <col min="1" max="1" width="6" customWidth="1"/>
    <col min="2" max="2" width="32.6640625" customWidth="1"/>
    <col min="3" max="3" width="37.88671875" customWidth="1"/>
    <col min="4" max="4" width="10.33203125" customWidth="1"/>
    <col min="5" max="5" width="17.33203125" customWidth="1"/>
    <col min="6" max="6" width="24.109375" customWidth="1"/>
  </cols>
  <sheetData>
    <row r="1" spans="1:6" ht="25.5" customHeight="1" x14ac:dyDescent="0.3">
      <c r="A1" s="355" t="s">
        <v>341</v>
      </c>
      <c r="B1" s="355"/>
      <c r="C1" s="355"/>
      <c r="D1" s="355"/>
      <c r="E1" s="355"/>
      <c r="F1" s="355"/>
    </row>
    <row r="2" spans="1:6" ht="17.399999999999999" x14ac:dyDescent="0.3">
      <c r="A2" s="163" t="s">
        <v>335</v>
      </c>
      <c r="B2" s="167"/>
      <c r="C2" s="167" t="s">
        <v>13</v>
      </c>
      <c r="D2" s="167" t="s">
        <v>333</v>
      </c>
      <c r="E2" s="168" t="s">
        <v>240</v>
      </c>
      <c r="F2" s="46" t="s">
        <v>91</v>
      </c>
    </row>
    <row r="3" spans="1:6" ht="17.399999999999999" x14ac:dyDescent="0.3">
      <c r="A3" s="169">
        <v>1</v>
      </c>
      <c r="B3" s="166" t="s">
        <v>297</v>
      </c>
      <c r="C3" s="165" t="s">
        <v>300</v>
      </c>
      <c r="D3" s="60" t="s">
        <v>49</v>
      </c>
      <c r="E3" s="154">
        <v>100000</v>
      </c>
      <c r="F3" s="159"/>
    </row>
    <row r="4" spans="1:6" ht="17.399999999999999" x14ac:dyDescent="0.3">
      <c r="A4" s="169">
        <v>2</v>
      </c>
      <c r="B4" s="166" t="s">
        <v>271</v>
      </c>
      <c r="C4" s="165" t="s">
        <v>272</v>
      </c>
      <c r="D4" s="60" t="s">
        <v>50</v>
      </c>
      <c r="E4" s="154">
        <v>80000</v>
      </c>
      <c r="F4" s="159"/>
    </row>
    <row r="5" spans="1:6" ht="17.399999999999999" x14ac:dyDescent="0.3">
      <c r="A5" s="169">
        <v>3</v>
      </c>
      <c r="B5" s="166" t="s">
        <v>236</v>
      </c>
      <c r="C5" s="165" t="s">
        <v>273</v>
      </c>
      <c r="D5" s="60" t="s">
        <v>50</v>
      </c>
      <c r="E5" s="154">
        <v>80000</v>
      </c>
      <c r="F5" s="159"/>
    </row>
    <row r="6" spans="1:6" ht="17.399999999999999" x14ac:dyDescent="0.3">
      <c r="A6" s="169">
        <v>4</v>
      </c>
      <c r="B6" s="166" t="s">
        <v>222</v>
      </c>
      <c r="C6" s="165" t="s">
        <v>139</v>
      </c>
      <c r="D6" s="60" t="s">
        <v>166</v>
      </c>
      <c r="E6" s="154">
        <v>20000</v>
      </c>
      <c r="F6" s="159"/>
    </row>
    <row r="7" spans="1:6" ht="17.399999999999999" x14ac:dyDescent="0.3">
      <c r="A7" s="169">
        <v>5</v>
      </c>
      <c r="B7" s="166" t="s">
        <v>223</v>
      </c>
      <c r="C7" s="165" t="s">
        <v>225</v>
      </c>
      <c r="D7" s="60" t="s">
        <v>166</v>
      </c>
      <c r="E7" s="154">
        <v>20000</v>
      </c>
      <c r="F7" s="159"/>
    </row>
    <row r="8" spans="1:6" ht="17.399999999999999" x14ac:dyDescent="0.3">
      <c r="A8" s="169">
        <v>6</v>
      </c>
      <c r="B8" s="166" t="s">
        <v>290</v>
      </c>
      <c r="C8" s="165" t="s">
        <v>291</v>
      </c>
      <c r="D8" s="60" t="s">
        <v>166</v>
      </c>
      <c r="E8" s="154">
        <v>20000</v>
      </c>
      <c r="F8" s="159"/>
    </row>
    <row r="9" spans="1:6" ht="17.399999999999999" x14ac:dyDescent="0.3">
      <c r="A9" s="169">
        <v>7</v>
      </c>
      <c r="B9" s="166" t="s">
        <v>288</v>
      </c>
      <c r="C9" s="165" t="s">
        <v>289</v>
      </c>
      <c r="D9" s="60" t="s">
        <v>166</v>
      </c>
      <c r="E9" s="154">
        <v>20000</v>
      </c>
      <c r="F9" s="159"/>
    </row>
    <row r="10" spans="1:6" ht="17.399999999999999" x14ac:dyDescent="0.3">
      <c r="A10" s="169">
        <v>8</v>
      </c>
      <c r="B10" s="166" t="s">
        <v>298</v>
      </c>
      <c r="C10" s="165" t="s">
        <v>301</v>
      </c>
      <c r="D10" s="60" t="s">
        <v>185</v>
      </c>
      <c r="E10" s="154">
        <v>20000</v>
      </c>
      <c r="F10" s="159"/>
    </row>
    <row r="11" spans="1:6" ht="18" customHeight="1" x14ac:dyDescent="0.3">
      <c r="A11" s="169">
        <v>9</v>
      </c>
      <c r="B11" s="166" t="s">
        <v>299</v>
      </c>
      <c r="C11" s="165" t="s">
        <v>302</v>
      </c>
      <c r="D11" s="60" t="s">
        <v>166</v>
      </c>
      <c r="E11" s="154">
        <v>20000</v>
      </c>
      <c r="F11" s="159"/>
    </row>
    <row r="12" spans="1:6" ht="21" customHeight="1" x14ac:dyDescent="0.3">
      <c r="A12" s="170"/>
      <c r="B12" s="75" t="s">
        <v>20</v>
      </c>
      <c r="C12" s="170"/>
      <c r="D12" s="170"/>
      <c r="E12" s="171">
        <f>SUM(E3:E11)</f>
        <v>380000</v>
      </c>
      <c r="F12" s="170"/>
    </row>
  </sheetData>
  <mergeCells count="1">
    <mergeCell ref="A1:F1"/>
  </mergeCells>
  <pageMargins left="0.28999999999999998" right="0.25" top="0.75" bottom="0.75" header="0.3" footer="0.3"/>
  <pageSetup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topLeftCell="A122" workbookViewId="0">
      <selection activeCell="H136" sqref="H136"/>
    </sheetView>
  </sheetViews>
  <sheetFormatPr defaultRowHeight="13.2" x14ac:dyDescent="0.25"/>
  <cols>
    <col min="1" max="1" width="12.44140625" bestFit="1" customWidth="1"/>
    <col min="4" max="4" width="34.33203125" customWidth="1"/>
    <col min="5" max="5" width="36.44140625" customWidth="1"/>
    <col min="6" max="6" width="16.33203125" customWidth="1"/>
    <col min="7" max="7" width="28.33203125" customWidth="1"/>
    <col min="8" max="8" width="31.109375" customWidth="1"/>
  </cols>
  <sheetData>
    <row r="1" spans="1:7" x14ac:dyDescent="0.25">
      <c r="B1" s="373" t="s">
        <v>351</v>
      </c>
      <c r="C1" s="373"/>
      <c r="D1" s="373"/>
      <c r="E1" s="373"/>
      <c r="F1" s="373"/>
      <c r="G1" s="373"/>
    </row>
    <row r="2" spans="1:7" x14ac:dyDescent="0.25">
      <c r="B2" s="374"/>
      <c r="C2" s="374"/>
      <c r="D2" s="374"/>
      <c r="E2" s="374"/>
      <c r="F2" s="374"/>
      <c r="G2" s="374"/>
    </row>
    <row r="3" spans="1:7" ht="17.399999999999999" x14ac:dyDescent="0.3">
      <c r="A3" s="202"/>
      <c r="B3" s="319"/>
      <c r="C3" s="319"/>
      <c r="D3" s="319"/>
      <c r="E3" s="182" t="s">
        <v>13</v>
      </c>
      <c r="F3" s="182" t="s">
        <v>59</v>
      </c>
      <c r="G3" s="2" t="s">
        <v>1</v>
      </c>
    </row>
    <row r="4" spans="1:7" ht="17.399999999999999" x14ac:dyDescent="0.3">
      <c r="A4" s="202"/>
      <c r="B4" s="375"/>
      <c r="C4" s="375"/>
      <c r="D4" s="375"/>
      <c r="E4" s="182"/>
      <c r="F4" s="182" t="s">
        <v>57</v>
      </c>
      <c r="G4" s="2" t="s">
        <v>58</v>
      </c>
    </row>
    <row r="5" spans="1:7" ht="17.399999999999999" x14ac:dyDescent="0.3">
      <c r="A5" s="202"/>
      <c r="B5" s="376" t="s">
        <v>22</v>
      </c>
      <c r="C5" s="376"/>
      <c r="D5" s="376"/>
      <c r="E5" s="183"/>
      <c r="F5" s="183"/>
      <c r="G5" s="119" t="s">
        <v>5</v>
      </c>
    </row>
    <row r="6" spans="1:7" ht="18" x14ac:dyDescent="0.35">
      <c r="A6" s="202">
        <v>1</v>
      </c>
      <c r="B6" s="367" t="s">
        <v>46</v>
      </c>
      <c r="C6" s="367"/>
      <c r="D6" s="367"/>
      <c r="E6" s="96" t="s">
        <v>226</v>
      </c>
      <c r="F6" s="96" t="s">
        <v>55</v>
      </c>
      <c r="G6" s="98">
        <v>400000</v>
      </c>
    </row>
    <row r="7" spans="1:7" ht="18" x14ac:dyDescent="0.35">
      <c r="A7" s="202">
        <v>2</v>
      </c>
      <c r="B7" s="367" t="s">
        <v>81</v>
      </c>
      <c r="C7" s="367"/>
      <c r="D7" s="367"/>
      <c r="E7" s="96" t="s">
        <v>82</v>
      </c>
      <c r="F7" s="97" t="s">
        <v>49</v>
      </c>
      <c r="G7" s="100">
        <v>200000</v>
      </c>
    </row>
    <row r="8" spans="1:7" ht="18" x14ac:dyDescent="0.35">
      <c r="A8" s="202">
        <v>3</v>
      </c>
      <c r="B8" s="367" t="s">
        <v>93</v>
      </c>
      <c r="C8" s="367"/>
      <c r="D8" s="367"/>
      <c r="E8" s="96" t="s">
        <v>324</v>
      </c>
      <c r="F8" s="97" t="s">
        <v>49</v>
      </c>
      <c r="G8" s="100">
        <v>200000</v>
      </c>
    </row>
    <row r="9" spans="1:7" ht="18" x14ac:dyDescent="0.35">
      <c r="A9" s="202">
        <v>4</v>
      </c>
      <c r="B9" s="360" t="s">
        <v>325</v>
      </c>
      <c r="C9" s="362"/>
      <c r="D9" s="96"/>
      <c r="E9" s="96" t="s">
        <v>84</v>
      </c>
      <c r="F9" s="97" t="s">
        <v>326</v>
      </c>
      <c r="G9" s="100">
        <v>200000</v>
      </c>
    </row>
    <row r="10" spans="1:7" ht="18" x14ac:dyDescent="0.35">
      <c r="A10" s="202">
        <v>5</v>
      </c>
      <c r="B10" s="366" t="s">
        <v>23</v>
      </c>
      <c r="C10" s="366"/>
      <c r="D10" s="366"/>
      <c r="E10" s="93" t="s">
        <v>184</v>
      </c>
      <c r="F10" s="99" t="s">
        <v>50</v>
      </c>
      <c r="G10" s="100">
        <v>100000</v>
      </c>
    </row>
    <row r="11" spans="1:7" ht="18" x14ac:dyDescent="0.35">
      <c r="A11" s="202">
        <v>6</v>
      </c>
      <c r="B11" s="357" t="s">
        <v>211</v>
      </c>
      <c r="C11" s="358"/>
      <c r="D11" s="359"/>
      <c r="E11" s="93" t="s">
        <v>212</v>
      </c>
      <c r="F11" s="99" t="s">
        <v>50</v>
      </c>
      <c r="G11" s="100">
        <v>100000</v>
      </c>
    </row>
    <row r="12" spans="1:7" ht="18" x14ac:dyDescent="0.35">
      <c r="A12" s="202">
        <v>7</v>
      </c>
      <c r="B12" s="368" t="s">
        <v>178</v>
      </c>
      <c r="C12" s="369"/>
      <c r="D12" s="370"/>
      <c r="E12" s="96" t="s">
        <v>179</v>
      </c>
      <c r="F12" s="97" t="s">
        <v>50</v>
      </c>
      <c r="G12" s="100">
        <v>100000</v>
      </c>
    </row>
    <row r="13" spans="1:7" ht="18" x14ac:dyDescent="0.35">
      <c r="A13" s="202">
        <v>8</v>
      </c>
      <c r="B13" s="360" t="s">
        <v>232</v>
      </c>
      <c r="C13" s="361"/>
      <c r="D13" s="362"/>
      <c r="E13" s="96" t="s">
        <v>173</v>
      </c>
      <c r="F13" s="97" t="s">
        <v>50</v>
      </c>
      <c r="G13" s="100">
        <v>100000</v>
      </c>
    </row>
    <row r="14" spans="1:7" ht="18" x14ac:dyDescent="0.35">
      <c r="A14" s="202">
        <v>9</v>
      </c>
      <c r="B14" s="360" t="s">
        <v>224</v>
      </c>
      <c r="C14" s="361"/>
      <c r="D14" s="362"/>
      <c r="E14" s="96" t="s">
        <v>32</v>
      </c>
      <c r="F14" s="97" t="s">
        <v>313</v>
      </c>
      <c r="G14" s="100">
        <v>100000</v>
      </c>
    </row>
    <row r="15" spans="1:7" ht="18" x14ac:dyDescent="0.35">
      <c r="A15" s="202">
        <v>10</v>
      </c>
      <c r="B15" s="357" t="s">
        <v>196</v>
      </c>
      <c r="C15" s="358"/>
      <c r="D15" s="359"/>
      <c r="E15" s="93" t="s">
        <v>197</v>
      </c>
      <c r="F15" s="99" t="s">
        <v>185</v>
      </c>
      <c r="G15" s="100">
        <v>80000</v>
      </c>
    </row>
    <row r="16" spans="1:7" ht="18" x14ac:dyDescent="0.35">
      <c r="A16" s="202">
        <v>11</v>
      </c>
      <c r="B16" s="366" t="s">
        <v>234</v>
      </c>
      <c r="C16" s="366"/>
      <c r="D16" s="366"/>
      <c r="E16" s="93" t="s">
        <v>235</v>
      </c>
      <c r="F16" s="184" t="s">
        <v>185</v>
      </c>
      <c r="G16" s="100">
        <v>80000</v>
      </c>
    </row>
    <row r="17" spans="1:7" ht="18" x14ac:dyDescent="0.35">
      <c r="A17" s="202">
        <v>12</v>
      </c>
      <c r="B17" s="357" t="s">
        <v>213</v>
      </c>
      <c r="C17" s="358"/>
      <c r="D17" s="359"/>
      <c r="E17" s="93" t="s">
        <v>214</v>
      </c>
      <c r="F17" s="184" t="s">
        <v>166</v>
      </c>
      <c r="G17" s="100">
        <v>50000</v>
      </c>
    </row>
    <row r="18" spans="1:7" ht="18" x14ac:dyDescent="0.35">
      <c r="A18" s="202">
        <v>13</v>
      </c>
      <c r="B18" s="357" t="s">
        <v>216</v>
      </c>
      <c r="C18" s="358"/>
      <c r="D18" s="359"/>
      <c r="E18" s="93" t="s">
        <v>217</v>
      </c>
      <c r="F18" s="184" t="s">
        <v>166</v>
      </c>
      <c r="G18" s="100">
        <v>50000</v>
      </c>
    </row>
    <row r="19" spans="1:7" ht="18" x14ac:dyDescent="0.35">
      <c r="A19" s="202">
        <v>14</v>
      </c>
      <c r="B19" s="357" t="s">
        <v>266</v>
      </c>
      <c r="C19" s="358"/>
      <c r="D19" s="359"/>
      <c r="E19" s="93" t="s">
        <v>265</v>
      </c>
      <c r="F19" s="184" t="s">
        <v>166</v>
      </c>
      <c r="G19" s="100">
        <v>50000</v>
      </c>
    </row>
    <row r="20" spans="1:7" ht="18" x14ac:dyDescent="0.35">
      <c r="A20" s="202">
        <v>15</v>
      </c>
      <c r="B20" s="185" t="s">
        <v>315</v>
      </c>
      <c r="C20" s="186" t="s">
        <v>315</v>
      </c>
      <c r="D20" s="187"/>
      <c r="E20" s="93" t="s">
        <v>316</v>
      </c>
      <c r="F20" s="184" t="s">
        <v>166</v>
      </c>
      <c r="G20" s="100">
        <v>50000</v>
      </c>
    </row>
    <row r="21" spans="1:7" ht="18" x14ac:dyDescent="0.35">
      <c r="A21" s="202">
        <v>16</v>
      </c>
      <c r="B21" s="185" t="s">
        <v>317</v>
      </c>
      <c r="C21" s="186" t="s">
        <v>317</v>
      </c>
      <c r="D21" s="187"/>
      <c r="E21" s="93" t="s">
        <v>235</v>
      </c>
      <c r="F21" s="184" t="s">
        <v>166</v>
      </c>
      <c r="G21" s="100">
        <v>50000</v>
      </c>
    </row>
    <row r="22" spans="1:7" ht="18" x14ac:dyDescent="0.35">
      <c r="A22" s="202">
        <v>17</v>
      </c>
      <c r="B22" s="357" t="s">
        <v>344</v>
      </c>
      <c r="C22" s="358"/>
      <c r="D22" s="359"/>
      <c r="E22" s="93" t="s">
        <v>337</v>
      </c>
      <c r="F22" s="184" t="s">
        <v>166</v>
      </c>
      <c r="G22" s="100">
        <v>50000</v>
      </c>
    </row>
    <row r="23" spans="1:7" ht="18" x14ac:dyDescent="0.35">
      <c r="A23" s="202">
        <v>18</v>
      </c>
      <c r="B23" s="368" t="s">
        <v>189</v>
      </c>
      <c r="C23" s="369"/>
      <c r="D23" s="370"/>
      <c r="E23" s="96" t="s">
        <v>190</v>
      </c>
      <c r="F23" s="97" t="s">
        <v>168</v>
      </c>
      <c r="G23" s="100">
        <v>50000</v>
      </c>
    </row>
    <row r="24" spans="1:7" ht="18" x14ac:dyDescent="0.35">
      <c r="A24" s="202">
        <v>19</v>
      </c>
      <c r="B24" s="367" t="s">
        <v>26</v>
      </c>
      <c r="C24" s="367"/>
      <c r="D24" s="367"/>
      <c r="E24" s="96" t="s">
        <v>27</v>
      </c>
      <c r="F24" s="97" t="s">
        <v>168</v>
      </c>
      <c r="G24" s="100">
        <v>50000</v>
      </c>
    </row>
    <row r="25" spans="1:7" ht="18" x14ac:dyDescent="0.35">
      <c r="A25" s="202">
        <v>20</v>
      </c>
      <c r="B25" s="360" t="s">
        <v>199</v>
      </c>
      <c r="C25" s="361"/>
      <c r="D25" s="362"/>
      <c r="E25" s="96" t="s">
        <v>200</v>
      </c>
      <c r="F25" s="97" t="s">
        <v>168</v>
      </c>
      <c r="G25" s="100">
        <v>50000</v>
      </c>
    </row>
    <row r="26" spans="1:7" ht="18" x14ac:dyDescent="0.35">
      <c r="A26" s="202">
        <v>21</v>
      </c>
      <c r="B26" s="360" t="s">
        <v>204</v>
      </c>
      <c r="C26" s="361"/>
      <c r="D26" s="362"/>
      <c r="E26" s="96" t="s">
        <v>200</v>
      </c>
      <c r="F26" s="97" t="s">
        <v>168</v>
      </c>
      <c r="G26" s="100">
        <v>50000</v>
      </c>
    </row>
    <row r="27" spans="1:7" ht="18" x14ac:dyDescent="0.35">
      <c r="A27" s="202">
        <v>22</v>
      </c>
      <c r="B27" s="360" t="s">
        <v>284</v>
      </c>
      <c r="C27" s="361"/>
      <c r="D27" s="362"/>
      <c r="E27" s="96" t="s">
        <v>285</v>
      </c>
      <c r="F27" s="97" t="s">
        <v>168</v>
      </c>
      <c r="G27" s="100">
        <v>50000</v>
      </c>
    </row>
    <row r="28" spans="1:7" ht="18" x14ac:dyDescent="0.35">
      <c r="A28" s="202">
        <v>23</v>
      </c>
      <c r="B28" s="188" t="s">
        <v>327</v>
      </c>
      <c r="C28" s="189"/>
      <c r="D28" s="190"/>
      <c r="E28" s="96" t="s">
        <v>328</v>
      </c>
      <c r="F28" s="97" t="s">
        <v>168</v>
      </c>
      <c r="G28" s="100">
        <v>50000</v>
      </c>
    </row>
    <row r="29" spans="1:7" ht="18" x14ac:dyDescent="0.35">
      <c r="A29" s="202"/>
      <c r="B29" s="377" t="s">
        <v>20</v>
      </c>
      <c r="C29" s="377"/>
      <c r="D29" s="377"/>
      <c r="E29" s="191">
        <v>23</v>
      </c>
      <c r="F29" s="184"/>
      <c r="G29" s="206">
        <f>SUM(G6:G28)</f>
        <v>2260000</v>
      </c>
    </row>
    <row r="30" spans="1:7" ht="17.399999999999999" x14ac:dyDescent="0.3">
      <c r="B30" s="372" t="s">
        <v>94</v>
      </c>
      <c r="C30" s="372"/>
      <c r="D30" s="372"/>
      <c r="E30" s="192"/>
      <c r="F30" s="193"/>
      <c r="G30" s="194"/>
    </row>
    <row r="31" spans="1:7" ht="18" x14ac:dyDescent="0.35">
      <c r="A31" s="203">
        <v>1</v>
      </c>
      <c r="B31" s="360" t="s">
        <v>242</v>
      </c>
      <c r="C31" s="361"/>
      <c r="D31" s="362"/>
      <c r="E31" s="96" t="s">
        <v>243</v>
      </c>
      <c r="F31" s="97" t="s">
        <v>152</v>
      </c>
      <c r="G31" s="98">
        <v>300000</v>
      </c>
    </row>
    <row r="32" spans="1:7" ht="18" x14ac:dyDescent="0.35">
      <c r="A32" s="203">
        <v>2</v>
      </c>
      <c r="B32" s="360" t="s">
        <v>12</v>
      </c>
      <c r="C32" s="361"/>
      <c r="D32" s="362"/>
      <c r="E32" s="96" t="s">
        <v>227</v>
      </c>
      <c r="F32" s="97" t="s">
        <v>49</v>
      </c>
      <c r="G32" s="100">
        <v>200000</v>
      </c>
    </row>
    <row r="33" spans="1:7" ht="18" x14ac:dyDescent="0.35">
      <c r="A33" s="203">
        <v>3</v>
      </c>
      <c r="B33" s="360" t="s">
        <v>215</v>
      </c>
      <c r="C33" s="361"/>
      <c r="D33" s="362"/>
      <c r="E33" s="93" t="s">
        <v>128</v>
      </c>
      <c r="F33" s="184" t="s">
        <v>185</v>
      </c>
      <c r="G33" s="100">
        <v>80000</v>
      </c>
    </row>
    <row r="34" spans="1:7" ht="18" x14ac:dyDescent="0.35">
      <c r="A34" s="203">
        <v>4</v>
      </c>
      <c r="B34" s="360" t="s">
        <v>209</v>
      </c>
      <c r="C34" s="361"/>
      <c r="D34" s="362"/>
      <c r="E34" s="93" t="s">
        <v>131</v>
      </c>
      <c r="F34" s="184" t="s">
        <v>166</v>
      </c>
      <c r="G34" s="100">
        <v>50000</v>
      </c>
    </row>
    <row r="35" spans="1:7" ht="18" x14ac:dyDescent="0.35">
      <c r="A35" s="203">
        <v>5</v>
      </c>
      <c r="B35" s="195" t="s">
        <v>283</v>
      </c>
      <c r="C35" s="196" t="s">
        <v>283</v>
      </c>
      <c r="D35" s="190"/>
      <c r="E35" s="93" t="s">
        <v>131</v>
      </c>
      <c r="F35" s="184" t="s">
        <v>166</v>
      </c>
      <c r="G35" s="100">
        <v>50000</v>
      </c>
    </row>
    <row r="36" spans="1:7" ht="18" x14ac:dyDescent="0.35">
      <c r="A36" s="203">
        <v>6</v>
      </c>
      <c r="B36" s="360" t="s">
        <v>207</v>
      </c>
      <c r="C36" s="361"/>
      <c r="D36" s="362"/>
      <c r="E36" s="93" t="s">
        <v>202</v>
      </c>
      <c r="F36" s="184" t="s">
        <v>203</v>
      </c>
      <c r="G36" s="100">
        <v>50000</v>
      </c>
    </row>
    <row r="37" spans="1:7" ht="17.399999999999999" x14ac:dyDescent="0.3">
      <c r="A37" s="203"/>
      <c r="B37" s="371" t="s">
        <v>20</v>
      </c>
      <c r="C37" s="371"/>
      <c r="D37" s="371"/>
      <c r="E37" s="191">
        <v>6</v>
      </c>
      <c r="F37" s="191"/>
      <c r="G37" s="201">
        <f>SUM(G31:G36)</f>
        <v>730000</v>
      </c>
    </row>
    <row r="38" spans="1:7" ht="17.399999999999999" x14ac:dyDescent="0.3">
      <c r="A38" s="203"/>
      <c r="B38" s="204"/>
      <c r="C38" s="205"/>
      <c r="D38" s="198"/>
      <c r="E38" s="191"/>
      <c r="F38" s="191"/>
      <c r="G38" s="201"/>
    </row>
    <row r="39" spans="1:7" ht="18" x14ac:dyDescent="0.35">
      <c r="A39" s="203">
        <v>1</v>
      </c>
      <c r="B39" s="360" t="s">
        <v>274</v>
      </c>
      <c r="C39" s="361"/>
      <c r="D39" s="362"/>
      <c r="E39" s="96" t="s">
        <v>275</v>
      </c>
      <c r="F39" s="97" t="s">
        <v>152</v>
      </c>
      <c r="G39" s="100">
        <v>300000</v>
      </c>
    </row>
    <row r="40" spans="1:7" ht="18" x14ac:dyDescent="0.35">
      <c r="A40" s="203">
        <v>2</v>
      </c>
      <c r="B40" s="367" t="s">
        <v>31</v>
      </c>
      <c r="C40" s="367"/>
      <c r="D40" s="367"/>
      <c r="E40" s="93" t="s">
        <v>96</v>
      </c>
      <c r="F40" s="184" t="s">
        <v>49</v>
      </c>
      <c r="G40" s="100">
        <v>200000</v>
      </c>
    </row>
    <row r="41" spans="1:7" ht="18" x14ac:dyDescent="0.35">
      <c r="A41" s="203">
        <v>3</v>
      </c>
      <c r="B41" s="360" t="s">
        <v>218</v>
      </c>
      <c r="C41" s="361"/>
      <c r="D41" s="362"/>
      <c r="E41" s="93" t="s">
        <v>228</v>
      </c>
      <c r="F41" s="184" t="s">
        <v>119</v>
      </c>
      <c r="G41" s="100">
        <v>100000</v>
      </c>
    </row>
    <row r="42" spans="1:7" ht="18" x14ac:dyDescent="0.35">
      <c r="A42" s="203">
        <v>4</v>
      </c>
      <c r="B42" s="360" t="s">
        <v>205</v>
      </c>
      <c r="C42" s="361"/>
      <c r="D42" s="362"/>
      <c r="E42" s="93" t="s">
        <v>229</v>
      </c>
      <c r="F42" s="184" t="s">
        <v>146</v>
      </c>
      <c r="G42" s="100">
        <v>80000</v>
      </c>
    </row>
    <row r="43" spans="1:7" ht="18" x14ac:dyDescent="0.35">
      <c r="A43" s="203">
        <v>5</v>
      </c>
      <c r="B43" s="368" t="s">
        <v>188</v>
      </c>
      <c r="C43" s="369"/>
      <c r="D43" s="370"/>
      <c r="E43" s="93" t="s">
        <v>230</v>
      </c>
      <c r="F43" s="184" t="s">
        <v>146</v>
      </c>
      <c r="G43" s="100">
        <v>80000</v>
      </c>
    </row>
    <row r="44" spans="1:7" ht="18" x14ac:dyDescent="0.35">
      <c r="A44" s="203">
        <v>6</v>
      </c>
      <c r="B44" s="360" t="s">
        <v>233</v>
      </c>
      <c r="C44" s="361"/>
      <c r="D44" s="362"/>
      <c r="E44" s="93" t="s">
        <v>128</v>
      </c>
      <c r="F44" s="184" t="s">
        <v>185</v>
      </c>
      <c r="G44" s="100">
        <v>80000</v>
      </c>
    </row>
    <row r="45" spans="1:7" ht="18" x14ac:dyDescent="0.35">
      <c r="A45" s="203">
        <v>7</v>
      </c>
      <c r="B45" s="360" t="s">
        <v>276</v>
      </c>
      <c r="C45" s="361"/>
      <c r="D45" s="362"/>
      <c r="E45" s="93" t="s">
        <v>128</v>
      </c>
      <c r="F45" s="184" t="s">
        <v>185</v>
      </c>
      <c r="G45" s="100">
        <v>80000</v>
      </c>
    </row>
    <row r="46" spans="1:7" ht="18" x14ac:dyDescent="0.35">
      <c r="A46" s="203">
        <v>8</v>
      </c>
      <c r="B46" s="360" t="s">
        <v>312</v>
      </c>
      <c r="C46" s="361"/>
      <c r="D46" s="190"/>
      <c r="E46" s="93" t="s">
        <v>128</v>
      </c>
      <c r="F46" s="184" t="s">
        <v>185</v>
      </c>
      <c r="G46" s="100">
        <v>80000</v>
      </c>
    </row>
    <row r="47" spans="1:7" ht="18" x14ac:dyDescent="0.35">
      <c r="A47" s="203">
        <v>9</v>
      </c>
      <c r="B47" s="360" t="s">
        <v>282</v>
      </c>
      <c r="C47" s="361"/>
      <c r="D47" s="362"/>
      <c r="E47" s="93" t="s">
        <v>128</v>
      </c>
      <c r="F47" s="184" t="s">
        <v>185</v>
      </c>
      <c r="G47" s="100">
        <v>80000</v>
      </c>
    </row>
    <row r="48" spans="1:7" ht="18" x14ac:dyDescent="0.35">
      <c r="A48" s="203">
        <v>10</v>
      </c>
      <c r="B48" s="366" t="s">
        <v>24</v>
      </c>
      <c r="C48" s="366"/>
      <c r="D48" s="366"/>
      <c r="E48" s="93" t="s">
        <v>25</v>
      </c>
      <c r="F48" s="184" t="s">
        <v>47</v>
      </c>
      <c r="G48" s="100">
        <v>50000</v>
      </c>
    </row>
    <row r="49" spans="1:7" ht="18" x14ac:dyDescent="0.35">
      <c r="A49" s="203">
        <v>11</v>
      </c>
      <c r="B49" s="195" t="s">
        <v>186</v>
      </c>
      <c r="C49" s="196" t="s">
        <v>186</v>
      </c>
      <c r="D49" s="190"/>
      <c r="E49" s="93" t="s">
        <v>187</v>
      </c>
      <c r="F49" s="184" t="s">
        <v>166</v>
      </c>
      <c r="G49" s="100">
        <v>50000</v>
      </c>
    </row>
    <row r="50" spans="1:7" ht="18" x14ac:dyDescent="0.35">
      <c r="A50" s="203">
        <v>12</v>
      </c>
      <c r="B50" s="360" t="s">
        <v>198</v>
      </c>
      <c r="C50" s="361"/>
      <c r="D50" s="362"/>
      <c r="E50" s="93" t="s">
        <v>131</v>
      </c>
      <c r="F50" s="184" t="s">
        <v>166</v>
      </c>
      <c r="G50" s="100">
        <v>50000</v>
      </c>
    </row>
    <row r="51" spans="1:7" ht="18" x14ac:dyDescent="0.35">
      <c r="A51" s="203">
        <v>13</v>
      </c>
      <c r="B51" s="360" t="s">
        <v>308</v>
      </c>
      <c r="C51" s="361"/>
      <c r="D51" s="362"/>
      <c r="E51" s="93" t="s">
        <v>309</v>
      </c>
      <c r="F51" s="184" t="s">
        <v>166</v>
      </c>
      <c r="G51" s="100">
        <v>50000</v>
      </c>
    </row>
    <row r="52" spans="1:7" ht="18" x14ac:dyDescent="0.35">
      <c r="A52" s="203">
        <v>14</v>
      </c>
      <c r="B52" s="360" t="s">
        <v>201</v>
      </c>
      <c r="C52" s="361"/>
      <c r="D52" s="362"/>
      <c r="E52" s="93" t="s">
        <v>202</v>
      </c>
      <c r="F52" s="184" t="s">
        <v>203</v>
      </c>
      <c r="G52" s="100">
        <v>50000</v>
      </c>
    </row>
    <row r="53" spans="1:7" ht="18" x14ac:dyDescent="0.35">
      <c r="A53" s="203">
        <v>15</v>
      </c>
      <c r="B53" s="360" t="s">
        <v>210</v>
      </c>
      <c r="C53" s="361"/>
      <c r="D53" s="362"/>
      <c r="E53" s="93" t="s">
        <v>202</v>
      </c>
      <c r="F53" s="184" t="s">
        <v>203</v>
      </c>
      <c r="G53" s="100">
        <v>50000</v>
      </c>
    </row>
    <row r="54" spans="1:7" ht="18" x14ac:dyDescent="0.35">
      <c r="A54" s="203">
        <v>16</v>
      </c>
      <c r="B54" s="360" t="s">
        <v>208</v>
      </c>
      <c r="C54" s="361"/>
      <c r="D54" s="362"/>
      <c r="E54" s="93" t="s">
        <v>202</v>
      </c>
      <c r="F54" s="184" t="s">
        <v>203</v>
      </c>
      <c r="G54" s="100">
        <v>50000</v>
      </c>
    </row>
    <row r="55" spans="1:7" ht="18" x14ac:dyDescent="0.35">
      <c r="A55" s="203">
        <v>17</v>
      </c>
      <c r="B55" s="360" t="s">
        <v>280</v>
      </c>
      <c r="C55" s="361"/>
      <c r="D55" s="362"/>
      <c r="E55" s="93" t="s">
        <v>202</v>
      </c>
      <c r="F55" s="184" t="s">
        <v>203</v>
      </c>
      <c r="G55" s="100">
        <v>50000</v>
      </c>
    </row>
    <row r="56" spans="1:7" ht="17.399999999999999" x14ac:dyDescent="0.3">
      <c r="A56" s="203"/>
      <c r="B56" s="371" t="s">
        <v>20</v>
      </c>
      <c r="C56" s="371"/>
      <c r="D56" s="371"/>
      <c r="E56" s="191">
        <v>17</v>
      </c>
      <c r="F56" s="191"/>
      <c r="G56" s="201">
        <f>SUM(G39:G55)</f>
        <v>1480000</v>
      </c>
    </row>
    <row r="57" spans="1:7" ht="17.399999999999999" x14ac:dyDescent="0.3">
      <c r="A57" s="203"/>
      <c r="B57" s="204"/>
      <c r="C57" s="205"/>
      <c r="D57" s="198"/>
      <c r="E57" s="191"/>
      <c r="F57" s="191"/>
      <c r="G57" s="201"/>
    </row>
    <row r="58" spans="1:7" ht="18" x14ac:dyDescent="0.35">
      <c r="A58" s="203">
        <v>1</v>
      </c>
      <c r="B58" s="360" t="s">
        <v>150</v>
      </c>
      <c r="C58" s="361"/>
      <c r="D58" s="362"/>
      <c r="E58" s="96" t="s">
        <v>231</v>
      </c>
      <c r="F58" s="97" t="s">
        <v>152</v>
      </c>
      <c r="G58" s="100">
        <v>300000</v>
      </c>
    </row>
    <row r="59" spans="1:7" ht="18" x14ac:dyDescent="0.35">
      <c r="A59" s="203">
        <v>2</v>
      </c>
      <c r="B59" s="367" t="s">
        <v>34</v>
      </c>
      <c r="C59" s="367"/>
      <c r="D59" s="367"/>
      <c r="E59" s="96" t="s">
        <v>35</v>
      </c>
      <c r="F59" s="97" t="s">
        <v>49</v>
      </c>
      <c r="G59" s="100">
        <v>200000</v>
      </c>
    </row>
    <row r="60" spans="1:7" ht="18" x14ac:dyDescent="0.35">
      <c r="A60" s="203">
        <v>3</v>
      </c>
      <c r="B60" s="367" t="s">
        <v>36</v>
      </c>
      <c r="C60" s="367"/>
      <c r="D60" s="367"/>
      <c r="E60" s="96" t="s">
        <v>51</v>
      </c>
      <c r="F60" s="97" t="s">
        <v>49</v>
      </c>
      <c r="G60" s="100">
        <v>200000</v>
      </c>
    </row>
    <row r="61" spans="1:7" ht="18" x14ac:dyDescent="0.35">
      <c r="A61" s="203">
        <v>4</v>
      </c>
      <c r="B61" s="360" t="s">
        <v>156</v>
      </c>
      <c r="C61" s="361"/>
      <c r="D61" s="362"/>
      <c r="E61" s="96" t="s">
        <v>157</v>
      </c>
      <c r="F61" s="97" t="s">
        <v>50</v>
      </c>
      <c r="G61" s="100">
        <v>100000</v>
      </c>
    </row>
    <row r="62" spans="1:7" ht="18" x14ac:dyDescent="0.35">
      <c r="A62" s="203">
        <v>5</v>
      </c>
      <c r="B62" s="368" t="s">
        <v>180</v>
      </c>
      <c r="C62" s="369"/>
      <c r="D62" s="370"/>
      <c r="E62" s="96" t="s">
        <v>181</v>
      </c>
      <c r="F62" s="97" t="s">
        <v>50</v>
      </c>
      <c r="G62" s="100">
        <v>100000</v>
      </c>
    </row>
    <row r="63" spans="1:7" ht="18" x14ac:dyDescent="0.35">
      <c r="A63" s="203">
        <v>6</v>
      </c>
      <c r="B63" s="367" t="s">
        <v>37</v>
      </c>
      <c r="C63" s="367"/>
      <c r="D63" s="367"/>
      <c r="E63" s="96" t="s">
        <v>38</v>
      </c>
      <c r="F63" s="97" t="s">
        <v>80</v>
      </c>
      <c r="G63" s="100">
        <v>50000</v>
      </c>
    </row>
    <row r="64" spans="1:7" ht="18" x14ac:dyDescent="0.35">
      <c r="A64" s="203">
        <v>7</v>
      </c>
      <c r="B64" s="360" t="s">
        <v>138</v>
      </c>
      <c r="C64" s="361"/>
      <c r="D64" s="362"/>
      <c r="E64" s="96" t="s">
        <v>139</v>
      </c>
      <c r="F64" s="97" t="s">
        <v>166</v>
      </c>
      <c r="G64" s="100">
        <v>50000</v>
      </c>
    </row>
    <row r="65" spans="1:7" ht="18" x14ac:dyDescent="0.35">
      <c r="A65" s="203">
        <v>8</v>
      </c>
      <c r="B65" s="360" t="s">
        <v>158</v>
      </c>
      <c r="C65" s="361"/>
      <c r="D65" s="362"/>
      <c r="E65" s="96" t="s">
        <v>165</v>
      </c>
      <c r="F65" s="97" t="s">
        <v>166</v>
      </c>
      <c r="G65" s="100">
        <v>50000</v>
      </c>
    </row>
    <row r="66" spans="1:7" ht="18" x14ac:dyDescent="0.35">
      <c r="A66" s="203">
        <v>9</v>
      </c>
      <c r="B66" s="360" t="s">
        <v>159</v>
      </c>
      <c r="C66" s="361"/>
      <c r="D66" s="362"/>
      <c r="E66" s="96" t="s">
        <v>165</v>
      </c>
      <c r="F66" s="97" t="s">
        <v>166</v>
      </c>
      <c r="G66" s="100">
        <v>50000</v>
      </c>
    </row>
    <row r="67" spans="1:7" ht="18" x14ac:dyDescent="0.35">
      <c r="A67" s="203">
        <v>10</v>
      </c>
      <c r="B67" s="360" t="s">
        <v>169</v>
      </c>
      <c r="C67" s="361"/>
      <c r="D67" s="362"/>
      <c r="E67" s="96" t="s">
        <v>170</v>
      </c>
      <c r="F67" s="97" t="s">
        <v>166</v>
      </c>
      <c r="G67" s="100">
        <v>50000</v>
      </c>
    </row>
    <row r="68" spans="1:7" ht="18" x14ac:dyDescent="0.35">
      <c r="A68" s="203">
        <v>11</v>
      </c>
      <c r="B68" s="360" t="s">
        <v>174</v>
      </c>
      <c r="C68" s="361"/>
      <c r="D68" s="362"/>
      <c r="E68" s="96" t="s">
        <v>175</v>
      </c>
      <c r="F68" s="97" t="s">
        <v>166</v>
      </c>
      <c r="G68" s="100">
        <v>50000</v>
      </c>
    </row>
    <row r="69" spans="1:7" ht="18" x14ac:dyDescent="0.35">
      <c r="A69" s="203">
        <v>12</v>
      </c>
      <c r="B69" s="360" t="s">
        <v>191</v>
      </c>
      <c r="C69" s="361"/>
      <c r="D69" s="362"/>
      <c r="E69" s="96" t="s">
        <v>192</v>
      </c>
      <c r="F69" s="97" t="s">
        <v>166</v>
      </c>
      <c r="G69" s="100">
        <v>50000</v>
      </c>
    </row>
    <row r="70" spans="1:7" ht="18" x14ac:dyDescent="0.35">
      <c r="A70" s="203">
        <v>13</v>
      </c>
      <c r="B70" s="360" t="s">
        <v>160</v>
      </c>
      <c r="C70" s="361"/>
      <c r="D70" s="362"/>
      <c r="E70" s="96" t="s">
        <v>167</v>
      </c>
      <c r="F70" s="97" t="s">
        <v>168</v>
      </c>
      <c r="G70" s="100">
        <v>50000</v>
      </c>
    </row>
    <row r="71" spans="1:7" ht="18" x14ac:dyDescent="0.35">
      <c r="A71" s="203">
        <v>14</v>
      </c>
      <c r="B71" s="360" t="s">
        <v>161</v>
      </c>
      <c r="C71" s="361"/>
      <c r="D71" s="362"/>
      <c r="E71" s="96" t="s">
        <v>167</v>
      </c>
      <c r="F71" s="97" t="s">
        <v>168</v>
      </c>
      <c r="G71" s="100">
        <v>50000</v>
      </c>
    </row>
    <row r="72" spans="1:7" ht="18" x14ac:dyDescent="0.35">
      <c r="A72" s="203">
        <v>15</v>
      </c>
      <c r="B72" s="360" t="s">
        <v>162</v>
      </c>
      <c r="C72" s="361"/>
      <c r="D72" s="362"/>
      <c r="E72" s="96" t="s">
        <v>167</v>
      </c>
      <c r="F72" s="97" t="s">
        <v>168</v>
      </c>
      <c r="G72" s="100">
        <v>50000</v>
      </c>
    </row>
    <row r="73" spans="1:7" ht="18" x14ac:dyDescent="0.35">
      <c r="A73" s="203">
        <v>16</v>
      </c>
      <c r="B73" s="360" t="s">
        <v>163</v>
      </c>
      <c r="C73" s="361"/>
      <c r="D73" s="362"/>
      <c r="E73" s="96" t="s">
        <v>167</v>
      </c>
      <c r="F73" s="97" t="s">
        <v>168</v>
      </c>
      <c r="G73" s="100">
        <v>50000</v>
      </c>
    </row>
    <row r="74" spans="1:7" ht="18" x14ac:dyDescent="0.35">
      <c r="A74" s="203">
        <v>17</v>
      </c>
      <c r="B74" s="360" t="s">
        <v>164</v>
      </c>
      <c r="C74" s="361"/>
      <c r="D74" s="362"/>
      <c r="E74" s="96" t="s">
        <v>167</v>
      </c>
      <c r="F74" s="97" t="s">
        <v>168</v>
      </c>
      <c r="G74" s="100">
        <v>50000</v>
      </c>
    </row>
    <row r="75" spans="1:7" ht="18" x14ac:dyDescent="0.35">
      <c r="A75" s="203">
        <v>18</v>
      </c>
      <c r="B75" s="368" t="s">
        <v>182</v>
      </c>
      <c r="C75" s="369"/>
      <c r="D75" s="370"/>
      <c r="E75" s="96" t="s">
        <v>183</v>
      </c>
      <c r="F75" s="97" t="s">
        <v>168</v>
      </c>
      <c r="G75" s="100">
        <v>50000</v>
      </c>
    </row>
    <row r="76" spans="1:7" ht="18" x14ac:dyDescent="0.35">
      <c r="A76" s="203">
        <v>19</v>
      </c>
      <c r="B76" s="360" t="s">
        <v>292</v>
      </c>
      <c r="C76" s="361"/>
      <c r="D76" s="362"/>
      <c r="E76" s="96" t="s">
        <v>183</v>
      </c>
      <c r="F76" s="97" t="s">
        <v>168</v>
      </c>
      <c r="G76" s="100">
        <v>50000</v>
      </c>
    </row>
    <row r="77" spans="1:7" ht="18" x14ac:dyDescent="0.35">
      <c r="A77" s="203">
        <v>20</v>
      </c>
      <c r="B77" s="360" t="s">
        <v>293</v>
      </c>
      <c r="C77" s="361"/>
      <c r="D77" s="362"/>
      <c r="E77" s="96" t="s">
        <v>183</v>
      </c>
      <c r="F77" s="97" t="s">
        <v>168</v>
      </c>
      <c r="G77" s="100">
        <v>50000</v>
      </c>
    </row>
    <row r="78" spans="1:7" ht="18" x14ac:dyDescent="0.35">
      <c r="A78" s="203">
        <v>21</v>
      </c>
      <c r="B78" s="360" t="s">
        <v>171</v>
      </c>
      <c r="C78" s="361"/>
      <c r="D78" s="362"/>
      <c r="E78" s="96" t="s">
        <v>172</v>
      </c>
      <c r="F78" s="97" t="s">
        <v>168</v>
      </c>
      <c r="G78" s="100">
        <v>50000</v>
      </c>
    </row>
    <row r="79" spans="1:7" ht="18" x14ac:dyDescent="0.35">
      <c r="A79" s="203">
        <v>22</v>
      </c>
      <c r="B79" s="368" t="s">
        <v>176</v>
      </c>
      <c r="C79" s="369"/>
      <c r="D79" s="370"/>
      <c r="E79" s="96" t="s">
        <v>177</v>
      </c>
      <c r="F79" s="97" t="s">
        <v>168</v>
      </c>
      <c r="G79" s="100">
        <v>50000</v>
      </c>
    </row>
    <row r="80" spans="1:7" ht="18" x14ac:dyDescent="0.35">
      <c r="A80" s="203">
        <v>23</v>
      </c>
      <c r="B80" s="367" t="s">
        <v>6</v>
      </c>
      <c r="C80" s="367"/>
      <c r="D80" s="367"/>
      <c r="E80" s="96" t="s">
        <v>39</v>
      </c>
      <c r="F80" s="97" t="s">
        <v>79</v>
      </c>
      <c r="G80" s="100">
        <v>50000</v>
      </c>
    </row>
    <row r="81" spans="1:7" ht="18" x14ac:dyDescent="0.35">
      <c r="A81" s="203">
        <v>24</v>
      </c>
      <c r="B81" s="360" t="s">
        <v>7</v>
      </c>
      <c r="C81" s="361"/>
      <c r="D81" s="362"/>
      <c r="E81" s="93" t="s">
        <v>30</v>
      </c>
      <c r="F81" s="184" t="s">
        <v>79</v>
      </c>
      <c r="G81" s="100">
        <v>50000</v>
      </c>
    </row>
    <row r="82" spans="1:7" ht="18" x14ac:dyDescent="0.35">
      <c r="A82" s="203">
        <v>25</v>
      </c>
      <c r="B82" s="367" t="s">
        <v>62</v>
      </c>
      <c r="C82" s="367"/>
      <c r="D82" s="367"/>
      <c r="E82" s="96" t="s">
        <v>30</v>
      </c>
      <c r="F82" s="97" t="s">
        <v>78</v>
      </c>
      <c r="G82" s="100">
        <v>50000</v>
      </c>
    </row>
    <row r="83" spans="1:7" ht="18" x14ac:dyDescent="0.35">
      <c r="A83" s="203">
        <v>26</v>
      </c>
      <c r="B83" s="367" t="s">
        <v>19</v>
      </c>
      <c r="C83" s="367"/>
      <c r="D83" s="367"/>
      <c r="E83" s="96" t="s">
        <v>30</v>
      </c>
      <c r="F83" s="97" t="s">
        <v>79</v>
      </c>
      <c r="G83" s="100">
        <v>50000</v>
      </c>
    </row>
    <row r="84" spans="1:7" ht="18" x14ac:dyDescent="0.35">
      <c r="A84" s="203">
        <v>27</v>
      </c>
      <c r="B84" s="360" t="s">
        <v>264</v>
      </c>
      <c r="C84" s="361"/>
      <c r="D84" s="362"/>
      <c r="E84" s="96" t="s">
        <v>30</v>
      </c>
      <c r="F84" s="97" t="s">
        <v>79</v>
      </c>
      <c r="G84" s="100">
        <v>50000</v>
      </c>
    </row>
    <row r="85" spans="1:7" ht="18" x14ac:dyDescent="0.35">
      <c r="A85" s="203">
        <v>28</v>
      </c>
      <c r="B85" s="367" t="s">
        <v>45</v>
      </c>
      <c r="C85" s="367"/>
      <c r="D85" s="367"/>
      <c r="E85" s="96" t="s">
        <v>15</v>
      </c>
      <c r="F85" s="97" t="s">
        <v>168</v>
      </c>
      <c r="G85" s="100">
        <v>50000</v>
      </c>
    </row>
    <row r="86" spans="1:7" ht="18" x14ac:dyDescent="0.35">
      <c r="A86" s="203">
        <v>29</v>
      </c>
      <c r="B86" s="360" t="s">
        <v>40</v>
      </c>
      <c r="C86" s="361"/>
      <c r="D86" s="362"/>
      <c r="E86" s="96" t="s">
        <v>14</v>
      </c>
      <c r="F86" s="97" t="s">
        <v>48</v>
      </c>
      <c r="G86" s="98">
        <v>20000</v>
      </c>
    </row>
    <row r="87" spans="1:7" ht="18" x14ac:dyDescent="0.35">
      <c r="A87" s="203">
        <v>30</v>
      </c>
      <c r="B87" s="367" t="s">
        <v>17</v>
      </c>
      <c r="C87" s="367"/>
      <c r="D87" s="367"/>
      <c r="E87" s="96" t="s">
        <v>14</v>
      </c>
      <c r="F87" s="97" t="s">
        <v>48</v>
      </c>
      <c r="G87" s="98">
        <v>20000</v>
      </c>
    </row>
    <row r="88" spans="1:7" ht="18" x14ac:dyDescent="0.35">
      <c r="A88" s="203">
        <v>31</v>
      </c>
      <c r="B88" s="367" t="s">
        <v>41</v>
      </c>
      <c r="C88" s="367"/>
      <c r="D88" s="367"/>
      <c r="E88" s="96" t="s">
        <v>14</v>
      </c>
      <c r="F88" s="97" t="s">
        <v>48</v>
      </c>
      <c r="G88" s="98">
        <v>20000</v>
      </c>
    </row>
    <row r="89" spans="1:7" ht="18" x14ac:dyDescent="0.35">
      <c r="A89" s="203">
        <v>32</v>
      </c>
      <c r="B89" s="367" t="s">
        <v>42</v>
      </c>
      <c r="C89" s="367"/>
      <c r="D89" s="367"/>
      <c r="E89" s="96" t="s">
        <v>14</v>
      </c>
      <c r="F89" s="97" t="s">
        <v>48</v>
      </c>
      <c r="G89" s="98">
        <v>20000</v>
      </c>
    </row>
    <row r="90" spans="1:7" ht="18" x14ac:dyDescent="0.35">
      <c r="A90" s="203">
        <v>33</v>
      </c>
      <c r="B90" s="367" t="s">
        <v>43</v>
      </c>
      <c r="C90" s="367"/>
      <c r="D90" s="367"/>
      <c r="E90" s="96" t="s">
        <v>14</v>
      </c>
      <c r="F90" s="97" t="s">
        <v>48</v>
      </c>
      <c r="G90" s="98">
        <v>20000</v>
      </c>
    </row>
    <row r="91" spans="1:7" ht="18" x14ac:dyDescent="0.35">
      <c r="A91" s="203">
        <v>34</v>
      </c>
      <c r="B91" s="367" t="s">
        <v>44</v>
      </c>
      <c r="C91" s="367"/>
      <c r="D91" s="367"/>
      <c r="E91" s="96" t="s">
        <v>14</v>
      </c>
      <c r="F91" s="97" t="s">
        <v>48</v>
      </c>
      <c r="G91" s="98">
        <v>20000</v>
      </c>
    </row>
    <row r="92" spans="1:7" ht="18" x14ac:dyDescent="0.35">
      <c r="A92" s="203">
        <v>35</v>
      </c>
      <c r="B92" s="360" t="s">
        <v>18</v>
      </c>
      <c r="C92" s="361"/>
      <c r="D92" s="362"/>
      <c r="E92" s="93" t="s">
        <v>14</v>
      </c>
      <c r="F92" s="184" t="s">
        <v>48</v>
      </c>
      <c r="G92" s="98">
        <v>20000</v>
      </c>
    </row>
    <row r="93" spans="1:7" ht="18" x14ac:dyDescent="0.35">
      <c r="A93" s="203">
        <v>36</v>
      </c>
      <c r="B93" s="367" t="s">
        <v>63</v>
      </c>
      <c r="C93" s="367"/>
      <c r="D93" s="367"/>
      <c r="E93" s="96" t="s">
        <v>14</v>
      </c>
      <c r="F93" s="97" t="s">
        <v>220</v>
      </c>
      <c r="G93" s="98">
        <v>20000</v>
      </c>
    </row>
    <row r="94" spans="1:7" ht="18" x14ac:dyDescent="0.35">
      <c r="A94" s="203">
        <v>37</v>
      </c>
      <c r="B94" s="367" t="s">
        <v>64</v>
      </c>
      <c r="C94" s="367"/>
      <c r="D94" s="367"/>
      <c r="E94" s="96" t="s">
        <v>14</v>
      </c>
      <c r="F94" s="97" t="s">
        <v>220</v>
      </c>
      <c r="G94" s="98">
        <v>20000</v>
      </c>
    </row>
    <row r="95" spans="1:7" ht="18" x14ac:dyDescent="0.35">
      <c r="A95" s="203">
        <v>38</v>
      </c>
      <c r="B95" s="360" t="s">
        <v>219</v>
      </c>
      <c r="C95" s="361"/>
      <c r="D95" s="362"/>
      <c r="E95" s="96" t="s">
        <v>14</v>
      </c>
      <c r="F95" s="97" t="s">
        <v>220</v>
      </c>
      <c r="G95" s="98">
        <v>20000</v>
      </c>
    </row>
    <row r="96" spans="1:7" ht="18" x14ac:dyDescent="0.35">
      <c r="A96" s="203">
        <v>39</v>
      </c>
      <c r="B96" s="360" t="s">
        <v>263</v>
      </c>
      <c r="C96" s="361"/>
      <c r="D96" s="362"/>
      <c r="E96" s="96" t="s">
        <v>14</v>
      </c>
      <c r="F96" s="97" t="s">
        <v>220</v>
      </c>
      <c r="G96" s="98">
        <v>20000</v>
      </c>
    </row>
    <row r="97" spans="1:7" ht="18" x14ac:dyDescent="0.35">
      <c r="A97" s="203">
        <v>40</v>
      </c>
      <c r="B97" s="360" t="s">
        <v>277</v>
      </c>
      <c r="C97" s="361"/>
      <c r="D97" s="362"/>
      <c r="E97" s="96" t="s">
        <v>14</v>
      </c>
      <c r="F97" s="97" t="s">
        <v>220</v>
      </c>
      <c r="G97" s="98">
        <v>20000</v>
      </c>
    </row>
    <row r="98" spans="1:7" ht="18" x14ac:dyDescent="0.35">
      <c r="A98" s="203">
        <v>41</v>
      </c>
      <c r="B98" s="360" t="s">
        <v>278</v>
      </c>
      <c r="C98" s="361"/>
      <c r="D98" s="362"/>
      <c r="E98" s="96" t="s">
        <v>14</v>
      </c>
      <c r="F98" s="97" t="s">
        <v>220</v>
      </c>
      <c r="G98" s="98">
        <v>20000</v>
      </c>
    </row>
    <row r="99" spans="1:7" ht="18" x14ac:dyDescent="0.35">
      <c r="A99" s="203">
        <v>42</v>
      </c>
      <c r="B99" s="360" t="s">
        <v>286</v>
      </c>
      <c r="C99" s="361"/>
      <c r="D99" s="362"/>
      <c r="E99" s="96" t="s">
        <v>14</v>
      </c>
      <c r="F99" s="97" t="s">
        <v>220</v>
      </c>
      <c r="G99" s="98">
        <v>20000</v>
      </c>
    </row>
    <row r="100" spans="1:7" ht="18" x14ac:dyDescent="0.35">
      <c r="A100" s="203">
        <v>43</v>
      </c>
      <c r="B100" s="360" t="s">
        <v>279</v>
      </c>
      <c r="C100" s="361"/>
      <c r="D100" s="362"/>
      <c r="E100" s="96" t="s">
        <v>14</v>
      </c>
      <c r="F100" s="97" t="s">
        <v>220</v>
      </c>
      <c r="G100" s="98">
        <v>20000</v>
      </c>
    </row>
    <row r="101" spans="1:7" ht="18" x14ac:dyDescent="0.35">
      <c r="A101" s="203">
        <v>44</v>
      </c>
      <c r="B101" s="195" t="s">
        <v>318</v>
      </c>
      <c r="C101" s="196" t="s">
        <v>318</v>
      </c>
      <c r="D101" s="190"/>
      <c r="E101" s="96" t="s">
        <v>14</v>
      </c>
      <c r="F101" s="97" t="s">
        <v>220</v>
      </c>
      <c r="G101" s="98">
        <v>20000</v>
      </c>
    </row>
    <row r="102" spans="1:7" ht="18" x14ac:dyDescent="0.35">
      <c r="A102" s="203"/>
      <c r="B102" s="363" t="s">
        <v>20</v>
      </c>
      <c r="C102" s="364"/>
      <c r="D102" s="365"/>
      <c r="E102" s="197" t="s">
        <v>330</v>
      </c>
      <c r="F102" s="97"/>
      <c r="G102" s="201">
        <f>SUM(G58:G101)</f>
        <v>2370000</v>
      </c>
    </row>
    <row r="103" spans="1:7" ht="18" x14ac:dyDescent="0.35">
      <c r="A103" s="203"/>
      <c r="B103" s="204"/>
      <c r="C103" s="205"/>
      <c r="D103" s="198"/>
      <c r="E103" s="197"/>
      <c r="F103" s="97"/>
      <c r="G103" s="201"/>
    </row>
    <row r="104" spans="1:7" ht="18" x14ac:dyDescent="0.35">
      <c r="A104" s="203">
        <v>1</v>
      </c>
      <c r="B104" s="366" t="s">
        <v>85</v>
      </c>
      <c r="C104" s="366"/>
      <c r="D104" s="366"/>
      <c r="E104" s="96" t="s">
        <v>89</v>
      </c>
      <c r="F104" s="97" t="s">
        <v>221</v>
      </c>
      <c r="G104" s="100">
        <v>20000</v>
      </c>
    </row>
    <row r="105" spans="1:7" ht="18" x14ac:dyDescent="0.35">
      <c r="A105" s="203">
        <v>2</v>
      </c>
      <c r="B105" s="366" t="s">
        <v>98</v>
      </c>
      <c r="C105" s="366"/>
      <c r="D105" s="366"/>
      <c r="E105" s="96" t="s">
        <v>89</v>
      </c>
      <c r="F105" s="97" t="s">
        <v>221</v>
      </c>
      <c r="G105" s="100">
        <v>20000</v>
      </c>
    </row>
    <row r="106" spans="1:7" ht="18" x14ac:dyDescent="0.35">
      <c r="A106" s="203">
        <v>3</v>
      </c>
      <c r="B106" s="366" t="s">
        <v>86</v>
      </c>
      <c r="C106" s="366"/>
      <c r="D106" s="366"/>
      <c r="E106" s="96" t="s">
        <v>90</v>
      </c>
      <c r="F106" s="97" t="s">
        <v>221</v>
      </c>
      <c r="G106" s="100">
        <v>20000</v>
      </c>
    </row>
    <row r="107" spans="1:7" ht="18" x14ac:dyDescent="0.35">
      <c r="A107" s="203">
        <v>4</v>
      </c>
      <c r="B107" s="366" t="s">
        <v>87</v>
      </c>
      <c r="C107" s="366"/>
      <c r="D107" s="366"/>
      <c r="E107" s="96" t="s">
        <v>90</v>
      </c>
      <c r="F107" s="97" t="s">
        <v>221</v>
      </c>
      <c r="G107" s="100">
        <v>20000</v>
      </c>
    </row>
    <row r="108" spans="1:7" ht="18" x14ac:dyDescent="0.35">
      <c r="A108" s="203">
        <v>5</v>
      </c>
      <c r="B108" s="366" t="s">
        <v>88</v>
      </c>
      <c r="C108" s="366"/>
      <c r="D108" s="366"/>
      <c r="E108" s="96" t="s">
        <v>89</v>
      </c>
      <c r="F108" s="101">
        <v>0</v>
      </c>
      <c r="G108" s="100">
        <v>20000</v>
      </c>
    </row>
    <row r="109" spans="1:7" ht="18" x14ac:dyDescent="0.35">
      <c r="A109" s="203">
        <v>6</v>
      </c>
      <c r="B109" s="357" t="s">
        <v>294</v>
      </c>
      <c r="C109" s="358"/>
      <c r="D109" s="359"/>
      <c r="E109" s="96" t="s">
        <v>90</v>
      </c>
      <c r="F109" s="101">
        <v>0</v>
      </c>
      <c r="G109" s="100">
        <v>20000</v>
      </c>
    </row>
    <row r="110" spans="1:7" ht="18" x14ac:dyDescent="0.35">
      <c r="A110" s="203">
        <v>7</v>
      </c>
      <c r="B110" s="357" t="s">
        <v>295</v>
      </c>
      <c r="C110" s="358"/>
      <c r="D110" s="359"/>
      <c r="E110" s="96" t="s">
        <v>89</v>
      </c>
      <c r="F110" s="97" t="s">
        <v>221</v>
      </c>
      <c r="G110" s="100">
        <v>20000</v>
      </c>
    </row>
    <row r="111" spans="1:7" ht="18" x14ac:dyDescent="0.35">
      <c r="A111" s="203">
        <v>8</v>
      </c>
      <c r="B111" s="357" t="s">
        <v>304</v>
      </c>
      <c r="C111" s="358"/>
      <c r="D111" s="187"/>
      <c r="E111" s="96" t="s">
        <v>305</v>
      </c>
      <c r="F111" s="97"/>
      <c r="G111" s="100">
        <v>20000</v>
      </c>
    </row>
    <row r="112" spans="1:7" ht="18" x14ac:dyDescent="0.35">
      <c r="A112" s="203">
        <v>9</v>
      </c>
      <c r="B112" s="357" t="s">
        <v>311</v>
      </c>
      <c r="C112" s="358"/>
      <c r="D112" s="187"/>
      <c r="E112" s="96" t="s">
        <v>305</v>
      </c>
      <c r="F112" s="97"/>
      <c r="G112" s="100">
        <v>20000</v>
      </c>
    </row>
    <row r="113" spans="1:7" ht="18" x14ac:dyDescent="0.35">
      <c r="A113" s="203">
        <v>10</v>
      </c>
      <c r="B113" s="357" t="s">
        <v>310</v>
      </c>
      <c r="C113" s="358"/>
      <c r="D113" s="187"/>
      <c r="E113" s="96" t="s">
        <v>14</v>
      </c>
      <c r="F113" s="97"/>
      <c r="G113" s="100">
        <v>20000</v>
      </c>
    </row>
    <row r="114" spans="1:7" ht="18" x14ac:dyDescent="0.35">
      <c r="A114" s="203">
        <v>11</v>
      </c>
      <c r="B114" s="185" t="s">
        <v>319</v>
      </c>
      <c r="C114" s="186" t="s">
        <v>319</v>
      </c>
      <c r="D114" s="187"/>
      <c r="E114" s="96" t="s">
        <v>90</v>
      </c>
      <c r="F114" s="97"/>
      <c r="G114" s="100">
        <v>20000</v>
      </c>
    </row>
    <row r="115" spans="1:7" ht="18" x14ac:dyDescent="0.35">
      <c r="A115" s="203">
        <v>12</v>
      </c>
      <c r="B115" s="185" t="s">
        <v>307</v>
      </c>
      <c r="C115" s="186" t="s">
        <v>307</v>
      </c>
      <c r="D115" s="187"/>
      <c r="E115" s="96" t="s">
        <v>75</v>
      </c>
      <c r="F115" s="97"/>
      <c r="G115" s="100">
        <v>20000</v>
      </c>
    </row>
    <row r="116" spans="1:7" ht="18" x14ac:dyDescent="0.35">
      <c r="A116" s="203">
        <v>13</v>
      </c>
      <c r="B116" s="185" t="s">
        <v>323</v>
      </c>
      <c r="C116" s="186" t="s">
        <v>323</v>
      </c>
      <c r="D116" s="187"/>
      <c r="E116" s="96" t="s">
        <v>75</v>
      </c>
      <c r="F116" s="97"/>
      <c r="G116" s="100">
        <v>20000</v>
      </c>
    </row>
    <row r="117" spans="1:7" ht="18" x14ac:dyDescent="0.35">
      <c r="A117" s="203">
        <v>14</v>
      </c>
      <c r="B117" s="357" t="s">
        <v>314</v>
      </c>
      <c r="C117" s="358"/>
      <c r="D117" s="359"/>
      <c r="E117" s="96" t="s">
        <v>75</v>
      </c>
      <c r="F117" s="97"/>
      <c r="G117" s="100">
        <v>20000</v>
      </c>
    </row>
    <row r="118" spans="1:7" ht="17.399999999999999" x14ac:dyDescent="0.3">
      <c r="A118" s="203"/>
      <c r="B118" s="363" t="s">
        <v>20</v>
      </c>
      <c r="C118" s="364"/>
      <c r="D118" s="365"/>
      <c r="E118" s="197" t="s">
        <v>349</v>
      </c>
      <c r="F118" s="197"/>
      <c r="G118" s="201">
        <f>SUM(G104:G117)</f>
        <v>280000</v>
      </c>
    </row>
    <row r="119" spans="1:7" ht="17.399999999999999" x14ac:dyDescent="0.3">
      <c r="A119" s="203"/>
      <c r="B119" s="204"/>
      <c r="C119" s="205"/>
      <c r="D119" s="198"/>
      <c r="E119" s="197"/>
      <c r="F119" s="197"/>
      <c r="G119" s="201"/>
    </row>
    <row r="120" spans="1:7" ht="18" x14ac:dyDescent="0.35">
      <c r="A120" s="203">
        <v>1</v>
      </c>
      <c r="B120" s="195" t="s">
        <v>320</v>
      </c>
      <c r="C120" s="196" t="s">
        <v>342</v>
      </c>
      <c r="D120" s="198"/>
      <c r="E120" s="96" t="s">
        <v>321</v>
      </c>
      <c r="F120" s="97"/>
      <c r="G120" s="100">
        <v>50000</v>
      </c>
    </row>
    <row r="121" spans="1:7" ht="18" x14ac:dyDescent="0.35">
      <c r="A121" s="203">
        <v>2</v>
      </c>
      <c r="B121" s="360" t="s">
        <v>343</v>
      </c>
      <c r="C121" s="361"/>
      <c r="D121" s="362"/>
      <c r="E121" s="96" t="s">
        <v>131</v>
      </c>
      <c r="F121" s="97" t="s">
        <v>166</v>
      </c>
      <c r="G121" s="100">
        <v>50000</v>
      </c>
    </row>
    <row r="122" spans="1:7" ht="18" x14ac:dyDescent="0.35">
      <c r="A122" s="203">
        <v>3</v>
      </c>
      <c r="B122" s="360" t="s">
        <v>222</v>
      </c>
      <c r="C122" s="361"/>
      <c r="D122" s="362"/>
      <c r="E122" s="96" t="s">
        <v>139</v>
      </c>
      <c r="F122" s="97" t="s">
        <v>166</v>
      </c>
      <c r="G122" s="100">
        <v>50000</v>
      </c>
    </row>
    <row r="123" spans="1:7" ht="18" x14ac:dyDescent="0.35">
      <c r="A123" s="203">
        <v>4</v>
      </c>
      <c r="B123" s="360" t="s">
        <v>223</v>
      </c>
      <c r="C123" s="361"/>
      <c r="D123" s="362"/>
      <c r="E123" s="96" t="s">
        <v>225</v>
      </c>
      <c r="F123" s="97" t="s">
        <v>166</v>
      </c>
      <c r="G123" s="100">
        <v>50000</v>
      </c>
    </row>
    <row r="124" spans="1:7" ht="18" x14ac:dyDescent="0.35">
      <c r="A124" s="203">
        <v>5</v>
      </c>
      <c r="B124" s="360" t="s">
        <v>271</v>
      </c>
      <c r="C124" s="361"/>
      <c r="D124" s="362"/>
      <c r="E124" s="96" t="s">
        <v>272</v>
      </c>
      <c r="F124" s="97" t="s">
        <v>50</v>
      </c>
      <c r="G124" s="100">
        <v>50000</v>
      </c>
    </row>
    <row r="125" spans="1:7" ht="18" x14ac:dyDescent="0.35">
      <c r="A125" s="203">
        <v>6</v>
      </c>
      <c r="B125" s="360" t="s">
        <v>236</v>
      </c>
      <c r="C125" s="361"/>
      <c r="D125" s="362"/>
      <c r="E125" s="96" t="s">
        <v>273</v>
      </c>
      <c r="F125" s="97" t="s">
        <v>50</v>
      </c>
      <c r="G125" s="100">
        <v>50000</v>
      </c>
    </row>
    <row r="126" spans="1:7" ht="18" x14ac:dyDescent="0.35">
      <c r="A126" s="203">
        <v>7</v>
      </c>
      <c r="B126" s="360" t="s">
        <v>290</v>
      </c>
      <c r="C126" s="361"/>
      <c r="D126" s="362"/>
      <c r="E126" s="96" t="s">
        <v>291</v>
      </c>
      <c r="F126" s="97" t="s">
        <v>166</v>
      </c>
      <c r="G126" s="100">
        <v>50000</v>
      </c>
    </row>
    <row r="127" spans="1:7" ht="18" x14ac:dyDescent="0.35">
      <c r="A127" s="203">
        <v>8</v>
      </c>
      <c r="B127" s="360" t="s">
        <v>288</v>
      </c>
      <c r="C127" s="361"/>
      <c r="D127" s="362"/>
      <c r="E127" s="96" t="s">
        <v>289</v>
      </c>
      <c r="F127" s="97" t="s">
        <v>166</v>
      </c>
      <c r="G127" s="100">
        <v>50000</v>
      </c>
    </row>
    <row r="128" spans="1:7" ht="18" x14ac:dyDescent="0.35">
      <c r="A128" s="203">
        <v>9</v>
      </c>
      <c r="B128" s="360" t="s">
        <v>297</v>
      </c>
      <c r="C128" s="361"/>
      <c r="D128" s="190"/>
      <c r="E128" s="96" t="s">
        <v>300</v>
      </c>
      <c r="F128" s="97" t="s">
        <v>49</v>
      </c>
      <c r="G128" s="100">
        <v>50000</v>
      </c>
    </row>
    <row r="129" spans="1:7" ht="18" x14ac:dyDescent="0.35">
      <c r="A129" s="203">
        <v>10</v>
      </c>
      <c r="B129" s="195" t="s">
        <v>298</v>
      </c>
      <c r="C129" s="196"/>
      <c r="D129" s="190"/>
      <c r="E129" s="96" t="s">
        <v>301</v>
      </c>
      <c r="F129" s="97" t="s">
        <v>185</v>
      </c>
      <c r="G129" s="100">
        <v>50000</v>
      </c>
    </row>
    <row r="130" spans="1:7" ht="18" x14ac:dyDescent="0.35">
      <c r="A130" s="203">
        <v>11</v>
      </c>
      <c r="B130" s="360" t="s">
        <v>346</v>
      </c>
      <c r="C130" s="361"/>
      <c r="D130" s="362"/>
      <c r="E130" s="96" t="s">
        <v>345</v>
      </c>
      <c r="F130" s="97" t="s">
        <v>185</v>
      </c>
      <c r="G130" s="100">
        <v>50000</v>
      </c>
    </row>
    <row r="131" spans="1:7" ht="18" x14ac:dyDescent="0.35">
      <c r="A131" s="203">
        <v>12</v>
      </c>
      <c r="B131" s="195" t="s">
        <v>299</v>
      </c>
      <c r="C131" s="196"/>
      <c r="D131" s="190"/>
      <c r="E131" s="96" t="s">
        <v>302</v>
      </c>
      <c r="F131" s="97" t="s">
        <v>166</v>
      </c>
      <c r="G131" s="100">
        <v>50000</v>
      </c>
    </row>
    <row r="132" spans="1:7" ht="18" x14ac:dyDescent="0.35">
      <c r="B132" s="363" t="s">
        <v>20</v>
      </c>
      <c r="C132" s="364"/>
      <c r="D132" s="365"/>
      <c r="E132" s="197" t="s">
        <v>348</v>
      </c>
      <c r="F132" s="97"/>
      <c r="G132" s="201">
        <f>SUM(G120:G131)</f>
        <v>600000</v>
      </c>
    </row>
    <row r="133" spans="1:7" ht="17.399999999999999" x14ac:dyDescent="0.3">
      <c r="B133" s="356" t="s">
        <v>8</v>
      </c>
      <c r="C133" s="356"/>
      <c r="D133" s="356"/>
      <c r="E133" s="199"/>
      <c r="F133" s="200"/>
      <c r="G133" s="201">
        <f>G29+G37+G56+G102+G118</f>
        <v>7120000</v>
      </c>
    </row>
    <row r="134" spans="1:7" x14ac:dyDescent="0.25">
      <c r="B134" s="14"/>
      <c r="C134" s="14"/>
      <c r="D134" s="14"/>
      <c r="E134" s="14"/>
      <c r="F134" s="14"/>
      <c r="G134" s="14"/>
    </row>
  </sheetData>
  <mergeCells count="116">
    <mergeCell ref="B1:G2"/>
    <mergeCell ref="B102:D102"/>
    <mergeCell ref="B132:D132"/>
    <mergeCell ref="B117:D117"/>
    <mergeCell ref="B9:C9"/>
    <mergeCell ref="B10:D10"/>
    <mergeCell ref="B11:D11"/>
    <mergeCell ref="B12:D12"/>
    <mergeCell ref="B13:D13"/>
    <mergeCell ref="B14:D14"/>
    <mergeCell ref="B3:D3"/>
    <mergeCell ref="B4:D4"/>
    <mergeCell ref="B5:D5"/>
    <mergeCell ref="B6:D6"/>
    <mergeCell ref="B7:D7"/>
    <mergeCell ref="B8:D8"/>
    <mergeCell ref="B24:D24"/>
    <mergeCell ref="B25:D25"/>
    <mergeCell ref="B26:D26"/>
    <mergeCell ref="B27:D27"/>
    <mergeCell ref="B29:D29"/>
    <mergeCell ref="B15:D15"/>
    <mergeCell ref="B16:D16"/>
    <mergeCell ref="B17:D17"/>
    <mergeCell ref="B18:D18"/>
    <mergeCell ref="B19:D19"/>
    <mergeCell ref="B23:D23"/>
    <mergeCell ref="B34:D34"/>
    <mergeCell ref="B36:D36"/>
    <mergeCell ref="B37:D37"/>
    <mergeCell ref="B39:D39"/>
    <mergeCell ref="B40:D40"/>
    <mergeCell ref="B30:D30"/>
    <mergeCell ref="B31:D31"/>
    <mergeCell ref="B32:D32"/>
    <mergeCell ref="B33:D33"/>
    <mergeCell ref="B47:D47"/>
    <mergeCell ref="B48:D48"/>
    <mergeCell ref="B50:D50"/>
    <mergeCell ref="B52:D52"/>
    <mergeCell ref="B53:D53"/>
    <mergeCell ref="B54:D54"/>
    <mergeCell ref="B41:D41"/>
    <mergeCell ref="B42:D42"/>
    <mergeCell ref="B43:D43"/>
    <mergeCell ref="B44:D44"/>
    <mergeCell ref="B45:D45"/>
    <mergeCell ref="B46:C46"/>
    <mergeCell ref="B61:D61"/>
    <mergeCell ref="B62:D62"/>
    <mergeCell ref="B63:D63"/>
    <mergeCell ref="B64:D64"/>
    <mergeCell ref="B65:D65"/>
    <mergeCell ref="B66:D66"/>
    <mergeCell ref="B55:D55"/>
    <mergeCell ref="B56:D56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9:D99"/>
    <mergeCell ref="B100:D100"/>
    <mergeCell ref="B104:D104"/>
    <mergeCell ref="B91:D91"/>
    <mergeCell ref="B92:D92"/>
    <mergeCell ref="B93:D93"/>
    <mergeCell ref="B94:D94"/>
    <mergeCell ref="B95:D95"/>
    <mergeCell ref="B96:D96"/>
    <mergeCell ref="B133:D133"/>
    <mergeCell ref="B22:D22"/>
    <mergeCell ref="B51:D51"/>
    <mergeCell ref="B121:D121"/>
    <mergeCell ref="B130:D130"/>
    <mergeCell ref="B123:D123"/>
    <mergeCell ref="B124:D124"/>
    <mergeCell ref="B125:D125"/>
    <mergeCell ref="B126:D126"/>
    <mergeCell ref="B127:D127"/>
    <mergeCell ref="B128:C128"/>
    <mergeCell ref="B111:C111"/>
    <mergeCell ref="B112:C112"/>
    <mergeCell ref="B113:C113"/>
    <mergeCell ref="B118:D118"/>
    <mergeCell ref="B122:D122"/>
    <mergeCell ref="B105:D105"/>
    <mergeCell ref="B106:D106"/>
    <mergeCell ref="B107:D107"/>
    <mergeCell ref="B108:D108"/>
    <mergeCell ref="B109:D109"/>
    <mergeCell ref="B110:D110"/>
    <mergeCell ref="B97:D97"/>
    <mergeCell ref="B98:D98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Apr, 14</vt:lpstr>
      <vt:lpstr>Sheet4</vt:lpstr>
      <vt:lpstr>MEMO</vt:lpstr>
      <vt:lpstr>17.9</vt:lpstr>
      <vt:lpstr>16.9</vt:lpstr>
      <vt:lpstr>15.9</vt:lpstr>
      <vt:lpstr>13.7</vt:lpstr>
      <vt:lpstr>12.7</vt:lpstr>
      <vt:lpstr>10.7</vt:lpstr>
      <vt:lpstr>9.7</vt:lpstr>
      <vt:lpstr>8.7</vt:lpstr>
      <vt:lpstr>sUMMARY</vt:lpstr>
      <vt:lpstr>14.7</vt:lpstr>
      <vt:lpstr>Sheet2</vt:lpstr>
      <vt:lpstr>5.7</vt:lpstr>
      <vt:lpstr>Noninal roll</vt:lpstr>
      <vt:lpstr>Welfare List Mgt Staff</vt:lpstr>
      <vt:lpstr>Welfare Support Staff</vt:lpstr>
      <vt:lpstr>Welfare Deployed Staff</vt:lpstr>
      <vt:lpstr>Sheet1</vt:lpstr>
      <vt:lpstr>Sheet3</vt:lpstr>
      <vt:lpstr>'Apr, 14'!Print_Area</vt:lpstr>
      <vt:lpstr>MEMO!Print_Area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Windows User</cp:lastModifiedBy>
  <cp:lastPrinted>2018-04-11T08:25:05Z</cp:lastPrinted>
  <dcterms:created xsi:type="dcterms:W3CDTF">2008-06-27T10:36:45Z</dcterms:created>
  <dcterms:modified xsi:type="dcterms:W3CDTF">2024-01-18T10:45:20Z</dcterms:modified>
</cp:coreProperties>
</file>